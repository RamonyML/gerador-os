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ZNET\Desktop\Reh\MUDANÇAS\"/>
    </mc:Choice>
  </mc:AlternateContent>
  <xr:revisionPtr revIDLastSave="0" documentId="13_ncr:1_{CEE40989-5C45-46EF-9143-1DA71CF3FBBC}" xr6:coauthVersionLast="47" xr6:coauthVersionMax="47" xr10:uidLastSave="{00000000-0000-0000-0000-000000000000}"/>
  <bookViews>
    <workbookView xWindow="-120" yWindow="-120" windowWidth="24240" windowHeight="13140" activeTab="1" xr2:uid="{00000000-000D-0000-FFFF-FFFF00000000}"/>
  </bookViews>
  <sheets>
    <sheet name="Mudança de Endereço " sheetId="2" r:id="rId1"/>
    <sheet name="base de dados" sheetId="1" r:id="rId2"/>
  </sheets>
  <definedNames>
    <definedName name="_xlnm._FilterDatabase" localSheetId="1" hidden="1">'base de dados'!$A$1:$Z$551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82" i="1" l="1"/>
  <c r="L682" i="1"/>
  <c r="S682" i="1"/>
  <c r="G683" i="1"/>
  <c r="L683" i="1"/>
  <c r="S683" i="1"/>
  <c r="G684" i="1"/>
  <c r="L684" i="1"/>
  <c r="S684" i="1"/>
  <c r="G685" i="1"/>
  <c r="L685" i="1"/>
  <c r="S685" i="1"/>
  <c r="G686" i="1"/>
  <c r="L686" i="1"/>
  <c r="S686" i="1"/>
  <c r="G687" i="1"/>
  <c r="L687" i="1"/>
  <c r="S687" i="1"/>
  <c r="G688" i="1"/>
  <c r="L688" i="1"/>
  <c r="S688" i="1"/>
  <c r="G689" i="1"/>
  <c r="L689" i="1"/>
  <c r="S689" i="1"/>
  <c r="G690" i="1"/>
  <c r="L690" i="1"/>
  <c r="S690" i="1"/>
  <c r="G691" i="1"/>
  <c r="L691" i="1"/>
  <c r="S691" i="1"/>
  <c r="G692" i="1"/>
  <c r="L692" i="1"/>
  <c r="S692" i="1"/>
  <c r="G693" i="1"/>
  <c r="L693" i="1"/>
  <c r="S693" i="1"/>
  <c r="G694" i="1"/>
  <c r="L694" i="1"/>
  <c r="S694" i="1"/>
  <c r="G695" i="1"/>
  <c r="L695" i="1"/>
  <c r="S695" i="1"/>
  <c r="G696" i="1"/>
  <c r="L696" i="1"/>
  <c r="S696" i="1"/>
  <c r="G697" i="1"/>
  <c r="L697" i="1"/>
  <c r="S697" i="1"/>
  <c r="G698" i="1"/>
  <c r="L698" i="1"/>
  <c r="S698" i="1"/>
  <c r="G699" i="1"/>
  <c r="L699" i="1"/>
  <c r="S699" i="1"/>
  <c r="G700" i="1"/>
  <c r="L700" i="1"/>
  <c r="S700" i="1"/>
  <c r="G701" i="1"/>
  <c r="L701" i="1"/>
  <c r="S701" i="1"/>
  <c r="G702" i="1"/>
  <c r="L702" i="1"/>
  <c r="S702" i="1"/>
  <c r="G703" i="1"/>
  <c r="L703" i="1"/>
  <c r="S703" i="1"/>
  <c r="G704" i="1"/>
  <c r="L704" i="1"/>
  <c r="S704" i="1"/>
  <c r="G705" i="1"/>
  <c r="L705" i="1"/>
  <c r="S705" i="1"/>
  <c r="G706" i="1"/>
  <c r="L706" i="1"/>
  <c r="S706" i="1"/>
  <c r="G707" i="1"/>
  <c r="L707" i="1"/>
  <c r="S707" i="1"/>
  <c r="G708" i="1"/>
  <c r="L708" i="1"/>
  <c r="S708" i="1"/>
  <c r="G709" i="1"/>
  <c r="L709" i="1"/>
  <c r="S709" i="1"/>
  <c r="G710" i="1"/>
  <c r="L710" i="1"/>
  <c r="S710" i="1"/>
  <c r="G711" i="1"/>
  <c r="L711" i="1"/>
  <c r="S711" i="1"/>
  <c r="G712" i="1"/>
  <c r="L712" i="1"/>
  <c r="S712" i="1"/>
  <c r="G713" i="1"/>
  <c r="L713" i="1"/>
  <c r="S713" i="1"/>
  <c r="G714" i="1"/>
  <c r="L714" i="1"/>
  <c r="S714" i="1"/>
  <c r="G715" i="1"/>
  <c r="L715" i="1"/>
  <c r="S715" i="1"/>
  <c r="G716" i="1"/>
  <c r="L716" i="1"/>
  <c r="S716" i="1"/>
  <c r="G717" i="1"/>
  <c r="L717" i="1"/>
  <c r="S717" i="1"/>
  <c r="G718" i="1"/>
  <c r="L718" i="1"/>
  <c r="S718" i="1"/>
  <c r="G719" i="1"/>
  <c r="L719" i="1"/>
  <c r="S719" i="1"/>
  <c r="G720" i="1"/>
  <c r="L720" i="1"/>
  <c r="S720" i="1"/>
  <c r="G721" i="1"/>
  <c r="L721" i="1"/>
  <c r="S721" i="1"/>
  <c r="G722" i="1"/>
  <c r="L722" i="1"/>
  <c r="S722" i="1"/>
  <c r="G723" i="1"/>
  <c r="L723" i="1"/>
  <c r="S723" i="1"/>
  <c r="G724" i="1"/>
  <c r="L724" i="1"/>
  <c r="S724" i="1"/>
  <c r="G725" i="1"/>
  <c r="L725" i="1"/>
  <c r="S725" i="1"/>
  <c r="G726" i="1"/>
  <c r="L726" i="1"/>
  <c r="S726" i="1"/>
  <c r="G727" i="1"/>
  <c r="L727" i="1"/>
  <c r="S727" i="1"/>
  <c r="G728" i="1"/>
  <c r="L728" i="1"/>
  <c r="S728" i="1"/>
  <c r="G729" i="1"/>
  <c r="L729" i="1"/>
  <c r="S729" i="1"/>
  <c r="G730" i="1"/>
  <c r="L730" i="1"/>
  <c r="S730" i="1"/>
  <c r="G731" i="1"/>
  <c r="L731" i="1"/>
  <c r="S731" i="1"/>
  <c r="G732" i="1"/>
  <c r="L732" i="1"/>
  <c r="S732" i="1"/>
  <c r="G733" i="1"/>
  <c r="L733" i="1"/>
  <c r="S733" i="1"/>
  <c r="G734" i="1"/>
  <c r="L734" i="1"/>
  <c r="S734" i="1"/>
  <c r="G735" i="1"/>
  <c r="L735" i="1"/>
  <c r="S735" i="1"/>
  <c r="G736" i="1"/>
  <c r="L736" i="1"/>
  <c r="S736" i="1"/>
  <c r="G737" i="1"/>
  <c r="L737" i="1"/>
  <c r="S737" i="1"/>
  <c r="G738" i="1"/>
  <c r="L738" i="1"/>
  <c r="S738" i="1"/>
  <c r="G739" i="1"/>
  <c r="L739" i="1"/>
  <c r="S739" i="1"/>
  <c r="G740" i="1"/>
  <c r="L740" i="1"/>
  <c r="S740" i="1"/>
  <c r="G741" i="1"/>
  <c r="L741" i="1"/>
  <c r="S741" i="1"/>
  <c r="G742" i="1"/>
  <c r="L742" i="1"/>
  <c r="S742" i="1"/>
  <c r="G743" i="1"/>
  <c r="L743" i="1"/>
  <c r="S743" i="1"/>
  <c r="G744" i="1"/>
  <c r="L744" i="1"/>
  <c r="S744" i="1"/>
  <c r="G745" i="1"/>
  <c r="L745" i="1"/>
  <c r="S745" i="1"/>
  <c r="G746" i="1"/>
  <c r="L746" i="1"/>
  <c r="S746" i="1"/>
  <c r="G747" i="1"/>
  <c r="L747" i="1"/>
  <c r="S747" i="1"/>
  <c r="G748" i="1"/>
  <c r="L748" i="1"/>
  <c r="S748" i="1"/>
  <c r="G749" i="1"/>
  <c r="L749" i="1"/>
  <c r="S749" i="1"/>
  <c r="G750" i="1"/>
  <c r="L750" i="1"/>
  <c r="S750" i="1"/>
  <c r="G751" i="1"/>
  <c r="L751" i="1"/>
  <c r="S751" i="1"/>
  <c r="G752" i="1"/>
  <c r="L752" i="1"/>
  <c r="S752" i="1"/>
  <c r="G753" i="1"/>
  <c r="L753" i="1"/>
  <c r="S753" i="1"/>
  <c r="G754" i="1"/>
  <c r="L754" i="1"/>
  <c r="S754" i="1"/>
  <c r="G755" i="1"/>
  <c r="L755" i="1"/>
  <c r="S755" i="1"/>
  <c r="G756" i="1"/>
  <c r="L756" i="1"/>
  <c r="S756" i="1"/>
  <c r="G757" i="1"/>
  <c r="L757" i="1"/>
  <c r="S757" i="1"/>
  <c r="G758" i="1"/>
  <c r="L758" i="1"/>
  <c r="S758" i="1"/>
  <c r="G759" i="1"/>
  <c r="L759" i="1"/>
  <c r="S759" i="1"/>
  <c r="G760" i="1"/>
  <c r="L760" i="1"/>
  <c r="S760" i="1"/>
  <c r="G761" i="1"/>
  <c r="L761" i="1"/>
  <c r="S761" i="1"/>
  <c r="G762" i="1"/>
  <c r="L762" i="1"/>
  <c r="S762" i="1"/>
  <c r="G763" i="1"/>
  <c r="L763" i="1"/>
  <c r="S763" i="1"/>
  <c r="G764" i="1"/>
  <c r="L764" i="1"/>
  <c r="S764" i="1"/>
  <c r="G765" i="1"/>
  <c r="L765" i="1"/>
  <c r="S765" i="1"/>
  <c r="G766" i="1"/>
  <c r="L766" i="1"/>
  <c r="S766" i="1"/>
  <c r="G767" i="1"/>
  <c r="L767" i="1"/>
  <c r="S767" i="1"/>
  <c r="G768" i="1"/>
  <c r="L768" i="1"/>
  <c r="S768" i="1"/>
  <c r="G769" i="1"/>
  <c r="L769" i="1"/>
  <c r="S769" i="1"/>
  <c r="G770" i="1"/>
  <c r="L770" i="1"/>
  <c r="S770" i="1"/>
  <c r="G771" i="1"/>
  <c r="L771" i="1"/>
  <c r="S771" i="1"/>
  <c r="G772" i="1"/>
  <c r="L772" i="1"/>
  <c r="S772" i="1"/>
  <c r="G773" i="1"/>
  <c r="L773" i="1"/>
  <c r="S773" i="1"/>
  <c r="G774" i="1"/>
  <c r="L774" i="1"/>
  <c r="S774" i="1"/>
  <c r="G775" i="1"/>
  <c r="L775" i="1"/>
  <c r="S775" i="1"/>
  <c r="G776" i="1"/>
  <c r="L776" i="1"/>
  <c r="S776" i="1"/>
  <c r="G777" i="1"/>
  <c r="L777" i="1"/>
  <c r="S777" i="1"/>
  <c r="G778" i="1"/>
  <c r="L778" i="1"/>
  <c r="S778" i="1"/>
  <c r="G779" i="1"/>
  <c r="L779" i="1"/>
  <c r="S779" i="1"/>
  <c r="G780" i="1"/>
  <c r="L780" i="1"/>
  <c r="S780" i="1"/>
  <c r="G781" i="1"/>
  <c r="L781" i="1"/>
  <c r="S781" i="1"/>
  <c r="G782" i="1"/>
  <c r="L782" i="1"/>
  <c r="S782" i="1"/>
  <c r="G783" i="1"/>
  <c r="L783" i="1"/>
  <c r="S783" i="1"/>
  <c r="G784" i="1"/>
  <c r="L784" i="1"/>
  <c r="S784" i="1"/>
  <c r="G785" i="1"/>
  <c r="L785" i="1"/>
  <c r="S785" i="1"/>
  <c r="G786" i="1"/>
  <c r="L786" i="1"/>
  <c r="S786" i="1"/>
  <c r="G787" i="1"/>
  <c r="L787" i="1"/>
  <c r="S787" i="1"/>
  <c r="G788" i="1"/>
  <c r="L788" i="1"/>
  <c r="S788" i="1"/>
  <c r="G789" i="1"/>
  <c r="L789" i="1"/>
  <c r="S789" i="1"/>
  <c r="G790" i="1"/>
  <c r="L790" i="1"/>
  <c r="S790" i="1"/>
  <c r="G791" i="1"/>
  <c r="L791" i="1"/>
  <c r="S791" i="1"/>
  <c r="G792" i="1"/>
  <c r="L792" i="1"/>
  <c r="S792" i="1"/>
  <c r="G793" i="1"/>
  <c r="L793" i="1"/>
  <c r="S793" i="1"/>
  <c r="G794" i="1"/>
  <c r="L794" i="1"/>
  <c r="S794" i="1"/>
  <c r="G795" i="1"/>
  <c r="L795" i="1"/>
  <c r="S795" i="1"/>
  <c r="G796" i="1"/>
  <c r="L796" i="1"/>
  <c r="S796" i="1"/>
  <c r="G797" i="1"/>
  <c r="L797" i="1"/>
  <c r="S797" i="1"/>
  <c r="G798" i="1"/>
  <c r="L798" i="1"/>
  <c r="S798" i="1"/>
  <c r="G799" i="1"/>
  <c r="L799" i="1"/>
  <c r="S799" i="1"/>
  <c r="G800" i="1"/>
  <c r="L800" i="1"/>
  <c r="S800" i="1"/>
  <c r="G801" i="1"/>
  <c r="L801" i="1"/>
  <c r="S801" i="1"/>
  <c r="G802" i="1"/>
  <c r="L802" i="1"/>
  <c r="S802" i="1"/>
  <c r="G803" i="1"/>
  <c r="L803" i="1"/>
  <c r="S803" i="1"/>
  <c r="G804" i="1"/>
  <c r="L804" i="1"/>
  <c r="S804" i="1"/>
  <c r="G805" i="1"/>
  <c r="L805" i="1"/>
  <c r="S805" i="1"/>
  <c r="G806" i="1"/>
  <c r="L806" i="1"/>
  <c r="S806" i="1"/>
  <c r="G807" i="1"/>
  <c r="L807" i="1"/>
  <c r="S807" i="1"/>
  <c r="G808" i="1"/>
  <c r="L808" i="1"/>
  <c r="S808" i="1"/>
  <c r="G809" i="1"/>
  <c r="L809" i="1"/>
  <c r="S809" i="1"/>
  <c r="G810" i="1"/>
  <c r="L810" i="1"/>
  <c r="S810" i="1"/>
  <c r="G811" i="1"/>
  <c r="L811" i="1"/>
  <c r="S811" i="1"/>
  <c r="G812" i="1"/>
  <c r="L812" i="1"/>
  <c r="S812" i="1"/>
  <c r="G813" i="1"/>
  <c r="L813" i="1"/>
  <c r="S813" i="1"/>
  <c r="G814" i="1"/>
  <c r="L814" i="1"/>
  <c r="S814" i="1"/>
  <c r="G815" i="1"/>
  <c r="L815" i="1"/>
  <c r="S815" i="1"/>
  <c r="G816" i="1"/>
  <c r="L816" i="1"/>
  <c r="S816" i="1"/>
  <c r="G817" i="1"/>
  <c r="L817" i="1"/>
  <c r="S817" i="1"/>
  <c r="G818" i="1"/>
  <c r="L818" i="1"/>
  <c r="S818" i="1"/>
  <c r="G819" i="1"/>
  <c r="L819" i="1"/>
  <c r="S819" i="1"/>
  <c r="G820" i="1"/>
  <c r="L820" i="1"/>
  <c r="S820" i="1"/>
  <c r="G821" i="1"/>
  <c r="L821" i="1"/>
  <c r="S821" i="1"/>
  <c r="G822" i="1"/>
  <c r="L822" i="1"/>
  <c r="S822" i="1"/>
  <c r="G823" i="1"/>
  <c r="L823" i="1"/>
  <c r="S823" i="1"/>
  <c r="G824" i="1"/>
  <c r="L824" i="1"/>
  <c r="S824" i="1"/>
  <c r="G825" i="1"/>
  <c r="L825" i="1"/>
  <c r="S825" i="1"/>
  <c r="G826" i="1"/>
  <c r="L826" i="1"/>
  <c r="S826" i="1"/>
  <c r="G827" i="1"/>
  <c r="L827" i="1"/>
  <c r="S827" i="1"/>
  <c r="G828" i="1"/>
  <c r="L828" i="1"/>
  <c r="S828" i="1"/>
  <c r="G829" i="1"/>
  <c r="L829" i="1"/>
  <c r="S829" i="1"/>
  <c r="G830" i="1"/>
  <c r="L830" i="1"/>
  <c r="S830" i="1"/>
  <c r="G831" i="1"/>
  <c r="L831" i="1"/>
  <c r="S831" i="1"/>
  <c r="G832" i="1"/>
  <c r="L832" i="1"/>
  <c r="S832" i="1"/>
  <c r="G833" i="1"/>
  <c r="L833" i="1"/>
  <c r="S833" i="1"/>
  <c r="G834" i="1"/>
  <c r="L834" i="1"/>
  <c r="S834" i="1"/>
  <c r="G835" i="1"/>
  <c r="L835" i="1"/>
  <c r="S835" i="1"/>
  <c r="G836" i="1"/>
  <c r="L836" i="1"/>
  <c r="S836" i="1"/>
  <c r="G837" i="1"/>
  <c r="L837" i="1"/>
  <c r="S837" i="1"/>
  <c r="G838" i="1"/>
  <c r="L838" i="1"/>
  <c r="S838" i="1"/>
  <c r="G839" i="1"/>
  <c r="L839" i="1"/>
  <c r="S839" i="1"/>
  <c r="G840" i="1"/>
  <c r="L840" i="1"/>
  <c r="S840" i="1"/>
  <c r="G841" i="1"/>
  <c r="L841" i="1"/>
  <c r="S841" i="1"/>
  <c r="G842" i="1"/>
  <c r="L842" i="1"/>
  <c r="S842" i="1"/>
  <c r="G843" i="1"/>
  <c r="L843" i="1"/>
  <c r="S843" i="1"/>
  <c r="G844" i="1"/>
  <c r="L844" i="1"/>
  <c r="S844" i="1"/>
  <c r="G845" i="1"/>
  <c r="L845" i="1"/>
  <c r="S845" i="1"/>
  <c r="G846" i="1"/>
  <c r="L846" i="1"/>
  <c r="S846" i="1"/>
  <c r="G847" i="1"/>
  <c r="L847" i="1"/>
  <c r="S847" i="1"/>
  <c r="G848" i="1"/>
  <c r="L848" i="1"/>
  <c r="S848" i="1"/>
  <c r="G849" i="1"/>
  <c r="L849" i="1"/>
  <c r="S849" i="1"/>
  <c r="G850" i="1"/>
  <c r="L850" i="1"/>
  <c r="S850" i="1"/>
  <c r="G851" i="1"/>
  <c r="L851" i="1"/>
  <c r="S851" i="1"/>
  <c r="G852" i="1"/>
  <c r="L852" i="1"/>
  <c r="S852" i="1"/>
  <c r="G853" i="1"/>
  <c r="L853" i="1"/>
  <c r="S853" i="1"/>
  <c r="G854" i="1"/>
  <c r="L854" i="1"/>
  <c r="S854" i="1"/>
  <c r="G855" i="1"/>
  <c r="L855" i="1"/>
  <c r="S855" i="1"/>
  <c r="G856" i="1"/>
  <c r="L856" i="1"/>
  <c r="S856" i="1"/>
  <c r="G857" i="1"/>
  <c r="L857" i="1"/>
  <c r="S857" i="1"/>
  <c r="G858" i="1"/>
  <c r="L858" i="1"/>
  <c r="S858" i="1"/>
  <c r="G859" i="1"/>
  <c r="L859" i="1"/>
  <c r="S859" i="1"/>
  <c r="G860" i="1"/>
  <c r="L860" i="1"/>
  <c r="S860" i="1"/>
  <c r="G861" i="1"/>
  <c r="L861" i="1"/>
  <c r="S861" i="1"/>
  <c r="G862" i="1"/>
  <c r="L862" i="1"/>
  <c r="S862" i="1"/>
  <c r="G863" i="1"/>
  <c r="L863" i="1"/>
  <c r="S863" i="1"/>
  <c r="G864" i="1"/>
  <c r="L864" i="1"/>
  <c r="S864" i="1"/>
  <c r="G865" i="1"/>
  <c r="L865" i="1"/>
  <c r="S865" i="1"/>
  <c r="G866" i="1"/>
  <c r="L866" i="1"/>
  <c r="S866" i="1"/>
  <c r="G867" i="1"/>
  <c r="L867" i="1"/>
  <c r="S867" i="1"/>
  <c r="G868" i="1"/>
  <c r="L868" i="1"/>
  <c r="S868" i="1"/>
  <c r="G869" i="1"/>
  <c r="L869" i="1"/>
  <c r="S869" i="1"/>
  <c r="G870" i="1"/>
  <c r="L870" i="1"/>
  <c r="S870" i="1"/>
  <c r="G871" i="1"/>
  <c r="L871" i="1"/>
  <c r="S871" i="1"/>
  <c r="G872" i="1"/>
  <c r="L872" i="1"/>
  <c r="S872" i="1"/>
  <c r="G873" i="1"/>
  <c r="L873" i="1"/>
  <c r="S873" i="1"/>
  <c r="G874" i="1"/>
  <c r="L874" i="1"/>
  <c r="S874" i="1"/>
  <c r="G875" i="1"/>
  <c r="L875" i="1"/>
  <c r="S875" i="1"/>
  <c r="G876" i="1"/>
  <c r="L876" i="1"/>
  <c r="S876" i="1"/>
  <c r="G877" i="1"/>
  <c r="L877" i="1"/>
  <c r="S877" i="1"/>
  <c r="G878" i="1"/>
  <c r="L878" i="1"/>
  <c r="S878" i="1"/>
  <c r="G879" i="1"/>
  <c r="L879" i="1"/>
  <c r="S879" i="1"/>
  <c r="G880" i="1"/>
  <c r="L880" i="1"/>
  <c r="S880" i="1"/>
  <c r="G881" i="1"/>
  <c r="L881" i="1"/>
  <c r="S881" i="1"/>
  <c r="G882" i="1"/>
  <c r="L882" i="1"/>
  <c r="S882" i="1"/>
  <c r="G883" i="1"/>
  <c r="L883" i="1"/>
  <c r="S883" i="1"/>
  <c r="G884" i="1"/>
  <c r="L884" i="1"/>
  <c r="S884" i="1"/>
  <c r="G885" i="1"/>
  <c r="L885" i="1"/>
  <c r="S885" i="1"/>
  <c r="G886" i="1"/>
  <c r="L886" i="1"/>
  <c r="S886" i="1"/>
  <c r="G887" i="1"/>
  <c r="L887" i="1"/>
  <c r="S887" i="1"/>
  <c r="G888" i="1"/>
  <c r="L888" i="1"/>
  <c r="S888" i="1"/>
  <c r="G889" i="1"/>
  <c r="L889" i="1"/>
  <c r="S889" i="1"/>
  <c r="G890" i="1"/>
  <c r="L890" i="1"/>
  <c r="S890" i="1"/>
  <c r="G891" i="1"/>
  <c r="L891" i="1"/>
  <c r="S891" i="1"/>
  <c r="G892" i="1"/>
  <c r="L892" i="1"/>
  <c r="S892" i="1"/>
  <c r="G893" i="1"/>
  <c r="L893" i="1"/>
  <c r="S893" i="1"/>
  <c r="G894" i="1"/>
  <c r="L894" i="1"/>
  <c r="S894" i="1"/>
  <c r="G895" i="1"/>
  <c r="L895" i="1"/>
  <c r="S895" i="1"/>
  <c r="G896" i="1"/>
  <c r="L896" i="1"/>
  <c r="S896" i="1"/>
  <c r="G897" i="1"/>
  <c r="L897" i="1"/>
  <c r="S897" i="1"/>
  <c r="G898" i="1"/>
  <c r="L898" i="1"/>
  <c r="S898" i="1"/>
  <c r="G899" i="1"/>
  <c r="L899" i="1"/>
  <c r="S899" i="1"/>
  <c r="G900" i="1"/>
  <c r="L900" i="1"/>
  <c r="S900" i="1"/>
  <c r="G901" i="1"/>
  <c r="L901" i="1"/>
  <c r="S901" i="1"/>
  <c r="G902" i="1"/>
  <c r="L902" i="1"/>
  <c r="S902" i="1"/>
  <c r="G903" i="1"/>
  <c r="L903" i="1"/>
  <c r="S903" i="1"/>
  <c r="G904" i="1"/>
  <c r="L904" i="1"/>
  <c r="S904" i="1"/>
  <c r="G905" i="1"/>
  <c r="L905" i="1"/>
  <c r="S905" i="1"/>
  <c r="G906" i="1"/>
  <c r="L906" i="1"/>
  <c r="S906" i="1"/>
  <c r="G907" i="1"/>
  <c r="L907" i="1"/>
  <c r="S907" i="1"/>
  <c r="G908" i="1"/>
  <c r="L908" i="1"/>
  <c r="S908" i="1"/>
  <c r="G909" i="1"/>
  <c r="L909" i="1"/>
  <c r="S909" i="1"/>
  <c r="G910" i="1"/>
  <c r="L910" i="1"/>
  <c r="S910" i="1"/>
  <c r="G911" i="1"/>
  <c r="L911" i="1"/>
  <c r="S911" i="1"/>
  <c r="G912" i="1"/>
  <c r="L912" i="1"/>
  <c r="S912" i="1"/>
  <c r="G913" i="1"/>
  <c r="L913" i="1"/>
  <c r="S913" i="1"/>
  <c r="G914" i="1"/>
  <c r="L914" i="1"/>
  <c r="S914" i="1"/>
  <c r="G915" i="1"/>
  <c r="L915" i="1"/>
  <c r="S915" i="1"/>
  <c r="G916" i="1"/>
  <c r="L916" i="1"/>
  <c r="S916" i="1"/>
  <c r="G917" i="1"/>
  <c r="L917" i="1"/>
  <c r="S917" i="1"/>
  <c r="G918" i="1"/>
  <c r="L918" i="1"/>
  <c r="S918" i="1"/>
  <c r="G919" i="1"/>
  <c r="L919" i="1"/>
  <c r="S919" i="1"/>
  <c r="G920" i="1"/>
  <c r="L920" i="1"/>
  <c r="S920" i="1"/>
  <c r="G921" i="1"/>
  <c r="L921" i="1"/>
  <c r="S921" i="1"/>
  <c r="G922" i="1"/>
  <c r="L922" i="1"/>
  <c r="S922" i="1"/>
  <c r="G923" i="1"/>
  <c r="L923" i="1"/>
  <c r="S923" i="1"/>
  <c r="G924" i="1"/>
  <c r="L924" i="1"/>
  <c r="S924" i="1"/>
  <c r="G925" i="1"/>
  <c r="L925" i="1"/>
  <c r="S925" i="1"/>
  <c r="G926" i="1"/>
  <c r="L926" i="1"/>
  <c r="S926" i="1"/>
  <c r="G927" i="1"/>
  <c r="L927" i="1"/>
  <c r="S927" i="1"/>
  <c r="G928" i="1"/>
  <c r="L928" i="1"/>
  <c r="S928" i="1"/>
  <c r="G929" i="1"/>
  <c r="L929" i="1"/>
  <c r="S929" i="1"/>
  <c r="G930" i="1"/>
  <c r="L930" i="1"/>
  <c r="S930" i="1"/>
  <c r="G931" i="1"/>
  <c r="L931" i="1"/>
  <c r="S931" i="1"/>
  <c r="G932" i="1"/>
  <c r="L932" i="1"/>
  <c r="S932" i="1"/>
  <c r="G933" i="1"/>
  <c r="L933" i="1"/>
  <c r="S933" i="1"/>
  <c r="G934" i="1"/>
  <c r="L934" i="1"/>
  <c r="S934" i="1"/>
  <c r="G935" i="1"/>
  <c r="L935" i="1"/>
  <c r="S935" i="1"/>
  <c r="G936" i="1"/>
  <c r="L936" i="1"/>
  <c r="S936" i="1"/>
  <c r="G937" i="1"/>
  <c r="L937" i="1"/>
  <c r="S937" i="1"/>
  <c r="G938" i="1"/>
  <c r="L938" i="1"/>
  <c r="S938" i="1"/>
  <c r="G939" i="1"/>
  <c r="L939" i="1"/>
  <c r="S939" i="1"/>
  <c r="G940" i="1"/>
  <c r="L940" i="1"/>
  <c r="S940" i="1"/>
  <c r="G941" i="1"/>
  <c r="L941" i="1"/>
  <c r="S941" i="1"/>
  <c r="G942" i="1"/>
  <c r="L942" i="1"/>
  <c r="S942" i="1"/>
  <c r="G943" i="1"/>
  <c r="L943" i="1"/>
  <c r="S943" i="1"/>
  <c r="G944" i="1"/>
  <c r="L944" i="1"/>
  <c r="S944" i="1"/>
  <c r="G945" i="1"/>
  <c r="L945" i="1"/>
  <c r="S945" i="1"/>
  <c r="G946" i="1"/>
  <c r="L946" i="1"/>
  <c r="S946" i="1"/>
  <c r="G947" i="1"/>
  <c r="L947" i="1"/>
  <c r="S947" i="1"/>
  <c r="G948" i="1"/>
  <c r="L948" i="1"/>
  <c r="S948" i="1"/>
  <c r="G949" i="1"/>
  <c r="L949" i="1"/>
  <c r="S949" i="1"/>
  <c r="G950" i="1"/>
  <c r="L950" i="1"/>
  <c r="S950" i="1"/>
  <c r="G951" i="1"/>
  <c r="L951" i="1"/>
  <c r="S951" i="1"/>
  <c r="G952" i="1"/>
  <c r="L952" i="1"/>
  <c r="S952" i="1"/>
  <c r="G953" i="1"/>
  <c r="L953" i="1"/>
  <c r="S953" i="1"/>
  <c r="G954" i="1"/>
  <c r="L954" i="1"/>
  <c r="S954" i="1"/>
  <c r="G955" i="1"/>
  <c r="L955" i="1"/>
  <c r="S955" i="1"/>
  <c r="G956" i="1"/>
  <c r="L956" i="1"/>
  <c r="S956" i="1"/>
  <c r="G957" i="1"/>
  <c r="L957" i="1"/>
  <c r="S957" i="1"/>
  <c r="G958" i="1"/>
  <c r="L958" i="1"/>
  <c r="S958" i="1"/>
  <c r="G959" i="1"/>
  <c r="L959" i="1"/>
  <c r="S959" i="1"/>
  <c r="G960" i="1"/>
  <c r="L960" i="1"/>
  <c r="S960" i="1"/>
  <c r="G961" i="1"/>
  <c r="L961" i="1"/>
  <c r="S961" i="1"/>
  <c r="G962" i="1"/>
  <c r="L962" i="1"/>
  <c r="S962" i="1"/>
  <c r="G963" i="1"/>
  <c r="L963" i="1"/>
  <c r="S963" i="1"/>
  <c r="G964" i="1"/>
  <c r="L964" i="1"/>
  <c r="S964" i="1"/>
  <c r="G965" i="1"/>
  <c r="L965" i="1"/>
  <c r="S965" i="1"/>
  <c r="G966" i="1"/>
  <c r="L966" i="1"/>
  <c r="S966" i="1"/>
  <c r="G967" i="1"/>
  <c r="L967" i="1"/>
  <c r="S967" i="1"/>
  <c r="G968" i="1"/>
  <c r="L968" i="1"/>
  <c r="S968" i="1"/>
  <c r="G969" i="1"/>
  <c r="L969" i="1"/>
  <c r="S969" i="1"/>
  <c r="G970" i="1"/>
  <c r="L970" i="1"/>
  <c r="S970" i="1"/>
  <c r="G971" i="1"/>
  <c r="L971" i="1"/>
  <c r="S971" i="1"/>
  <c r="G972" i="1"/>
  <c r="L972" i="1"/>
  <c r="S972" i="1"/>
  <c r="G973" i="1"/>
  <c r="L973" i="1"/>
  <c r="S973" i="1"/>
  <c r="G974" i="1"/>
  <c r="L974" i="1"/>
  <c r="S974" i="1"/>
  <c r="G975" i="1"/>
  <c r="L975" i="1"/>
  <c r="S975" i="1"/>
  <c r="G976" i="1"/>
  <c r="L976" i="1"/>
  <c r="S976" i="1"/>
  <c r="G977" i="1"/>
  <c r="L977" i="1"/>
  <c r="S977" i="1"/>
  <c r="G978" i="1"/>
  <c r="L978" i="1"/>
  <c r="S978" i="1"/>
  <c r="G979" i="1"/>
  <c r="L979" i="1"/>
  <c r="S979" i="1"/>
  <c r="G980" i="1"/>
  <c r="L980" i="1"/>
  <c r="S980" i="1"/>
  <c r="G981" i="1"/>
  <c r="L981" i="1"/>
  <c r="S981" i="1"/>
  <c r="G982" i="1"/>
  <c r="L982" i="1"/>
  <c r="S982" i="1"/>
  <c r="G983" i="1"/>
  <c r="L983" i="1"/>
  <c r="S983" i="1"/>
  <c r="G984" i="1"/>
  <c r="L984" i="1"/>
  <c r="S984" i="1"/>
  <c r="G985" i="1"/>
  <c r="L985" i="1"/>
  <c r="S985" i="1"/>
  <c r="G986" i="1"/>
  <c r="L986" i="1"/>
  <c r="S986" i="1"/>
  <c r="G987" i="1"/>
  <c r="L987" i="1"/>
  <c r="S987" i="1"/>
  <c r="G988" i="1"/>
  <c r="L988" i="1"/>
  <c r="S988" i="1"/>
  <c r="G989" i="1"/>
  <c r="L989" i="1"/>
  <c r="S989" i="1"/>
  <c r="G990" i="1"/>
  <c r="L990" i="1"/>
  <c r="S990" i="1"/>
  <c r="G991" i="1"/>
  <c r="L991" i="1"/>
  <c r="S991" i="1"/>
  <c r="G992" i="1"/>
  <c r="L992" i="1"/>
  <c r="S992" i="1"/>
  <c r="G993" i="1"/>
  <c r="L993" i="1"/>
  <c r="S993" i="1"/>
  <c r="G994" i="1"/>
  <c r="L994" i="1"/>
  <c r="S994" i="1"/>
  <c r="G995" i="1"/>
  <c r="L995" i="1"/>
  <c r="S995" i="1"/>
  <c r="G996" i="1"/>
  <c r="L996" i="1"/>
  <c r="S996" i="1"/>
  <c r="G997" i="1"/>
  <c r="L997" i="1"/>
  <c r="S997" i="1"/>
  <c r="G998" i="1"/>
  <c r="L998" i="1"/>
  <c r="S998" i="1"/>
  <c r="G999" i="1"/>
  <c r="L999" i="1"/>
  <c r="S999" i="1"/>
  <c r="G1000" i="1"/>
  <c r="L1000" i="1"/>
  <c r="S1000" i="1"/>
  <c r="G1001" i="1"/>
  <c r="L1001" i="1"/>
  <c r="S1001" i="1"/>
  <c r="G1002" i="1"/>
  <c r="L1002" i="1"/>
  <c r="S1002" i="1"/>
  <c r="G1003" i="1"/>
  <c r="L1003" i="1"/>
  <c r="S1003" i="1"/>
  <c r="G1004" i="1"/>
  <c r="L1004" i="1"/>
  <c r="S1004" i="1"/>
  <c r="G1005" i="1"/>
  <c r="L1005" i="1"/>
  <c r="S1005" i="1"/>
  <c r="G1006" i="1"/>
  <c r="L1006" i="1"/>
  <c r="S1006" i="1"/>
  <c r="G1007" i="1"/>
  <c r="L1007" i="1"/>
  <c r="S1007" i="1"/>
  <c r="G1008" i="1"/>
  <c r="L1008" i="1"/>
  <c r="S1008" i="1"/>
  <c r="G1009" i="1"/>
  <c r="L1009" i="1"/>
  <c r="S1009" i="1"/>
  <c r="G1010" i="1"/>
  <c r="L1010" i="1"/>
  <c r="S1010" i="1"/>
  <c r="G1011" i="1"/>
  <c r="L1011" i="1"/>
  <c r="S1011" i="1"/>
  <c r="G1012" i="1"/>
  <c r="L1012" i="1"/>
  <c r="S1012" i="1"/>
  <c r="G1013" i="1"/>
  <c r="L1013" i="1"/>
  <c r="S1013" i="1"/>
  <c r="G1014" i="1"/>
  <c r="L1014" i="1"/>
  <c r="S1014" i="1"/>
  <c r="G1015" i="1"/>
  <c r="L1015" i="1"/>
  <c r="S1015" i="1"/>
  <c r="G1016" i="1"/>
  <c r="L1016" i="1"/>
  <c r="S1016" i="1"/>
  <c r="G1017" i="1"/>
  <c r="L1017" i="1"/>
  <c r="S1017" i="1"/>
  <c r="G1018" i="1"/>
  <c r="L1018" i="1"/>
  <c r="S1018" i="1"/>
  <c r="G1019" i="1"/>
  <c r="L1019" i="1"/>
  <c r="S1019" i="1"/>
  <c r="G1020" i="1"/>
  <c r="L1020" i="1"/>
  <c r="S1020" i="1"/>
  <c r="G1021" i="1"/>
  <c r="L1021" i="1"/>
  <c r="S1021" i="1"/>
  <c r="G1022" i="1"/>
  <c r="L1022" i="1"/>
  <c r="S1022" i="1"/>
  <c r="G1023" i="1"/>
  <c r="L1023" i="1"/>
  <c r="S1023" i="1"/>
  <c r="G1024" i="1"/>
  <c r="L1024" i="1"/>
  <c r="S1024" i="1"/>
  <c r="G1025" i="1"/>
  <c r="L1025" i="1"/>
  <c r="S1025" i="1"/>
  <c r="G1026" i="1"/>
  <c r="L1026" i="1"/>
  <c r="S1026" i="1"/>
  <c r="G1027" i="1"/>
  <c r="L1027" i="1"/>
  <c r="S1027" i="1"/>
  <c r="G1028" i="1"/>
  <c r="L1028" i="1"/>
  <c r="S1028" i="1"/>
  <c r="G1029" i="1"/>
  <c r="L1029" i="1"/>
  <c r="S1029" i="1"/>
  <c r="G1030" i="1"/>
  <c r="L1030" i="1"/>
  <c r="S1030" i="1"/>
  <c r="G1031" i="1"/>
  <c r="L1031" i="1"/>
  <c r="S1031" i="1"/>
  <c r="G1032" i="1"/>
  <c r="L1032" i="1"/>
  <c r="S1032" i="1"/>
  <c r="G1033" i="1"/>
  <c r="L1033" i="1"/>
  <c r="S1033" i="1"/>
  <c r="G1034" i="1"/>
  <c r="L1034" i="1"/>
  <c r="S1034" i="1"/>
  <c r="G1035" i="1"/>
  <c r="L1035" i="1"/>
  <c r="S1035" i="1"/>
  <c r="G1036" i="1"/>
  <c r="L1036" i="1"/>
  <c r="S1036" i="1"/>
  <c r="G1037" i="1"/>
  <c r="L1037" i="1"/>
  <c r="S1037" i="1"/>
  <c r="G1038" i="1"/>
  <c r="L1038" i="1"/>
  <c r="S1038" i="1"/>
  <c r="G1039" i="1"/>
  <c r="L1039" i="1"/>
  <c r="S1039" i="1"/>
  <c r="G1040" i="1"/>
  <c r="L1040" i="1"/>
  <c r="S1040" i="1"/>
  <c r="G1041" i="1"/>
  <c r="L1041" i="1"/>
  <c r="S1041" i="1"/>
  <c r="G1042" i="1"/>
  <c r="L1042" i="1"/>
  <c r="S1042" i="1"/>
  <c r="G1043" i="1"/>
  <c r="L1043" i="1"/>
  <c r="S1043" i="1"/>
  <c r="G1044" i="1"/>
  <c r="L1044" i="1"/>
  <c r="S1044" i="1"/>
  <c r="G1045" i="1"/>
  <c r="L1045" i="1"/>
  <c r="S1045" i="1"/>
  <c r="G1046" i="1"/>
  <c r="L1046" i="1"/>
  <c r="S1046" i="1"/>
  <c r="G1047" i="1"/>
  <c r="L1047" i="1"/>
  <c r="S1047" i="1"/>
  <c r="G1048" i="1"/>
  <c r="L1048" i="1"/>
  <c r="S1048" i="1"/>
  <c r="G1049" i="1"/>
  <c r="L1049" i="1"/>
  <c r="S1049" i="1"/>
  <c r="G1050" i="1"/>
  <c r="L1050" i="1"/>
  <c r="S1050" i="1"/>
  <c r="G1051" i="1"/>
  <c r="L1051" i="1"/>
  <c r="S1051" i="1"/>
  <c r="G1052" i="1"/>
  <c r="L1052" i="1"/>
  <c r="S1052" i="1"/>
  <c r="G1053" i="1"/>
  <c r="L1053" i="1"/>
  <c r="S1053" i="1"/>
  <c r="G1054" i="1"/>
  <c r="L1054" i="1"/>
  <c r="S1054" i="1"/>
  <c r="G1055" i="1"/>
  <c r="L1055" i="1"/>
  <c r="S1055" i="1"/>
  <c r="G1056" i="1"/>
  <c r="L1056" i="1"/>
  <c r="S1056" i="1"/>
  <c r="G1057" i="1"/>
  <c r="L1057" i="1"/>
  <c r="S1057" i="1"/>
  <c r="G1058" i="1"/>
  <c r="L1058" i="1"/>
  <c r="S1058" i="1"/>
  <c r="G1059" i="1"/>
  <c r="L1059" i="1"/>
  <c r="S1059" i="1"/>
  <c r="G1060" i="1"/>
  <c r="L1060" i="1"/>
  <c r="S1060" i="1"/>
  <c r="G1061" i="1"/>
  <c r="L1061" i="1"/>
  <c r="S1061" i="1"/>
  <c r="G1062" i="1"/>
  <c r="L1062" i="1"/>
  <c r="S1062" i="1"/>
  <c r="G1063" i="1"/>
  <c r="L1063" i="1"/>
  <c r="S1063" i="1"/>
  <c r="G1064" i="1"/>
  <c r="L1064" i="1"/>
  <c r="S1064" i="1"/>
  <c r="G1065" i="1"/>
  <c r="L1065" i="1"/>
  <c r="S1065" i="1"/>
  <c r="G1066" i="1"/>
  <c r="L1066" i="1"/>
  <c r="S1066" i="1"/>
  <c r="G1067" i="1"/>
  <c r="L1067" i="1"/>
  <c r="S1067" i="1"/>
  <c r="G1068" i="1"/>
  <c r="L1068" i="1"/>
  <c r="S1068" i="1"/>
  <c r="G1069" i="1"/>
  <c r="L1069" i="1"/>
  <c r="S1069" i="1"/>
  <c r="G1070" i="1"/>
  <c r="L1070" i="1"/>
  <c r="S1070" i="1"/>
  <c r="G1071" i="1"/>
  <c r="L1071" i="1"/>
  <c r="S1071" i="1"/>
  <c r="G1072" i="1"/>
  <c r="L1072" i="1"/>
  <c r="S1072" i="1"/>
  <c r="G1073" i="1"/>
  <c r="L1073" i="1"/>
  <c r="S1073" i="1"/>
  <c r="G1074" i="1"/>
  <c r="L1074" i="1"/>
  <c r="S1074" i="1"/>
  <c r="G1075" i="1"/>
  <c r="L1075" i="1"/>
  <c r="S1075" i="1"/>
  <c r="G1076" i="1"/>
  <c r="L1076" i="1"/>
  <c r="S1076" i="1"/>
  <c r="G1077" i="1"/>
  <c r="L1077" i="1"/>
  <c r="S1077" i="1"/>
  <c r="G1078" i="1"/>
  <c r="L1078" i="1"/>
  <c r="S1078" i="1"/>
  <c r="G1079" i="1"/>
  <c r="L1079" i="1"/>
  <c r="S1079" i="1"/>
  <c r="G1080" i="1"/>
  <c r="L1080" i="1"/>
  <c r="S1080" i="1"/>
  <c r="G1081" i="1"/>
  <c r="L1081" i="1"/>
  <c r="S1081" i="1"/>
  <c r="G1082" i="1"/>
  <c r="L1082" i="1"/>
  <c r="S1082" i="1"/>
  <c r="G1083" i="1"/>
  <c r="L1083" i="1"/>
  <c r="S1083" i="1"/>
  <c r="G1084" i="1"/>
  <c r="L1084" i="1"/>
  <c r="S1084" i="1"/>
  <c r="G649" i="1"/>
  <c r="L649" i="1"/>
  <c r="S649" i="1"/>
  <c r="G650" i="1"/>
  <c r="L650" i="1"/>
  <c r="S650" i="1"/>
  <c r="G651" i="1"/>
  <c r="L651" i="1"/>
  <c r="S651" i="1"/>
  <c r="G652" i="1"/>
  <c r="L652" i="1"/>
  <c r="S652" i="1"/>
  <c r="G653" i="1"/>
  <c r="L653" i="1"/>
  <c r="S653" i="1"/>
  <c r="G654" i="1"/>
  <c r="L654" i="1"/>
  <c r="S654" i="1"/>
  <c r="G655" i="1"/>
  <c r="L655" i="1"/>
  <c r="S655" i="1"/>
  <c r="G656" i="1"/>
  <c r="L656" i="1"/>
  <c r="S656" i="1"/>
  <c r="S659" i="1"/>
  <c r="L659" i="1"/>
  <c r="G659" i="1"/>
  <c r="S644" i="1"/>
  <c r="L644" i="1"/>
  <c r="G644" i="1"/>
  <c r="S640" i="1"/>
  <c r="L640" i="1"/>
  <c r="G640" i="1"/>
  <c r="S620" i="1"/>
  <c r="L620" i="1"/>
  <c r="G620" i="1"/>
  <c r="S619" i="1"/>
  <c r="L619" i="1"/>
  <c r="G619" i="1"/>
  <c r="S618" i="1"/>
  <c r="L618" i="1"/>
  <c r="G618" i="1"/>
  <c r="S617" i="1"/>
  <c r="L617" i="1"/>
  <c r="G617" i="1"/>
  <c r="S615" i="1"/>
  <c r="L615" i="1"/>
  <c r="G615" i="1"/>
  <c r="S614" i="1"/>
  <c r="L614" i="1"/>
  <c r="G614" i="1"/>
  <c r="S613" i="1"/>
  <c r="L613" i="1"/>
  <c r="G613" i="1"/>
  <c r="S612" i="1"/>
  <c r="L612" i="1"/>
  <c r="G612" i="1"/>
  <c r="S611" i="1"/>
  <c r="L611" i="1"/>
  <c r="G611" i="1"/>
  <c r="S610" i="1"/>
  <c r="L610" i="1"/>
  <c r="G610" i="1"/>
  <c r="S609" i="1"/>
  <c r="L609" i="1"/>
  <c r="G609" i="1"/>
  <c r="S608" i="1"/>
  <c r="L608" i="1"/>
  <c r="G608" i="1"/>
  <c r="S607" i="1"/>
  <c r="L607" i="1"/>
  <c r="G607" i="1"/>
  <c r="S606" i="1"/>
  <c r="L606" i="1"/>
  <c r="G606" i="1"/>
  <c r="G621" i="1" l="1"/>
  <c r="L621" i="1"/>
  <c r="S621" i="1"/>
  <c r="G622" i="1"/>
  <c r="L622" i="1"/>
  <c r="S622" i="1"/>
  <c r="G623" i="1"/>
  <c r="L623" i="1"/>
  <c r="S623" i="1"/>
  <c r="G624" i="1"/>
  <c r="L624" i="1"/>
  <c r="S624" i="1"/>
  <c r="G639" i="1"/>
  <c r="L639" i="1"/>
  <c r="S639" i="1"/>
  <c r="G616" i="1"/>
  <c r="L616" i="1"/>
  <c r="S616" i="1"/>
  <c r="G625" i="1"/>
  <c r="L625" i="1"/>
  <c r="S625" i="1"/>
  <c r="G626" i="1"/>
  <c r="L626" i="1"/>
  <c r="S626" i="1"/>
  <c r="G627" i="1"/>
  <c r="L627" i="1"/>
  <c r="S627" i="1"/>
  <c r="G628" i="1"/>
  <c r="L628" i="1"/>
  <c r="S628" i="1"/>
  <c r="G629" i="1"/>
  <c r="L629" i="1"/>
  <c r="S629" i="1"/>
  <c r="G630" i="1"/>
  <c r="L630" i="1"/>
  <c r="S630" i="1"/>
  <c r="G631" i="1"/>
  <c r="L631" i="1"/>
  <c r="S631" i="1"/>
  <c r="G632" i="1"/>
  <c r="L632" i="1"/>
  <c r="S632" i="1"/>
  <c r="G633" i="1"/>
  <c r="L633" i="1"/>
  <c r="S633" i="1"/>
  <c r="G635" i="1"/>
  <c r="L635" i="1"/>
  <c r="S635" i="1"/>
  <c r="G636" i="1"/>
  <c r="L636" i="1"/>
  <c r="S636" i="1"/>
  <c r="G637" i="1"/>
  <c r="L637" i="1"/>
  <c r="S637" i="1"/>
  <c r="G638" i="1"/>
  <c r="L638" i="1"/>
  <c r="S638" i="1"/>
  <c r="G641" i="1"/>
  <c r="L641" i="1"/>
  <c r="S641" i="1"/>
  <c r="G642" i="1"/>
  <c r="L642" i="1"/>
  <c r="S642" i="1"/>
  <c r="G643" i="1"/>
  <c r="L643" i="1"/>
  <c r="S643" i="1"/>
  <c r="G645" i="1"/>
  <c r="L645" i="1"/>
  <c r="S645" i="1"/>
  <c r="G646" i="1"/>
  <c r="L646" i="1"/>
  <c r="S646" i="1"/>
  <c r="G647" i="1"/>
  <c r="L647" i="1"/>
  <c r="S647" i="1"/>
  <c r="G648" i="1"/>
  <c r="L648" i="1"/>
  <c r="S648" i="1"/>
  <c r="G657" i="1"/>
  <c r="L657" i="1"/>
  <c r="S657" i="1"/>
  <c r="G658" i="1"/>
  <c r="L658" i="1"/>
  <c r="S658" i="1"/>
  <c r="G660" i="1"/>
  <c r="L660" i="1"/>
  <c r="S660" i="1"/>
  <c r="G661" i="1"/>
  <c r="L661" i="1"/>
  <c r="S661" i="1"/>
  <c r="G662" i="1"/>
  <c r="L662" i="1"/>
  <c r="S662" i="1"/>
  <c r="G663" i="1"/>
  <c r="L663" i="1"/>
  <c r="S663" i="1"/>
  <c r="G664" i="1"/>
  <c r="L664" i="1"/>
  <c r="S664" i="1"/>
  <c r="G665" i="1"/>
  <c r="L665" i="1"/>
  <c r="S665" i="1"/>
  <c r="G666" i="1"/>
  <c r="L666" i="1"/>
  <c r="S666" i="1"/>
  <c r="G667" i="1"/>
  <c r="L667" i="1"/>
  <c r="S667" i="1"/>
  <c r="G668" i="1"/>
  <c r="L668" i="1"/>
  <c r="S668" i="1"/>
  <c r="G669" i="1"/>
  <c r="L669" i="1"/>
  <c r="S669" i="1"/>
  <c r="G670" i="1"/>
  <c r="L670" i="1"/>
  <c r="S670" i="1"/>
  <c r="G671" i="1"/>
  <c r="L671" i="1"/>
  <c r="S671" i="1"/>
  <c r="G672" i="1"/>
  <c r="L672" i="1"/>
  <c r="S672" i="1"/>
  <c r="G673" i="1"/>
  <c r="L673" i="1"/>
  <c r="S673" i="1"/>
  <c r="G674" i="1"/>
  <c r="L674" i="1"/>
  <c r="S674" i="1"/>
  <c r="G675" i="1"/>
  <c r="L675" i="1"/>
  <c r="S675" i="1"/>
  <c r="G676" i="1"/>
  <c r="L676" i="1"/>
  <c r="S676" i="1"/>
  <c r="G677" i="1"/>
  <c r="L677" i="1"/>
  <c r="S677" i="1"/>
  <c r="G678" i="1"/>
  <c r="L678" i="1"/>
  <c r="S678" i="1"/>
  <c r="G679" i="1"/>
  <c r="L679" i="1"/>
  <c r="S679" i="1"/>
  <c r="G680" i="1"/>
  <c r="L680" i="1"/>
  <c r="S680" i="1"/>
  <c r="G681" i="1"/>
  <c r="L681" i="1"/>
  <c r="S681" i="1"/>
  <c r="G571" i="1"/>
  <c r="L571" i="1"/>
  <c r="S571" i="1"/>
  <c r="G572" i="1"/>
  <c r="L572" i="1"/>
  <c r="S572" i="1"/>
  <c r="G573" i="1"/>
  <c r="L573" i="1"/>
  <c r="S573" i="1"/>
  <c r="G574" i="1"/>
  <c r="L574" i="1"/>
  <c r="S574" i="1"/>
  <c r="G575" i="1"/>
  <c r="L575" i="1"/>
  <c r="S575" i="1"/>
  <c r="G594" i="1"/>
  <c r="G593" i="1"/>
  <c r="G598" i="1"/>
  <c r="G604" i="1"/>
  <c r="G603" i="1"/>
  <c r="G600" i="1"/>
  <c r="G580" i="1"/>
  <c r="G588" i="1"/>
  <c r="G597" i="1"/>
  <c r="G602" i="1"/>
  <c r="G586" i="1"/>
  <c r="G590" i="1"/>
  <c r="G582" i="1"/>
  <c r="G601" i="1"/>
  <c r="G605" i="1"/>
  <c r="G599" i="1"/>
  <c r="G596" i="1"/>
  <c r="G595" i="1"/>
  <c r="G592" i="1"/>
  <c r="G591" i="1"/>
  <c r="G589" i="1"/>
  <c r="G587" i="1"/>
  <c r="G585" i="1"/>
  <c r="G584" i="1"/>
  <c r="G583" i="1"/>
  <c r="G581" i="1"/>
  <c r="G579" i="1"/>
  <c r="G578" i="1"/>
  <c r="G577" i="1"/>
  <c r="G576" i="1"/>
  <c r="G570" i="1"/>
  <c r="G569" i="1"/>
  <c r="G568" i="1"/>
  <c r="G567" i="1"/>
  <c r="G566" i="1"/>
  <c r="G565" i="1"/>
  <c r="G563" i="1"/>
  <c r="G562" i="1"/>
  <c r="G561" i="1"/>
  <c r="G560" i="1"/>
  <c r="G559" i="1"/>
  <c r="G558" i="1"/>
  <c r="G557" i="1"/>
  <c r="G556" i="1"/>
  <c r="G555" i="1"/>
  <c r="G554" i="1"/>
  <c r="G553" i="1"/>
  <c r="G552" i="1"/>
  <c r="G551" i="1"/>
  <c r="G550" i="1"/>
  <c r="G549" i="1"/>
  <c r="G548" i="1"/>
  <c r="G547" i="1"/>
  <c r="G546" i="1"/>
  <c r="G545" i="1"/>
  <c r="G544" i="1"/>
  <c r="G543" i="1"/>
  <c r="L594" i="1"/>
  <c r="L593" i="1"/>
  <c r="L598" i="1"/>
  <c r="L604" i="1"/>
  <c r="L603" i="1"/>
  <c r="L600" i="1"/>
  <c r="L580" i="1"/>
  <c r="L588" i="1"/>
  <c r="L597" i="1"/>
  <c r="L602" i="1"/>
  <c r="L586" i="1"/>
  <c r="L590" i="1"/>
  <c r="L582" i="1"/>
  <c r="L601" i="1"/>
  <c r="L605" i="1"/>
  <c r="L599" i="1"/>
  <c r="L596" i="1"/>
  <c r="L595" i="1"/>
  <c r="L592" i="1"/>
  <c r="L591" i="1"/>
  <c r="L589" i="1"/>
  <c r="L587" i="1"/>
  <c r="L585" i="1"/>
  <c r="L584" i="1"/>
  <c r="L583" i="1"/>
  <c r="L581" i="1"/>
  <c r="L579" i="1"/>
  <c r="L578" i="1"/>
  <c r="L577" i="1"/>
  <c r="L576" i="1"/>
  <c r="L570" i="1"/>
  <c r="L569" i="1"/>
  <c r="L568" i="1"/>
  <c r="L567" i="1"/>
  <c r="L566" i="1"/>
  <c r="L565" i="1"/>
  <c r="L563" i="1"/>
  <c r="L562" i="1"/>
  <c r="L561" i="1"/>
  <c r="L560" i="1"/>
  <c r="L559" i="1"/>
  <c r="L558" i="1"/>
  <c r="L557" i="1"/>
  <c r="L556" i="1"/>
  <c r="L555" i="1"/>
  <c r="L554" i="1"/>
  <c r="L553" i="1"/>
  <c r="L552" i="1"/>
  <c r="L551" i="1"/>
  <c r="L550" i="1"/>
  <c r="L549" i="1"/>
  <c r="L548" i="1"/>
  <c r="L547" i="1"/>
  <c r="L546" i="1"/>
  <c r="L545" i="1"/>
  <c r="L544" i="1"/>
  <c r="L543" i="1"/>
  <c r="L542" i="1"/>
  <c r="S594" i="1"/>
  <c r="S593" i="1"/>
  <c r="S598" i="1"/>
  <c r="S604" i="1"/>
  <c r="S603" i="1"/>
  <c r="S600" i="1"/>
  <c r="S580" i="1"/>
  <c r="S588" i="1"/>
  <c r="S597" i="1"/>
  <c r="S602" i="1"/>
  <c r="S586" i="1"/>
  <c r="S590" i="1"/>
  <c r="S582" i="1"/>
  <c r="S601" i="1"/>
  <c r="S605" i="1"/>
  <c r="S599" i="1"/>
  <c r="S596" i="1"/>
  <c r="S595" i="1"/>
  <c r="S592" i="1"/>
  <c r="S591" i="1"/>
  <c r="S589" i="1"/>
  <c r="S587" i="1"/>
  <c r="S585" i="1"/>
  <c r="S584" i="1"/>
  <c r="S583" i="1"/>
  <c r="S581" i="1"/>
  <c r="S579" i="1"/>
  <c r="S578" i="1"/>
  <c r="S577" i="1"/>
  <c r="S576" i="1"/>
  <c r="S570" i="1"/>
  <c r="S569" i="1"/>
  <c r="S568" i="1"/>
  <c r="S567" i="1"/>
  <c r="S566" i="1"/>
  <c r="S565" i="1"/>
  <c r="S563" i="1"/>
  <c r="S562" i="1"/>
  <c r="S561" i="1"/>
  <c r="S560" i="1"/>
  <c r="S559" i="1"/>
  <c r="S558" i="1"/>
  <c r="S557" i="1"/>
  <c r="S556" i="1"/>
  <c r="S555" i="1"/>
  <c r="S554" i="1"/>
  <c r="S553" i="1"/>
  <c r="S552" i="1"/>
  <c r="S551" i="1"/>
  <c r="S550" i="1"/>
  <c r="S549" i="1"/>
  <c r="S548" i="1"/>
  <c r="S547" i="1"/>
  <c r="S546" i="1"/>
  <c r="S545" i="1"/>
  <c r="S544" i="1"/>
  <c r="S543" i="1"/>
  <c r="S542" i="1"/>
  <c r="S541" i="1"/>
  <c r="S536" i="1"/>
  <c r="L536" i="1"/>
  <c r="G536" i="1"/>
  <c r="S533" i="1"/>
  <c r="L533" i="1"/>
  <c r="G533" i="1"/>
  <c r="S526" i="1"/>
  <c r="L526" i="1"/>
  <c r="G526" i="1"/>
  <c r="G515" i="1"/>
  <c r="L515" i="1"/>
  <c r="S515" i="1"/>
  <c r="G527" i="1"/>
  <c r="L527" i="1"/>
  <c r="S527" i="1"/>
  <c r="G530" i="1"/>
  <c r="L530" i="1"/>
  <c r="S530" i="1"/>
  <c r="G634" i="1"/>
  <c r="L634" i="1"/>
  <c r="S634" i="1"/>
  <c r="G532" i="1"/>
  <c r="L532" i="1"/>
  <c r="S532" i="1"/>
  <c r="G538" i="1"/>
  <c r="L538" i="1"/>
  <c r="S538" i="1"/>
  <c r="G539" i="1"/>
  <c r="L539" i="1"/>
  <c r="S539" i="1"/>
  <c r="G542" i="1" l="1"/>
  <c r="S529" i="1"/>
  <c r="L529" i="1"/>
  <c r="G529" i="1"/>
  <c r="S528" i="1"/>
  <c r="L528" i="1"/>
  <c r="G528" i="1"/>
  <c r="S535" i="1"/>
  <c r="L535" i="1"/>
  <c r="G535" i="1"/>
  <c r="S534" i="1"/>
  <c r="L534" i="1"/>
  <c r="G534" i="1"/>
  <c r="S537" i="1"/>
  <c r="L537" i="1"/>
  <c r="G537" i="1"/>
  <c r="S525" i="1"/>
  <c r="L525" i="1"/>
  <c r="G525" i="1"/>
  <c r="S524" i="1"/>
  <c r="L524" i="1"/>
  <c r="G524" i="1"/>
  <c r="S523" i="1"/>
  <c r="L523" i="1"/>
  <c r="G523" i="1"/>
  <c r="S522" i="1"/>
  <c r="L522" i="1"/>
  <c r="G522" i="1"/>
  <c r="L517" i="1"/>
  <c r="G495" i="1"/>
  <c r="G496" i="1"/>
  <c r="G497" i="1"/>
  <c r="G498" i="1"/>
  <c r="G499" i="1"/>
  <c r="G500" i="1"/>
  <c r="G501" i="1"/>
  <c r="G502" i="1"/>
  <c r="G503" i="1"/>
  <c r="G504" i="1"/>
  <c r="G505" i="1"/>
  <c r="G506" i="1"/>
  <c r="G507" i="1"/>
  <c r="G508" i="1"/>
  <c r="G509" i="1"/>
  <c r="G510" i="1"/>
  <c r="G511" i="1"/>
  <c r="G513" i="1"/>
  <c r="G514" i="1"/>
  <c r="G494" i="1"/>
  <c r="S363" i="1"/>
  <c r="L363" i="1"/>
  <c r="G363" i="1"/>
  <c r="L514" i="1"/>
  <c r="L513" i="1"/>
  <c r="L511" i="1"/>
  <c r="L510" i="1"/>
  <c r="L509" i="1"/>
  <c r="L508" i="1"/>
  <c r="L507" i="1"/>
  <c r="L506" i="1"/>
  <c r="L505" i="1"/>
  <c r="L504" i="1"/>
  <c r="L503" i="1"/>
  <c r="L501" i="1"/>
  <c r="L502" i="1"/>
  <c r="L500" i="1"/>
  <c r="L499" i="1"/>
  <c r="L498" i="1"/>
  <c r="L479" i="1"/>
  <c r="L475" i="1"/>
  <c r="L490" i="1"/>
  <c r="L483" i="1"/>
  <c r="G472" i="1"/>
  <c r="L472" i="1"/>
  <c r="S472" i="1"/>
  <c r="S480" i="1"/>
  <c r="E8" i="2"/>
  <c r="D10" i="2"/>
  <c r="E14" i="2"/>
  <c r="G521" i="1"/>
  <c r="S378" i="1"/>
  <c r="L378" i="1"/>
  <c r="G378" i="1"/>
  <c r="S521" i="1"/>
  <c r="L521" i="1"/>
  <c r="S520" i="1"/>
  <c r="L520" i="1"/>
  <c r="G520" i="1"/>
  <c r="S519" i="1"/>
  <c r="L519" i="1"/>
  <c r="G519" i="1"/>
  <c r="S518" i="1"/>
  <c r="L518" i="1"/>
  <c r="G518" i="1"/>
  <c r="S517" i="1"/>
  <c r="G517" i="1"/>
  <c r="S516" i="1"/>
  <c r="L516" i="1"/>
  <c r="G516" i="1"/>
  <c r="S512" i="1"/>
  <c r="L512" i="1"/>
  <c r="G512" i="1"/>
  <c r="L541" i="1"/>
  <c r="G541" i="1"/>
  <c r="S540" i="1"/>
  <c r="L540" i="1"/>
  <c r="G540" i="1"/>
  <c r="S514" i="1"/>
  <c r="S513" i="1"/>
  <c r="S511" i="1"/>
  <c r="S510" i="1"/>
  <c r="S509" i="1"/>
  <c r="S508" i="1"/>
  <c r="S507" i="1"/>
  <c r="S506" i="1"/>
  <c r="S505" i="1"/>
  <c r="S504" i="1"/>
  <c r="S503" i="1"/>
  <c r="S501" i="1"/>
  <c r="S502" i="1"/>
  <c r="S500" i="1"/>
  <c r="S499" i="1"/>
  <c r="S498" i="1"/>
  <c r="S479" i="1"/>
  <c r="G479" i="1"/>
  <c r="S475" i="1"/>
  <c r="G475" i="1"/>
  <c r="S483" i="1"/>
  <c r="G483" i="1"/>
  <c r="S478" i="1"/>
  <c r="L478" i="1"/>
  <c r="G478" i="1"/>
  <c r="S476" i="1"/>
  <c r="L476" i="1"/>
  <c r="G476" i="1"/>
  <c r="S474" i="1"/>
  <c r="L474" i="1"/>
  <c r="G474" i="1"/>
  <c r="S473" i="1"/>
  <c r="L473" i="1"/>
  <c r="G473" i="1"/>
  <c r="S468" i="1"/>
  <c r="L468" i="1"/>
  <c r="G468" i="1"/>
  <c r="S464" i="1"/>
  <c r="L464" i="1"/>
  <c r="G464" i="1"/>
  <c r="L480" i="1"/>
  <c r="G480" i="1"/>
  <c r="S477" i="1"/>
  <c r="L477" i="1"/>
  <c r="G477" i="1"/>
  <c r="S471" i="1"/>
  <c r="L471" i="1"/>
  <c r="G471" i="1"/>
  <c r="G482" i="1"/>
  <c r="L482" i="1"/>
  <c r="S482" i="1"/>
  <c r="S453" i="1"/>
  <c r="L453" i="1"/>
  <c r="G453" i="1"/>
  <c r="S407" i="1"/>
  <c r="L416" i="1"/>
  <c r="S416" i="1"/>
  <c r="G416" i="1"/>
  <c r="G458" i="1"/>
  <c r="L458" i="1"/>
  <c r="S458" i="1"/>
  <c r="G459" i="1"/>
  <c r="L459" i="1"/>
  <c r="S459" i="1"/>
  <c r="G460" i="1"/>
  <c r="L460" i="1"/>
  <c r="S460" i="1"/>
  <c r="G463" i="1"/>
  <c r="L463" i="1"/>
  <c r="S463" i="1"/>
  <c r="G465" i="1"/>
  <c r="L465" i="1"/>
  <c r="S465" i="1"/>
  <c r="G466" i="1"/>
  <c r="L466" i="1"/>
  <c r="S466" i="1"/>
  <c r="G467" i="1"/>
  <c r="L467" i="1"/>
  <c r="S467" i="1"/>
  <c r="G470" i="1"/>
  <c r="L470" i="1"/>
  <c r="S470" i="1"/>
  <c r="G461" i="1"/>
  <c r="L461" i="1"/>
  <c r="S461" i="1"/>
  <c r="G462" i="1"/>
  <c r="L462" i="1"/>
  <c r="S462" i="1"/>
  <c r="S490" i="1"/>
  <c r="G469" i="1"/>
  <c r="L469" i="1"/>
  <c r="S469" i="1"/>
  <c r="G448" i="1"/>
  <c r="L448" i="1"/>
  <c r="S448" i="1"/>
  <c r="G457" i="1"/>
  <c r="L457" i="1"/>
  <c r="S457" i="1"/>
  <c r="G449" i="1"/>
  <c r="L449" i="1"/>
  <c r="S449" i="1"/>
  <c r="G450" i="1"/>
  <c r="L450" i="1"/>
  <c r="S450" i="1"/>
  <c r="G451" i="1"/>
  <c r="L451" i="1"/>
  <c r="S451" i="1"/>
  <c r="G452" i="1"/>
  <c r="L452" i="1"/>
  <c r="S452" i="1"/>
  <c r="G454" i="1"/>
  <c r="L454" i="1"/>
  <c r="S454" i="1"/>
  <c r="G455" i="1"/>
  <c r="L455" i="1"/>
  <c r="S455" i="1"/>
  <c r="G456" i="1"/>
  <c r="L456" i="1"/>
  <c r="S456" i="1"/>
  <c r="G443" i="1"/>
  <c r="L443" i="1"/>
  <c r="S443" i="1"/>
  <c r="G444" i="1"/>
  <c r="L444" i="1"/>
  <c r="S444" i="1"/>
  <c r="G445" i="1"/>
  <c r="L445" i="1"/>
  <c r="S445" i="1"/>
  <c r="G446" i="1"/>
  <c r="L446" i="1"/>
  <c r="S446" i="1"/>
  <c r="G431" i="1"/>
  <c r="L431" i="1"/>
  <c r="S431" i="1"/>
  <c r="G447" i="1"/>
  <c r="L447" i="1"/>
  <c r="S447" i="1"/>
  <c r="G442" i="1"/>
  <c r="L442" i="1"/>
  <c r="S442" i="1"/>
  <c r="G434" i="1"/>
  <c r="L434" i="1"/>
  <c r="S434" i="1"/>
  <c r="G441" i="1"/>
  <c r="L441" i="1"/>
  <c r="S441" i="1"/>
  <c r="G435" i="1"/>
  <c r="L435" i="1"/>
  <c r="S435" i="1"/>
  <c r="G436" i="1"/>
  <c r="L436" i="1"/>
  <c r="S436" i="1"/>
  <c r="G437" i="1"/>
  <c r="L437" i="1"/>
  <c r="S437" i="1"/>
  <c r="G439" i="1"/>
  <c r="L439" i="1"/>
  <c r="S439" i="1"/>
  <c r="G440" i="1"/>
  <c r="L440" i="1"/>
  <c r="S440" i="1"/>
  <c r="G422" i="1"/>
  <c r="L422" i="1"/>
  <c r="S422" i="1"/>
  <c r="G426" i="1"/>
  <c r="L426" i="1"/>
  <c r="S426" i="1"/>
  <c r="G427" i="1"/>
  <c r="L427" i="1"/>
  <c r="S427" i="1"/>
  <c r="G428" i="1"/>
  <c r="L428" i="1"/>
  <c r="S428" i="1"/>
  <c r="G429" i="1"/>
  <c r="L429" i="1"/>
  <c r="S429" i="1"/>
  <c r="G430" i="1"/>
  <c r="L430" i="1"/>
  <c r="S430" i="1"/>
  <c r="G432" i="1"/>
  <c r="L432" i="1"/>
  <c r="S432" i="1"/>
  <c r="G399" i="1"/>
  <c r="L399" i="1"/>
  <c r="S399" i="1"/>
  <c r="G419" i="1"/>
  <c r="L419" i="1"/>
  <c r="S419" i="1"/>
  <c r="G433" i="1"/>
  <c r="L433" i="1"/>
  <c r="S433" i="1"/>
  <c r="G406" i="1"/>
  <c r="L406" i="1"/>
  <c r="S406" i="1"/>
  <c r="G417" i="1"/>
  <c r="L417" i="1"/>
  <c r="S417" i="1"/>
  <c r="G418" i="1"/>
  <c r="L418" i="1"/>
  <c r="S418" i="1"/>
  <c r="G420" i="1"/>
  <c r="L420" i="1"/>
  <c r="S420" i="1"/>
  <c r="G407" i="1"/>
  <c r="L407" i="1"/>
  <c r="G421" i="1"/>
  <c r="L421" i="1"/>
  <c r="S421" i="1"/>
  <c r="G423" i="1"/>
  <c r="L423" i="1"/>
  <c r="S423" i="1"/>
  <c r="G424" i="1"/>
  <c r="L424" i="1"/>
  <c r="S424" i="1"/>
  <c r="G425" i="1"/>
  <c r="L425" i="1"/>
  <c r="S425" i="1"/>
  <c r="G408" i="1"/>
  <c r="L408" i="1"/>
  <c r="S408" i="1"/>
  <c r="G409" i="1"/>
  <c r="L409" i="1"/>
  <c r="S409" i="1"/>
  <c r="G410" i="1"/>
  <c r="L410" i="1"/>
  <c r="S410" i="1"/>
  <c r="G411" i="1"/>
  <c r="L411" i="1"/>
  <c r="S411" i="1"/>
  <c r="G412" i="1"/>
  <c r="L412" i="1"/>
  <c r="S412" i="1"/>
  <c r="G413" i="1"/>
  <c r="L413" i="1"/>
  <c r="S413" i="1"/>
  <c r="G414" i="1"/>
  <c r="L414" i="1"/>
  <c r="S414" i="1"/>
  <c r="G415" i="1"/>
  <c r="L415" i="1"/>
  <c r="S415" i="1"/>
  <c r="L390" i="1"/>
  <c r="L383" i="1"/>
  <c r="S374" i="1"/>
  <c r="L374" i="1"/>
  <c r="G374" i="1"/>
  <c r="G351" i="1"/>
  <c r="L351" i="1"/>
  <c r="S351" i="1"/>
  <c r="L336" i="1"/>
  <c r="L337" i="1"/>
  <c r="L338" i="1"/>
  <c r="L339" i="1"/>
  <c r="L340" i="1"/>
  <c r="L341" i="1"/>
  <c r="L342" i="1"/>
  <c r="L343" i="1"/>
  <c r="L344" i="1"/>
  <c r="L345" i="1"/>
  <c r="L346" i="1"/>
  <c r="L347" i="1"/>
  <c r="L348" i="1"/>
  <c r="L349" i="1"/>
  <c r="L323" i="1"/>
  <c r="L350" i="1"/>
  <c r="L328" i="1"/>
  <c r="L352" i="1"/>
  <c r="L353" i="1"/>
  <c r="L354" i="1"/>
  <c r="L355" i="1"/>
  <c r="L356" i="1"/>
  <c r="L357" i="1"/>
  <c r="L358" i="1"/>
  <c r="L359" i="1"/>
  <c r="L360" i="1"/>
  <c r="L335" i="1"/>
  <c r="S438" i="1"/>
  <c r="L438" i="1"/>
  <c r="G438" i="1"/>
  <c r="S405" i="1"/>
  <c r="L405" i="1"/>
  <c r="G405" i="1"/>
  <c r="S404" i="1"/>
  <c r="L404" i="1"/>
  <c r="G404" i="1"/>
  <c r="S403" i="1"/>
  <c r="L403" i="1"/>
  <c r="G403" i="1"/>
  <c r="S402" i="1"/>
  <c r="L402" i="1"/>
  <c r="G402" i="1"/>
  <c r="S401" i="1"/>
  <c r="L401" i="1"/>
  <c r="G401" i="1"/>
  <c r="S400" i="1"/>
  <c r="L400" i="1"/>
  <c r="G400" i="1"/>
  <c r="S398" i="1"/>
  <c r="L398" i="1"/>
  <c r="G398" i="1"/>
  <c r="S397" i="1"/>
  <c r="L397" i="1"/>
  <c r="G397" i="1"/>
  <c r="S396" i="1"/>
  <c r="L396" i="1"/>
  <c r="G396" i="1"/>
  <c r="S395" i="1"/>
  <c r="L395" i="1"/>
  <c r="G395" i="1"/>
  <c r="S394" i="1"/>
  <c r="L394" i="1"/>
  <c r="G394" i="1"/>
  <c r="S393" i="1"/>
  <c r="L393" i="1"/>
  <c r="G393" i="1"/>
  <c r="S392" i="1"/>
  <c r="L392" i="1"/>
  <c r="G392" i="1"/>
  <c r="S391" i="1"/>
  <c r="L391" i="1"/>
  <c r="G391" i="1"/>
  <c r="S390" i="1"/>
  <c r="G390" i="1"/>
  <c r="S389" i="1"/>
  <c r="L389" i="1"/>
  <c r="G389" i="1"/>
  <c r="S387" i="1"/>
  <c r="L387" i="1"/>
  <c r="G387" i="1"/>
  <c r="S386" i="1"/>
  <c r="L386" i="1"/>
  <c r="G386" i="1"/>
  <c r="S388" i="1"/>
  <c r="L388" i="1"/>
  <c r="G388" i="1"/>
  <c r="S377" i="1"/>
  <c r="L377" i="1"/>
  <c r="G377" i="1"/>
  <c r="S362" i="1"/>
  <c r="L362" i="1"/>
  <c r="G362" i="1"/>
  <c r="S385" i="1"/>
  <c r="L385" i="1"/>
  <c r="G385" i="1"/>
  <c r="S384" i="1"/>
  <c r="L384" i="1"/>
  <c r="G384" i="1"/>
  <c r="S383" i="1"/>
  <c r="G383" i="1"/>
  <c r="S382" i="1"/>
  <c r="L382" i="1"/>
  <c r="G382" i="1"/>
  <c r="S381" i="1"/>
  <c r="L381" i="1"/>
  <c r="G381" i="1"/>
  <c r="S380" i="1"/>
  <c r="L380" i="1"/>
  <c r="G380" i="1"/>
  <c r="S379" i="1"/>
  <c r="L379" i="1"/>
  <c r="G379" i="1"/>
  <c r="S368" i="1"/>
  <c r="L368" i="1"/>
  <c r="G368" i="1"/>
  <c r="S376" i="1"/>
  <c r="L376" i="1"/>
  <c r="G376" i="1"/>
  <c r="S375" i="1"/>
  <c r="L375" i="1"/>
  <c r="G375" i="1"/>
  <c r="S373" i="1"/>
  <c r="L373" i="1"/>
  <c r="G373" i="1"/>
  <c r="S372" i="1"/>
  <c r="L372" i="1"/>
  <c r="G372" i="1"/>
  <c r="S371" i="1"/>
  <c r="L371" i="1"/>
  <c r="G371" i="1"/>
  <c r="S370" i="1"/>
  <c r="L370" i="1"/>
  <c r="G370" i="1"/>
  <c r="S369" i="1"/>
  <c r="L369" i="1"/>
  <c r="G369" i="1"/>
  <c r="S367" i="1"/>
  <c r="L367" i="1"/>
  <c r="G367" i="1"/>
  <c r="S366" i="1"/>
  <c r="L366" i="1"/>
  <c r="G366" i="1"/>
  <c r="S365" i="1"/>
  <c r="L365" i="1"/>
  <c r="G365" i="1"/>
  <c r="S364" i="1"/>
  <c r="L364" i="1"/>
  <c r="G364" i="1"/>
  <c r="S361" i="1"/>
  <c r="L361" i="1"/>
  <c r="G361" i="1"/>
  <c r="S360" i="1"/>
  <c r="G360" i="1"/>
  <c r="S359" i="1"/>
  <c r="G359" i="1"/>
  <c r="S358" i="1"/>
  <c r="G358" i="1"/>
  <c r="S357" i="1"/>
  <c r="G357" i="1"/>
  <c r="S356" i="1"/>
  <c r="G356" i="1"/>
  <c r="S355" i="1"/>
  <c r="G355" i="1"/>
  <c r="S354" i="1"/>
  <c r="G354" i="1"/>
  <c r="S353" i="1"/>
  <c r="G353" i="1"/>
  <c r="S352" i="1"/>
  <c r="G352" i="1"/>
  <c r="S328" i="1"/>
  <c r="G328" i="1"/>
  <c r="S350" i="1"/>
  <c r="G350" i="1"/>
  <c r="S323" i="1"/>
  <c r="G323" i="1"/>
  <c r="S349" i="1"/>
  <c r="G349" i="1"/>
  <c r="S348" i="1"/>
  <c r="G348" i="1"/>
  <c r="S285" i="1"/>
  <c r="L285" i="1"/>
  <c r="G285" i="1"/>
  <c r="G283" i="1"/>
  <c r="S283" i="1"/>
  <c r="L283" i="1"/>
  <c r="S296" i="1"/>
  <c r="L296" i="1"/>
  <c r="G296" i="1"/>
  <c r="S291" i="1"/>
  <c r="L291" i="1"/>
  <c r="G291" i="1"/>
  <c r="S295" i="1"/>
  <c r="L295" i="1"/>
  <c r="G295" i="1"/>
  <c r="S290" i="1"/>
  <c r="L290" i="1"/>
  <c r="G290" i="1"/>
  <c r="S293" i="1"/>
  <c r="L293" i="1"/>
  <c r="G293" i="1"/>
  <c r="S292" i="1"/>
  <c r="L292" i="1"/>
  <c r="G292" i="1"/>
  <c r="S288" i="1"/>
  <c r="L288" i="1"/>
  <c r="G288" i="1"/>
  <c r="S347" i="1"/>
  <c r="G347" i="1"/>
  <c r="S346" i="1"/>
  <c r="G346" i="1"/>
  <c r="S345" i="1"/>
  <c r="G345" i="1"/>
  <c r="S344" i="1"/>
  <c r="G344" i="1"/>
  <c r="S343" i="1"/>
  <c r="G343" i="1"/>
  <c r="S342" i="1"/>
  <c r="G342" i="1"/>
  <c r="S341" i="1"/>
  <c r="G341" i="1"/>
  <c r="S340" i="1"/>
  <c r="G340" i="1"/>
  <c r="S339" i="1"/>
  <c r="G339" i="1"/>
  <c r="S338" i="1"/>
  <c r="G338" i="1"/>
  <c r="S337" i="1"/>
  <c r="G337" i="1"/>
  <c r="S336" i="1"/>
  <c r="G336" i="1"/>
  <c r="S334" i="1"/>
  <c r="L334" i="1"/>
  <c r="G334" i="1"/>
  <c r="S333" i="1"/>
  <c r="L333" i="1"/>
  <c r="G333" i="1"/>
  <c r="S332" i="1"/>
  <c r="L332" i="1"/>
  <c r="G332" i="1"/>
  <c r="S331" i="1"/>
  <c r="L331" i="1"/>
  <c r="G331" i="1"/>
  <c r="S330" i="1"/>
  <c r="L330" i="1"/>
  <c r="G330" i="1"/>
  <c r="S329" i="1"/>
  <c r="L329" i="1"/>
  <c r="G329" i="1"/>
  <c r="S327" i="1"/>
  <c r="L327" i="1"/>
  <c r="G327" i="1"/>
  <c r="S326" i="1"/>
  <c r="L326" i="1"/>
  <c r="G326" i="1"/>
  <c r="S325" i="1"/>
  <c r="L325" i="1"/>
  <c r="G325" i="1"/>
  <c r="S324" i="1"/>
  <c r="L324" i="1"/>
  <c r="G324" i="1"/>
  <c r="S299" i="1"/>
  <c r="L299" i="1"/>
  <c r="G299" i="1"/>
  <c r="S303" i="1"/>
  <c r="L303" i="1"/>
  <c r="G303" i="1"/>
  <c r="S322" i="1"/>
  <c r="L322" i="1"/>
  <c r="G322" i="1"/>
  <c r="S321" i="1"/>
  <c r="L321" i="1"/>
  <c r="G321" i="1"/>
  <c r="S320" i="1"/>
  <c r="L320" i="1"/>
  <c r="G320" i="1"/>
  <c r="S319" i="1"/>
  <c r="L319" i="1"/>
  <c r="G319" i="1"/>
  <c r="S318" i="1"/>
  <c r="L318" i="1"/>
  <c r="G318" i="1"/>
  <c r="G280" i="1"/>
  <c r="G279" i="1"/>
  <c r="L280" i="1"/>
  <c r="L279" i="1"/>
  <c r="S280" i="1"/>
  <c r="S279" i="1"/>
  <c r="S275" i="1"/>
  <c r="L275" i="1"/>
  <c r="G275" i="1"/>
  <c r="S266" i="1"/>
  <c r="L266" i="1"/>
  <c r="G266" i="1"/>
  <c r="L302" i="1"/>
  <c r="L278" i="1"/>
  <c r="G278" i="1"/>
  <c r="S317" i="1"/>
  <c r="L317" i="1"/>
  <c r="G317" i="1"/>
  <c r="S316" i="1"/>
  <c r="L316" i="1"/>
  <c r="G316" i="1"/>
  <c r="S315" i="1"/>
  <c r="L315" i="1"/>
  <c r="G315" i="1"/>
  <c r="S314" i="1"/>
  <c r="L314" i="1"/>
  <c r="G314" i="1"/>
  <c r="S313" i="1"/>
  <c r="L313" i="1"/>
  <c r="G313" i="1"/>
  <c r="S312" i="1"/>
  <c r="L312" i="1"/>
  <c r="G312" i="1"/>
  <c r="S311" i="1"/>
  <c r="L311" i="1"/>
  <c r="G311" i="1"/>
  <c r="S310" i="1"/>
  <c r="L310" i="1"/>
  <c r="G310" i="1"/>
  <c r="S309" i="1"/>
  <c r="L309" i="1"/>
  <c r="G309" i="1"/>
  <c r="S308" i="1"/>
  <c r="L308" i="1"/>
  <c r="G308" i="1"/>
  <c r="S298" i="1"/>
  <c r="L298" i="1"/>
  <c r="G298" i="1"/>
  <c r="S307" i="1"/>
  <c r="L307" i="1"/>
  <c r="G307" i="1"/>
  <c r="S284" i="1"/>
  <c r="L284" i="1"/>
  <c r="G284" i="1"/>
  <c r="S282" i="1"/>
  <c r="L282" i="1"/>
  <c r="G282" i="1"/>
  <c r="S297" i="1"/>
  <c r="L297" i="1"/>
  <c r="G297" i="1"/>
  <c r="S335" i="1"/>
  <c r="G335" i="1"/>
  <c r="S306" i="1"/>
  <c r="L306" i="1"/>
  <c r="G306" i="1"/>
  <c r="S305" i="1"/>
  <c r="L305" i="1"/>
  <c r="G305" i="1"/>
  <c r="S259" i="1"/>
  <c r="L259" i="1"/>
  <c r="G259" i="1"/>
  <c r="S304" i="1"/>
  <c r="L304" i="1"/>
  <c r="G304" i="1"/>
  <c r="S302" i="1"/>
  <c r="G302" i="1"/>
  <c r="S301" i="1"/>
  <c r="L301" i="1"/>
  <c r="G301" i="1"/>
  <c r="S294" i="1"/>
  <c r="L294" i="1"/>
  <c r="G294" i="1"/>
  <c r="S300" i="1"/>
  <c r="L300" i="1"/>
  <c r="G300" i="1"/>
  <c r="S289" i="1"/>
  <c r="L289" i="1"/>
  <c r="G289" i="1"/>
  <c r="S287" i="1"/>
  <c r="L287" i="1"/>
  <c r="G287" i="1"/>
  <c r="S286" i="1"/>
  <c r="L286" i="1"/>
  <c r="G286" i="1"/>
  <c r="S278" i="1"/>
  <c r="S277" i="1"/>
  <c r="L277" i="1"/>
  <c r="G277" i="1"/>
  <c r="S273" i="1"/>
  <c r="L273" i="1"/>
  <c r="G273" i="1"/>
  <c r="S276" i="1"/>
  <c r="L276" i="1"/>
  <c r="G276" i="1"/>
  <c r="S274" i="1"/>
  <c r="L274" i="1"/>
  <c r="G274" i="1"/>
  <c r="S281" i="1"/>
  <c r="L281" i="1"/>
  <c r="G281" i="1"/>
  <c r="S272" i="1"/>
  <c r="L272" i="1"/>
  <c r="G272" i="1"/>
  <c r="S271" i="1"/>
  <c r="L271" i="1"/>
  <c r="G271" i="1"/>
  <c r="S270" i="1"/>
  <c r="L270" i="1"/>
  <c r="G270" i="1"/>
  <c r="S269" i="1"/>
  <c r="L269" i="1"/>
  <c r="G269" i="1"/>
  <c r="S268" i="1"/>
  <c r="L268" i="1"/>
  <c r="G268" i="1"/>
  <c r="S267" i="1"/>
  <c r="L267" i="1"/>
  <c r="G267" i="1"/>
  <c r="S263" i="1"/>
  <c r="L263" i="1"/>
  <c r="G263" i="1"/>
  <c r="S262" i="1"/>
  <c r="L262" i="1"/>
  <c r="G262" i="1"/>
  <c r="S265" i="1"/>
  <c r="L265" i="1"/>
  <c r="G265" i="1"/>
  <c r="S234" i="1"/>
  <c r="G233" i="1"/>
  <c r="L233" i="1"/>
  <c r="S233" i="1"/>
  <c r="L232" i="1"/>
  <c r="S264" i="1"/>
  <c r="L264" i="1"/>
  <c r="G264" i="1"/>
  <c r="S261" i="1"/>
  <c r="L261" i="1"/>
  <c r="G261" i="1"/>
  <c r="S260" i="1"/>
  <c r="L260" i="1"/>
  <c r="G260" i="1"/>
  <c r="S258" i="1"/>
  <c r="L258" i="1"/>
  <c r="G258" i="1"/>
  <c r="S256" i="1"/>
  <c r="L256" i="1"/>
  <c r="G256" i="1"/>
  <c r="S255" i="1"/>
  <c r="L255" i="1"/>
  <c r="G255" i="1"/>
  <c r="S254" i="1"/>
  <c r="L254" i="1"/>
  <c r="G254" i="1"/>
  <c r="S253" i="1"/>
  <c r="L253" i="1"/>
  <c r="G253" i="1"/>
  <c r="S249" i="1"/>
  <c r="L249" i="1"/>
  <c r="G249" i="1"/>
  <c r="S257" i="1"/>
  <c r="L257" i="1"/>
  <c r="G257" i="1"/>
  <c r="S251" i="1"/>
  <c r="L251" i="1"/>
  <c r="G251" i="1"/>
  <c r="S247" i="1"/>
  <c r="L247" i="1"/>
  <c r="G247" i="1"/>
  <c r="S252" i="1"/>
  <c r="L252" i="1"/>
  <c r="G252" i="1"/>
  <c r="S250" i="1"/>
  <c r="L250" i="1"/>
  <c r="G250" i="1"/>
  <c r="S231" i="1"/>
  <c r="L231" i="1"/>
  <c r="G231" i="1"/>
  <c r="S248" i="1"/>
  <c r="L248" i="1"/>
  <c r="G248" i="1"/>
  <c r="S245" i="1"/>
  <c r="L245" i="1"/>
  <c r="G245" i="1"/>
  <c r="S246" i="1"/>
  <c r="L246" i="1"/>
  <c r="G246" i="1"/>
  <c r="S244" i="1"/>
  <c r="L244" i="1"/>
  <c r="G244" i="1"/>
  <c r="S243" i="1"/>
  <c r="L243" i="1"/>
  <c r="G243" i="1"/>
  <c r="S242" i="1"/>
  <c r="L242" i="1"/>
  <c r="G242" i="1"/>
  <c r="S241" i="1"/>
  <c r="L241" i="1"/>
  <c r="G241" i="1"/>
  <c r="S240" i="1"/>
  <c r="L240" i="1"/>
  <c r="G240" i="1"/>
  <c r="S239" i="1"/>
  <c r="L239" i="1"/>
  <c r="G239" i="1"/>
  <c r="S238" i="1"/>
  <c r="L238" i="1"/>
  <c r="G238" i="1"/>
  <c r="S237" i="1"/>
  <c r="L237" i="1"/>
  <c r="G237" i="1"/>
  <c r="S236" i="1"/>
  <c r="L236" i="1"/>
  <c r="G236" i="1"/>
  <c r="S235" i="1"/>
  <c r="L235" i="1"/>
  <c r="G235" i="1"/>
  <c r="L234" i="1"/>
  <c r="G234" i="1"/>
  <c r="S230" i="1"/>
  <c r="L230" i="1"/>
  <c r="G230" i="1"/>
  <c r="S229" i="1"/>
  <c r="L229" i="1"/>
  <c r="G229" i="1"/>
  <c r="S228" i="1"/>
  <c r="L228" i="1"/>
  <c r="G228" i="1"/>
  <c r="S227" i="1"/>
  <c r="L227" i="1"/>
  <c r="G227" i="1"/>
  <c r="S226" i="1"/>
  <c r="L226" i="1"/>
  <c r="G226" i="1"/>
  <c r="S224" i="1"/>
  <c r="L224" i="1"/>
  <c r="G224" i="1"/>
  <c r="S225" i="1"/>
  <c r="L225" i="1"/>
  <c r="G225" i="1"/>
  <c r="S232" i="1"/>
  <c r="G232" i="1"/>
  <c r="S223" i="1"/>
  <c r="L223" i="1"/>
  <c r="G223" i="1"/>
  <c r="S222" i="1"/>
  <c r="L222" i="1"/>
  <c r="G222" i="1"/>
  <c r="S221" i="1"/>
  <c r="L221" i="1"/>
  <c r="G221" i="1"/>
  <c r="S220" i="1"/>
  <c r="L220" i="1"/>
  <c r="G220" i="1"/>
  <c r="S186" i="1"/>
  <c r="L186" i="1"/>
  <c r="G186" i="1"/>
  <c r="S219" i="1"/>
  <c r="L219" i="1"/>
  <c r="G219" i="1"/>
  <c r="S218" i="1"/>
  <c r="L218" i="1"/>
  <c r="G218" i="1"/>
  <c r="S217" i="1"/>
  <c r="L217" i="1"/>
  <c r="G217" i="1"/>
  <c r="S216" i="1"/>
  <c r="L216" i="1"/>
  <c r="G216" i="1"/>
  <c r="S215" i="1"/>
  <c r="L215" i="1"/>
  <c r="G215" i="1"/>
  <c r="S214" i="1"/>
  <c r="L214" i="1"/>
  <c r="G214" i="1"/>
  <c r="S213" i="1"/>
  <c r="L213" i="1"/>
  <c r="G213" i="1"/>
  <c r="S211" i="1"/>
  <c r="L211" i="1"/>
  <c r="G211" i="1"/>
  <c r="S210" i="1"/>
  <c r="L210" i="1"/>
  <c r="G210" i="1"/>
  <c r="S209" i="1"/>
  <c r="L209" i="1"/>
  <c r="G209" i="1"/>
  <c r="S208" i="1"/>
  <c r="L208" i="1"/>
  <c r="G208" i="1"/>
  <c r="S207" i="1"/>
  <c r="L207" i="1"/>
  <c r="G207" i="1"/>
  <c r="S206" i="1"/>
  <c r="L206" i="1"/>
  <c r="G206" i="1"/>
  <c r="S163" i="1"/>
  <c r="L163" i="1"/>
  <c r="G163" i="1"/>
  <c r="S205" i="1"/>
  <c r="L205" i="1"/>
  <c r="G205" i="1"/>
  <c r="S212" i="1"/>
  <c r="L212" i="1"/>
  <c r="G212" i="1"/>
  <c r="S204" i="1"/>
  <c r="L204" i="1"/>
  <c r="G204" i="1"/>
  <c r="S203" i="1"/>
  <c r="L203" i="1"/>
  <c r="G203" i="1"/>
  <c r="S202" i="1"/>
  <c r="L202" i="1"/>
  <c r="G202" i="1"/>
  <c r="S201" i="1"/>
  <c r="L201" i="1"/>
  <c r="G201" i="1"/>
  <c r="S200" i="1"/>
  <c r="L200" i="1"/>
  <c r="G200" i="1"/>
  <c r="S199" i="1"/>
  <c r="L199" i="1"/>
  <c r="G199" i="1"/>
  <c r="S198" i="1"/>
  <c r="L198" i="1"/>
  <c r="G198" i="1"/>
  <c r="S197" i="1"/>
  <c r="L197" i="1"/>
  <c r="G197" i="1"/>
  <c r="S195" i="1"/>
  <c r="L195" i="1"/>
  <c r="G195" i="1"/>
  <c r="S194" i="1"/>
  <c r="L194" i="1"/>
  <c r="G194" i="1"/>
  <c r="S193" i="1"/>
  <c r="L193" i="1"/>
  <c r="G193" i="1"/>
  <c r="S192" i="1"/>
  <c r="L192" i="1"/>
  <c r="G192" i="1"/>
  <c r="S191" i="1"/>
  <c r="L191" i="1"/>
  <c r="G191" i="1"/>
  <c r="S196" i="1"/>
  <c r="L196" i="1"/>
  <c r="G196" i="1"/>
  <c r="S190" i="1"/>
  <c r="L190" i="1"/>
  <c r="G190" i="1"/>
  <c r="S189" i="1"/>
  <c r="L189" i="1"/>
  <c r="G189" i="1"/>
  <c r="S188" i="1"/>
  <c r="L188" i="1"/>
  <c r="G188" i="1"/>
  <c r="S187" i="1"/>
  <c r="L187" i="1"/>
  <c r="G187" i="1"/>
  <c r="S185" i="1"/>
  <c r="L185" i="1"/>
  <c r="G185" i="1"/>
  <c r="S184" i="1"/>
  <c r="L184" i="1"/>
  <c r="G184" i="1"/>
  <c r="S183" i="1"/>
  <c r="L183" i="1"/>
  <c r="G183" i="1"/>
  <c r="S182" i="1"/>
  <c r="L182" i="1"/>
  <c r="G182" i="1"/>
  <c r="S181" i="1"/>
  <c r="L181" i="1"/>
  <c r="G181" i="1"/>
  <c r="G166" i="1"/>
  <c r="L166" i="1"/>
  <c r="G114" i="1"/>
  <c r="L114" i="1"/>
  <c r="S114" i="1"/>
  <c r="G136" i="1"/>
  <c r="L136" i="1"/>
  <c r="S136" i="1"/>
  <c r="L137" i="1"/>
  <c r="G137" i="1"/>
  <c r="L129" i="1"/>
  <c r="G129" i="1"/>
  <c r="S180" i="1"/>
  <c r="L180" i="1"/>
  <c r="G180" i="1"/>
  <c r="S165" i="1"/>
  <c r="L165" i="1"/>
  <c r="G165" i="1"/>
  <c r="S179" i="1"/>
  <c r="L179" i="1"/>
  <c r="G179" i="1"/>
  <c r="S178" i="1"/>
  <c r="L178" i="1"/>
  <c r="G178" i="1"/>
  <c r="S177" i="1"/>
  <c r="L177" i="1"/>
  <c r="G177" i="1"/>
  <c r="S176" i="1"/>
  <c r="L176" i="1"/>
  <c r="G176" i="1"/>
  <c r="S175" i="1"/>
  <c r="L175" i="1"/>
  <c r="G175" i="1"/>
  <c r="S174" i="1"/>
  <c r="L174" i="1"/>
  <c r="G174" i="1"/>
  <c r="S173" i="1"/>
  <c r="L173" i="1"/>
  <c r="G173" i="1"/>
  <c r="S172" i="1"/>
  <c r="L172" i="1"/>
  <c r="G172" i="1"/>
  <c r="S171" i="1"/>
  <c r="L171" i="1"/>
  <c r="G171" i="1"/>
  <c r="S170" i="1"/>
  <c r="L170" i="1"/>
  <c r="G170" i="1"/>
  <c r="S169" i="1"/>
  <c r="L169" i="1"/>
  <c r="G169" i="1"/>
  <c r="S168" i="1"/>
  <c r="L168" i="1"/>
  <c r="G168" i="1"/>
  <c r="S167" i="1"/>
  <c r="L167" i="1"/>
  <c r="G167" i="1"/>
  <c r="S147" i="1"/>
  <c r="L147" i="1"/>
  <c r="G147" i="1"/>
  <c r="S166" i="1"/>
  <c r="S164" i="1"/>
  <c r="L164" i="1"/>
  <c r="G164" i="1"/>
  <c r="S162" i="1"/>
  <c r="L162" i="1"/>
  <c r="G162" i="1"/>
  <c r="S161" i="1"/>
  <c r="L161" i="1"/>
  <c r="G161" i="1"/>
  <c r="S160" i="1"/>
  <c r="L160" i="1"/>
  <c r="G160" i="1"/>
  <c r="S159" i="1"/>
  <c r="L159" i="1"/>
  <c r="G159" i="1"/>
  <c r="S158" i="1"/>
  <c r="L158" i="1"/>
  <c r="G158" i="1"/>
  <c r="S157" i="1"/>
  <c r="L157" i="1"/>
  <c r="G157" i="1"/>
  <c r="S153" i="1"/>
  <c r="L153" i="1"/>
  <c r="G153" i="1"/>
  <c r="S152" i="1"/>
  <c r="L152" i="1"/>
  <c r="G152" i="1"/>
  <c r="S151" i="1"/>
  <c r="L151" i="1"/>
  <c r="G151" i="1"/>
  <c r="S150" i="1"/>
  <c r="L150" i="1"/>
  <c r="G150" i="1"/>
  <c r="S156" i="1"/>
  <c r="L156" i="1"/>
  <c r="G156" i="1"/>
  <c r="S155" i="1"/>
  <c r="L155" i="1"/>
  <c r="G155" i="1"/>
  <c r="S149" i="1"/>
  <c r="L149" i="1"/>
  <c r="G149" i="1"/>
  <c r="S148" i="1"/>
  <c r="L148" i="1"/>
  <c r="G148" i="1"/>
  <c r="S146" i="1"/>
  <c r="L146" i="1"/>
  <c r="G146" i="1"/>
  <c r="S145" i="1"/>
  <c r="L145" i="1"/>
  <c r="G145" i="1"/>
  <c r="S144" i="1"/>
  <c r="L144" i="1"/>
  <c r="G144" i="1"/>
  <c r="S143" i="1"/>
  <c r="L143" i="1"/>
  <c r="G143" i="1"/>
  <c r="S142" i="1"/>
  <c r="L142" i="1"/>
  <c r="G142" i="1"/>
  <c r="S141" i="1"/>
  <c r="L141" i="1"/>
  <c r="G141" i="1"/>
  <c r="S140" i="1"/>
  <c r="L140" i="1"/>
  <c r="G140" i="1"/>
  <c r="S139" i="1"/>
  <c r="L139" i="1"/>
  <c r="G139" i="1"/>
  <c r="S138" i="1"/>
  <c r="L138" i="1"/>
  <c r="G138" i="1"/>
  <c r="S137" i="1"/>
  <c r="S115" i="1"/>
  <c r="L115" i="1"/>
  <c r="G115" i="1"/>
  <c r="S135" i="1"/>
  <c r="L135" i="1"/>
  <c r="G135" i="1"/>
  <c r="S134" i="1"/>
  <c r="L134" i="1"/>
  <c r="G134" i="1"/>
  <c r="S133" i="1"/>
  <c r="L133" i="1"/>
  <c r="G133" i="1"/>
  <c r="S154" i="1"/>
  <c r="L154" i="1"/>
  <c r="G154" i="1"/>
  <c r="S132" i="1"/>
  <c r="L132" i="1"/>
  <c r="G132" i="1"/>
  <c r="S131" i="1"/>
  <c r="L131" i="1"/>
  <c r="G131" i="1"/>
  <c r="S130" i="1"/>
  <c r="L130" i="1"/>
  <c r="G130" i="1"/>
  <c r="S129" i="1"/>
  <c r="S128" i="1"/>
  <c r="L128" i="1"/>
  <c r="G128" i="1"/>
  <c r="S127" i="1"/>
  <c r="L127" i="1"/>
  <c r="G127" i="1"/>
  <c r="S126" i="1"/>
  <c r="L126" i="1"/>
  <c r="G126" i="1"/>
  <c r="S125" i="1"/>
  <c r="L125" i="1"/>
  <c r="G125" i="1"/>
  <c r="S124" i="1"/>
  <c r="L124" i="1"/>
  <c r="G124" i="1"/>
  <c r="S123" i="1"/>
  <c r="L123" i="1"/>
  <c r="G123" i="1"/>
  <c r="S122" i="1"/>
  <c r="L122" i="1"/>
  <c r="G122" i="1"/>
  <c r="S121" i="1"/>
  <c r="L121" i="1"/>
  <c r="G121" i="1"/>
  <c r="S120" i="1"/>
  <c r="L120" i="1"/>
  <c r="G120" i="1"/>
  <c r="S119" i="1"/>
  <c r="L119" i="1"/>
  <c r="G119" i="1"/>
  <c r="S118" i="1"/>
  <c r="L118" i="1"/>
  <c r="G118" i="1"/>
  <c r="B29" i="2"/>
  <c r="H14" i="2"/>
  <c r="I12" i="2"/>
  <c r="I11" i="2"/>
  <c r="I9" i="2"/>
  <c r="I8" i="2"/>
  <c r="I7" i="2"/>
  <c r="S102" i="1"/>
  <c r="L102" i="1"/>
  <c r="G102" i="1"/>
  <c r="S74" i="1"/>
  <c r="L74" i="1"/>
  <c r="G74" i="1"/>
  <c r="S117" i="1"/>
  <c r="L117" i="1"/>
  <c r="G117" i="1"/>
  <c r="S116" i="1"/>
  <c r="L116" i="1"/>
  <c r="G116" i="1"/>
  <c r="S113" i="1"/>
  <c r="L113" i="1"/>
  <c r="G113" i="1"/>
  <c r="S112" i="1"/>
  <c r="L112" i="1"/>
  <c r="G112" i="1"/>
  <c r="S111" i="1"/>
  <c r="L111" i="1"/>
  <c r="G111" i="1"/>
  <c r="S110" i="1"/>
  <c r="L110" i="1"/>
  <c r="G110" i="1"/>
  <c r="S109" i="1"/>
  <c r="L109" i="1"/>
  <c r="G109" i="1"/>
  <c r="S108" i="1"/>
  <c r="L108" i="1"/>
  <c r="G108" i="1"/>
  <c r="S107" i="1"/>
  <c r="L107" i="1"/>
  <c r="G107" i="1"/>
  <c r="S106" i="1"/>
  <c r="L106" i="1"/>
  <c r="G106" i="1"/>
  <c r="S105" i="1"/>
  <c r="L105" i="1"/>
  <c r="G105" i="1"/>
  <c r="S104" i="1"/>
  <c r="L104" i="1"/>
  <c r="G104" i="1"/>
  <c r="S103" i="1"/>
  <c r="L103" i="1"/>
  <c r="G103" i="1"/>
  <c r="S84" i="1"/>
  <c r="L84" i="1"/>
  <c r="G84" i="1"/>
  <c r="S101" i="1"/>
  <c r="L101" i="1"/>
  <c r="G101" i="1"/>
  <c r="S100" i="1"/>
  <c r="L100" i="1"/>
  <c r="G100" i="1"/>
  <c r="S99" i="1"/>
  <c r="L99" i="1"/>
  <c r="G99" i="1"/>
  <c r="S98" i="1"/>
  <c r="L98" i="1"/>
  <c r="G98" i="1"/>
  <c r="S72" i="1"/>
  <c r="L72" i="1"/>
  <c r="G72" i="1"/>
  <c r="S32" i="1"/>
  <c r="L32" i="1"/>
  <c r="G32" i="1"/>
  <c r="L35" i="1"/>
  <c r="G35" i="1"/>
  <c r="S97" i="1"/>
  <c r="L97" i="1"/>
  <c r="G97" i="1"/>
  <c r="S96" i="1"/>
  <c r="L96" i="1"/>
  <c r="G96" i="1"/>
  <c r="S95" i="1"/>
  <c r="L95" i="1"/>
  <c r="G95" i="1"/>
  <c r="S94" i="1"/>
  <c r="L94" i="1"/>
  <c r="G94" i="1"/>
  <c r="S93" i="1"/>
  <c r="L93" i="1"/>
  <c r="G93" i="1"/>
  <c r="S92" i="1"/>
  <c r="L92" i="1"/>
  <c r="G92" i="1"/>
  <c r="S91" i="1"/>
  <c r="L91" i="1"/>
  <c r="G91" i="1"/>
  <c r="S90" i="1"/>
  <c r="L90" i="1"/>
  <c r="G90" i="1"/>
  <c r="S89" i="1"/>
  <c r="L89" i="1"/>
  <c r="G89" i="1"/>
  <c r="S88" i="1"/>
  <c r="L88" i="1"/>
  <c r="G88" i="1"/>
  <c r="S87" i="1"/>
  <c r="L87" i="1"/>
  <c r="G87" i="1"/>
  <c r="S86" i="1"/>
  <c r="L86" i="1"/>
  <c r="G86" i="1"/>
  <c r="S85" i="1"/>
  <c r="L85" i="1"/>
  <c r="G85" i="1"/>
  <c r="S83" i="1"/>
  <c r="L83" i="1"/>
  <c r="G83" i="1"/>
  <c r="S82" i="1"/>
  <c r="L82" i="1"/>
  <c r="G82" i="1"/>
  <c r="S81" i="1"/>
  <c r="L81" i="1"/>
  <c r="G81" i="1"/>
  <c r="S80" i="1"/>
  <c r="L80" i="1"/>
  <c r="G80" i="1"/>
  <c r="S79" i="1"/>
  <c r="L79" i="1"/>
  <c r="G79" i="1"/>
  <c r="S78" i="1"/>
  <c r="L78" i="1"/>
  <c r="G78" i="1"/>
  <c r="S77" i="1"/>
  <c r="L77" i="1"/>
  <c r="G77" i="1"/>
  <c r="S76" i="1"/>
  <c r="L76" i="1"/>
  <c r="G76" i="1"/>
  <c r="S75" i="1"/>
  <c r="L75" i="1"/>
  <c r="G75" i="1"/>
  <c r="S73" i="1"/>
  <c r="L73" i="1"/>
  <c r="G73" i="1"/>
  <c r="S71" i="1"/>
  <c r="L71" i="1"/>
  <c r="G71" i="1"/>
  <c r="S70" i="1"/>
  <c r="L70" i="1"/>
  <c r="G70" i="1"/>
  <c r="S69" i="1"/>
  <c r="L69" i="1"/>
  <c r="G69" i="1"/>
  <c r="S68" i="1"/>
  <c r="L68" i="1"/>
  <c r="G68" i="1"/>
  <c r="S67" i="1"/>
  <c r="L67" i="1"/>
  <c r="G67" i="1"/>
  <c r="S66" i="1"/>
  <c r="L66" i="1"/>
  <c r="G66" i="1"/>
  <c r="S65" i="1"/>
  <c r="L65" i="1"/>
  <c r="G65" i="1"/>
  <c r="S64" i="1"/>
  <c r="L64" i="1"/>
  <c r="G64" i="1"/>
  <c r="S63" i="1"/>
  <c r="L63" i="1"/>
  <c r="G63" i="1"/>
  <c r="S56" i="1"/>
  <c r="L56" i="1"/>
  <c r="G56" i="1"/>
  <c r="S62" i="1"/>
  <c r="L62" i="1"/>
  <c r="G62" i="1"/>
  <c r="S61" i="1"/>
  <c r="L61" i="1"/>
  <c r="G61" i="1"/>
  <c r="S60" i="1"/>
  <c r="L60" i="1"/>
  <c r="G60" i="1"/>
  <c r="S59" i="1"/>
  <c r="L59" i="1"/>
  <c r="G59" i="1"/>
  <c r="S58" i="1"/>
  <c r="L58" i="1"/>
  <c r="G58" i="1"/>
  <c r="S57" i="1"/>
  <c r="L57" i="1"/>
  <c r="G57" i="1"/>
  <c r="S55" i="1"/>
  <c r="L55" i="1"/>
  <c r="G55" i="1"/>
  <c r="S54" i="1"/>
  <c r="L54" i="1"/>
  <c r="G54" i="1"/>
  <c r="S53" i="1"/>
  <c r="L53" i="1"/>
  <c r="G53" i="1"/>
  <c r="S52" i="1"/>
  <c r="L52" i="1"/>
  <c r="G52" i="1"/>
  <c r="S51" i="1"/>
  <c r="L51" i="1"/>
  <c r="G51" i="1"/>
  <c r="S50" i="1"/>
  <c r="L50" i="1"/>
  <c r="G50" i="1"/>
  <c r="S49" i="1"/>
  <c r="L49" i="1"/>
  <c r="G49" i="1"/>
  <c r="S48" i="1"/>
  <c r="L48" i="1"/>
  <c r="G48" i="1"/>
  <c r="S47" i="1"/>
  <c r="L47" i="1"/>
  <c r="G47" i="1"/>
  <c r="S46" i="1"/>
  <c r="L46" i="1"/>
  <c r="G46" i="1"/>
  <c r="S45" i="1"/>
  <c r="L45" i="1"/>
  <c r="G45" i="1"/>
  <c r="S44" i="1"/>
  <c r="L44" i="1"/>
  <c r="G44" i="1"/>
  <c r="S43" i="1"/>
  <c r="L43" i="1"/>
  <c r="G43" i="1"/>
  <c r="S26" i="1"/>
  <c r="L26" i="1"/>
  <c r="G26" i="1"/>
  <c r="S42" i="1"/>
  <c r="L42" i="1"/>
  <c r="G42" i="1"/>
  <c r="S41" i="1"/>
  <c r="L41" i="1"/>
  <c r="G41" i="1"/>
  <c r="S40" i="1"/>
  <c r="L40" i="1"/>
  <c r="G40" i="1"/>
  <c r="S39" i="1"/>
  <c r="L39" i="1"/>
  <c r="G39" i="1"/>
  <c r="S25" i="1"/>
  <c r="L25" i="1"/>
  <c r="G25" i="1"/>
  <c r="S38" i="1"/>
  <c r="L38" i="1"/>
  <c r="G38" i="1"/>
  <c r="S2" i="1"/>
  <c r="L2" i="1"/>
  <c r="G2" i="1"/>
  <c r="S34" i="1"/>
  <c r="L34" i="1"/>
  <c r="G34" i="1"/>
  <c r="S33" i="1"/>
  <c r="L33" i="1"/>
  <c r="G33" i="1"/>
  <c r="S31" i="1"/>
  <c r="L31" i="1"/>
  <c r="G31" i="1"/>
  <c r="S30" i="1"/>
  <c r="L30" i="1"/>
  <c r="G30" i="1"/>
  <c r="S27" i="1"/>
  <c r="L27" i="1"/>
  <c r="G27" i="1"/>
  <c r="S24" i="1"/>
  <c r="L24" i="1"/>
  <c r="G24" i="1"/>
  <c r="S37" i="1"/>
  <c r="L37" i="1"/>
  <c r="G37" i="1"/>
  <c r="S29" i="1"/>
  <c r="L29" i="1"/>
  <c r="G29" i="1"/>
  <c r="S4" i="1"/>
  <c r="S36" i="1"/>
  <c r="L36" i="1"/>
  <c r="G36" i="1"/>
  <c r="S16" i="1"/>
  <c r="L16" i="1"/>
  <c r="G16" i="1"/>
  <c r="S35" i="1"/>
  <c r="S12" i="1"/>
  <c r="L12" i="1"/>
  <c r="G12" i="1"/>
  <c r="S23" i="1"/>
  <c r="L23" i="1"/>
  <c r="G23" i="1"/>
  <c r="S11" i="1"/>
  <c r="L11" i="1"/>
  <c r="G11" i="1"/>
  <c r="S10" i="1"/>
  <c r="L10" i="1"/>
  <c r="G10" i="1"/>
  <c r="S9" i="1"/>
  <c r="L9" i="1"/>
  <c r="G9" i="1"/>
  <c r="S15" i="1"/>
  <c r="L15" i="1"/>
  <c r="G15" i="1"/>
  <c r="S14" i="1"/>
  <c r="L14" i="1"/>
  <c r="G14" i="1"/>
  <c r="S7" i="1"/>
  <c r="L7" i="1"/>
  <c r="G7" i="1"/>
  <c r="S6" i="1"/>
  <c r="L6" i="1"/>
  <c r="G6" i="1"/>
  <c r="S28" i="1"/>
  <c r="L28" i="1"/>
  <c r="G28" i="1"/>
  <c r="S22" i="1"/>
  <c r="L22" i="1"/>
  <c r="G22" i="1"/>
  <c r="S21" i="1"/>
  <c r="L21" i="1"/>
  <c r="G21" i="1"/>
  <c r="S20" i="1"/>
  <c r="L20" i="1"/>
  <c r="G20" i="1"/>
  <c r="S19" i="1"/>
  <c r="L19" i="1"/>
  <c r="G19" i="1"/>
  <c r="S18" i="1"/>
  <c r="L18" i="1"/>
  <c r="G18" i="1"/>
  <c r="S13" i="1"/>
  <c r="L13" i="1"/>
  <c r="G13" i="1"/>
  <c r="S17" i="1"/>
  <c r="L17" i="1"/>
  <c r="G17" i="1"/>
  <c r="S8" i="1"/>
  <c r="L8" i="1"/>
  <c r="G8" i="1"/>
  <c r="S5" i="1"/>
  <c r="L5" i="1"/>
  <c r="G5" i="1"/>
  <c r="L4" i="1"/>
  <c r="G4" i="1"/>
  <c r="S3" i="1"/>
  <c r="L3" i="1"/>
  <c r="G3" i="1"/>
  <c r="L8" i="2"/>
  <c r="K8" i="2"/>
  <c r="H17" i="2" l="1"/>
  <c r="D16" i="2"/>
  <c r="D2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tc={ADECC19C-C981-446F-B4F3-8897A67909B1}</author>
  </authors>
  <commentList>
    <comment ref="J199" authorId="0" shapeId="0" xr:uid="{ADECC19C-C981-446F-B4F3-8897A67909B1}">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Mudança apenas de apartamento
saindo do 501 para o 502
Reply:
    @KAROLAYNE PEREIRA @izabelaasmznet@gmail.com </t>
        </r>
      </text>
    </comment>
  </commentList>
</comments>
</file>

<file path=xl/sharedStrings.xml><?xml version="1.0" encoding="utf-8"?>
<sst xmlns="http://schemas.openxmlformats.org/spreadsheetml/2006/main" count="7955" uniqueCount="3426">
  <si>
    <t>R$100,00</t>
  </si>
  <si>
    <t>R$70,00</t>
  </si>
  <si>
    <t>RENATA</t>
  </si>
  <si>
    <t>DATA:</t>
  </si>
  <si>
    <t>KAROLAYNE</t>
  </si>
  <si>
    <t xml:space="preserve">VALIDADO POR: </t>
  </si>
  <si>
    <t>IZABELA</t>
  </si>
  <si>
    <t xml:space="preserve">VALOR DA MUDANÇA: </t>
  </si>
  <si>
    <t>VICTOR HUGO</t>
  </si>
  <si>
    <t>VALIDAÇÕES</t>
  </si>
  <si>
    <t>TIPO DE SERVIÇO</t>
  </si>
  <si>
    <t xml:space="preserve">ATENDENTE: </t>
  </si>
  <si>
    <t>HIAGO</t>
  </si>
  <si>
    <t>NOME CLIENTE:</t>
  </si>
  <si>
    <t>PAULLANDRESSA LEMES DE ASSUNCAO</t>
  </si>
  <si>
    <t>DATA AGENDAMENTO:</t>
  </si>
  <si>
    <t>HORA</t>
  </si>
  <si>
    <t>DIA</t>
  </si>
  <si>
    <t>CONFERIR ORDEM DE SERVIÇO</t>
  </si>
  <si>
    <t>TELEFONE CLIENTE:</t>
  </si>
  <si>
    <t>HORA AGENDAMENTO:</t>
  </si>
  <si>
    <t>VITOR SILVA</t>
  </si>
  <si>
    <t>CONFERIR PROTOCOLO</t>
  </si>
  <si>
    <t>NOVO ENDEREÇO:</t>
  </si>
  <si>
    <t>FORMA DE PAGAMENTO:</t>
  </si>
  <si>
    <t>CONFERIR SE ENDEREÇO NA ORDEM DE SERVIÇO E CADASTRO FORAM ALTERADOS</t>
  </si>
  <si>
    <t>QUEM ACOMPANHA?</t>
  </si>
  <si>
    <t>MUD END</t>
  </si>
  <si>
    <t>CONFERIR EM PESSOAS E EMPRESAS SE POSSUI OUTRA INSTALAÇÃO ATIVA NO MESMO ENDEREÇO</t>
  </si>
  <si>
    <t>NOME:</t>
  </si>
  <si>
    <t>MUD END + ALT PLAN</t>
  </si>
  <si>
    <t>CONFERIR FINANCEIRO</t>
  </si>
  <si>
    <t>TELEFONE:</t>
  </si>
  <si>
    <t>CONFERIR SE O CLIENTE TEM OU NÃO FIDELIDADE (SE NÃO TIVER, É RESPONSABILIDADE DO ATENDENTE OFERTAR E TER INFORMAÇÃO NO PROTOCOLO)</t>
  </si>
  <si>
    <t>OBSERVAÇÕES</t>
  </si>
  <si>
    <t>CARTÃO</t>
  </si>
  <si>
    <t>CASO SEJA COM ALTERAÇÃO DE PLANO: VERIFICAR NOVO PLANO E ROTEADOR, SE FOR PARA TROCAR EQUIPAMENTO PRECISA ESTAR NA O.S/PROTOCOLO E AGENDA EXCEL – ALTERAR OU ENVIAR PARA FINANCEIRO</t>
  </si>
  <si>
    <t>EQUIPAMENTO:</t>
  </si>
  <si>
    <t>DINHEIRO</t>
  </si>
  <si>
    <t>CONFERIR SE O “TIPO DE O.S” ESTÁ CORRETO</t>
  </si>
  <si>
    <t>TEXTO PROTOCOLO CONTATO FEITO:</t>
  </si>
  <si>
    <t>acompanhamento titular</t>
  </si>
  <si>
    <t>PIX</t>
  </si>
  <si>
    <t>CASO O CLIENTE TENHA SIDO INSTALADO COM MENOS DE 90 DIAS, PRECISA TER AUTORIZAÇÃO DO HIAGO/DEIVIT</t>
  </si>
  <si>
    <t>TEXTO PROTOCOLO SEM CONTATO:</t>
  </si>
  <si>
    <t>MENSALIDADE VINCENDA</t>
  </si>
  <si>
    <t>ISENTO</t>
  </si>
  <si>
    <t>- VERIFICAR SE MUDANÇA ESTÁ SAINDO DE RESIDENCIAL PARA COMERCIO, OU VICE VERSA E SE POSSUI AUTORIZAÇÃO PARA PROSSEGUIR.</t>
  </si>
  <si>
    <t>A PARTIR DAS 11:00</t>
  </si>
  <si>
    <t>ALTERAÇÃO DE PLANO?</t>
  </si>
  <si>
    <t>(acompanhamento terceiros</t>
  </si>
  <si>
    <t>TEXTO AGENDA</t>
  </si>
  <si>
    <t>TIPO DE MUDANÇA</t>
  </si>
  <si>
    <t>NOME</t>
  </si>
  <si>
    <t>CONFERENCIA SISTEMA</t>
  </si>
  <si>
    <t>TELEFONE</t>
  </si>
  <si>
    <t>DATA MUDANÇA</t>
  </si>
  <si>
    <t>DIA DA SEMANA</t>
  </si>
  <si>
    <t>HORARIO MUDANÇA</t>
  </si>
  <si>
    <t>FORMA DE PAGAMENTO</t>
  </si>
  <si>
    <t>NOVO ENDEREÇO</t>
  </si>
  <si>
    <t>EQUIPAMENTO</t>
  </si>
  <si>
    <t>ALTERAÇÃO DE PLANO</t>
  </si>
  <si>
    <t>PLANO ESCOLHIDO</t>
  </si>
  <si>
    <t>TITULAR ACOMPANHA?</t>
  </si>
  <si>
    <t>NOME + GRAU DE PARENTESCO</t>
  </si>
  <si>
    <t>TELEFONE TERCEIRO</t>
  </si>
  <si>
    <t>TEXTO COMPROVANTE DE ENDEREÇO</t>
  </si>
  <si>
    <t>CONFERENCIA END, COMPROVANTE</t>
  </si>
  <si>
    <t>PRAZO VALIDAÇÃO OK?</t>
  </si>
  <si>
    <t>ENDEREÇO NOVO: RUA ANTÔNIO THOMAZ DE REZENDE, 201
COMPLEMENTO: SALA 5
REFERÊNCIA: GALPÃO
CEP: 38400487
BAIRRO: OSVALDO REZENDE</t>
  </si>
  <si>
    <t>&lt;b&gt;ONT = ONT TP LINK 530 // CONECTOR = VERDE.&lt;/b&gt;</t>
  </si>
  <si>
    <t>-</t>
  </si>
  <si>
    <t>sim</t>
  </si>
  <si>
    <t>MUD END + ALT PLANO LUCAS FERREIRA GOMES PROT:2603.34716 ISENTO (JHONATAN) - DANIEL FONSECA</t>
  </si>
  <si>
    <t xml:space="preserve">VALIDAÇÃO OK 
ENVIAR AO CADASTRO
selfie pendente de documento </t>
  </si>
  <si>
    <t>ENDEREÇO NOVO: RUA VARGINHA, 1155
COMPLEMENTO: COND. MARANATA, APT 203
CEP: 38400322
BAIRRO: DANIEL FONSECA</t>
  </si>
  <si>
    <t>. &lt;b&gt;ONT = ONT ZTE // CONECTOR = VERDE.&lt;/b&gt;</t>
  </si>
  <si>
    <t>PLANO ATUAL: 1000 MEGA/99,90 CONTRATADO EM 07/2025 COM FIDELIDADE DE 12 MESES. ROTEADOR: ONT ZTE F 670-L
PLANO SOLICITADO: 1 GIGA (1.000 MEGA) R$99,90. BENEFÍCIOS: ACESSO GRATUITO AO APP MZTV (CDNTV+) + VOD</t>
  </si>
  <si>
    <t>NÃO</t>
  </si>
  <si>
    <t>DOUGLAS FERNANDES BORGES. (INQUILINO)</t>
  </si>
  <si>
    <t>64 9328-2617</t>
  </si>
  <si>
    <t>COMPROVANTE DE ENDEREÇO (CONTRATO DE LOCAÇÃO) EM ANEXO
NOME NO COMPROVANTE:  DOUGLAS FERNANDES BORGES (INQUILINO)</t>
  </si>
  <si>
    <t>MK END: N/C
___________________________
MK NOMES: 
-&gt; SOCRATES RODRIGUES QUEIROZ - CPF: 052.678.796-14 - LOCADOR DO IMÓVEL  - CLIENTE ATIVO NO ENDEREÇO: RUA SEBASTIAO DE FREITAS, 287. ADIMPLENTE COM EMPRESA;
-&gt; POLIANA EVANGELISTA SILVA - CPF: 059.825.136-79 - LOCATÁRIA DO IMÓVEL - N/C ;
-&gt;  DOUGLAS FERNANDES BORGES - CPF: 056.809.281-26 - LOCATÁRIO DO IMÓVEL - N/C ;
-&gt;  LUCAS FERREIRA GOMES - CPF: 065.584.586-08 - CLIENTE ATIVO E ADIMPLENTE COM A EMPRESA.</t>
  </si>
  <si>
    <t>MUD END + ALT PLANO EDUARDO APARECIDO DA SILVA PROT:2603.34636 ISENTO (JOSÉ Jr) - JARDIM BOTÂNICO **PRÉDIO COM PRUMADA** //  *TROCA DE EQUIPAMENTO*</t>
  </si>
  <si>
    <t>VALIDAÇÃO OK 
ENVIAR AO CADASTRO</t>
  </si>
  <si>
    <t>ENDEREÇO NOVO: AVENIDA VEREADOR CARLITO CORDEIRO, 1895 
COMPLEMENTO: CONDOMINIO RESIDENCIAL PARK KARAIBA  BL-A APT  109
CEP: 38410665
BAIRRO: JARDIM BOTÂNICO</t>
  </si>
  <si>
    <t>&lt;b&gt;ONU = DATA // CONECTOR = VERDE.&lt;/b&gt;</t>
  </si>
  <si>
    <t>PLANO ATUAL: 500 MEGA/79,90 CONTRATADO EM 04/2024 COM FIDELIDADE DE 12 MESES. ROTEADOR: GREATEK
PLANO OFERTADO: 600 MEGA/79,90. BENEFÍCIOS: ACESSO GRATUITO AO APP MZTV (CDNTV+)</t>
  </si>
  <si>
    <t>SIM</t>
  </si>
  <si>
    <t>COMPROVANTE DE ENDEREÇO (TAXA DE CONDOMINIO ) EM ANEXO
NOME NO COMPROVANTE:  ALINE CAREN CARDOSO (CLIENTE DIZ QUE É SUA ESPOSA)</t>
  </si>
  <si>
    <t>MK END:N/C
MK NOMES:
   ALINE CAREN CARDOSO CPF:***.619.116-**(CLIENTE DIZ QUE É SUA ESPOSA)N/C
   SCHWARTZ COBRE LTDA CNPJ:18.450.750/0001-20(EMPRESA RESPONSÁVEL PELO RECEBIMENTO DOS VALORES DA TAXA DE CONDOMÍNIO)N/C</t>
  </si>
  <si>
    <t>VALIDAÇÃO OK 
ENVIAR AO CADASTRO
PENDENTE ASSINATURA DO CONTRATO</t>
  </si>
  <si>
    <t>ENDEREÇO NOVO: RUA DAS DIRETAS, 165
COMPLEMENTO: CASA 2
CEP: 38410492
BAIRRO: LARANJEIRAS</t>
  </si>
  <si>
    <t xml:space="preserve"> &lt;b&gt;ONT = ONT TP LINK 530 // CONECTOR = VERDE.&lt;/b&gt;</t>
  </si>
  <si>
    <t>PLANO ATUAL: 1000 MEGA/99,90 CONTRATADO EM 05/25 COM FIDELIDADE DE 12 MESES. ROTEADOR: ONT TP-LINK X530
PLANO OFERTADO: 1 GIGA (1.000 MEGA) R$99,90. BENEFÍCIOS: ACESSO GRATUITO AO APP MZTV (CDNTV+) + VOD</t>
  </si>
  <si>
    <t>COMPROVANTE DE ENDEREÇO (CEMIG) EM ANEXO
NOME NO COMPROVANTE:  VINICIUS RIBEIRO SANTOS (DIZ SER ANTIGO INQUILINO)</t>
  </si>
  <si>
    <t>MK END: N/C
MK NOMES: 
VINICIUS RIBEIRO SANTOS (ANTIGO INQUILINO): HAVIA REALIZADO PEDIDO DE INSTALAÇÃO EM 17/03/2023, PORÉM, A FICHA FOI REPROVADA DEVIDO AO SCORE BAIXO E RESTRIÇÕES.</t>
  </si>
  <si>
    <t>(34) 99987-1906</t>
  </si>
  <si>
    <t>ENDEREÇO NOVO: RUA DO TOPÓGRAFO, 80
COMPLEMENTO: CASA ÚNICA
CEP: 38412280
BAIRRO: JARDIM DAS PALMEIRAS</t>
  </si>
  <si>
    <t xml:space="preserve"> &lt;b&gt;ONT = ONT TP LINK 230 // CONECTOR = VERDE.&lt;/b&gt;</t>
  </si>
  <si>
    <t xml:space="preserve">
PLANO ATUAL: 600 MEGA/79,90 CONTRATADO EM 07/2025 COM FIDELIDADE DE 12 MESES. ROTEADOR: ONT TP-LINK XC230
PLANO OFERTADO: 600 MEGA/79,90. BENEFÍCIOS: ACESSO GRATUITO AO APP MZTV (CDNTV+)</t>
  </si>
  <si>
    <t>COMPROVANTE DE ENDEREÇO (CEMIG) EM ANEXO
NOME NO COMPROVANTE: DENISE DE FREITAS AMARAL (ASSINANTE)</t>
  </si>
  <si>
    <t>MK END:
-&gt; AMARILDO ROBERTO SILVA (EX ESPOSO DA ASSINANTE) - CPF 739.538.576-49: CONEXÃO ATIVA DESDE 10/2020 E ADIMPLENTE COM A EMPRESA. &gt;&gt;&gt; ESTÁ COM MUDANÇA DE ENDEREÇO AGENDADA PARA 01/04.
________________________________________
MK NOMES:
-&gt; DENISE DE FREITAS AMARAL - CPF 059.756.676-31: ASSINANTE DA CONEXÃO.</t>
  </si>
  <si>
    <t>MUD END + ALT PLANO BRUNA DA SILVA GUMERATO PROT:2603.32071 ISENTO (RONALD) - LOTEAMENTO RESIDENCIAL PEQUIS  //  *CLIENTE CONTRATOU PLANO WI-FI EXTEND*</t>
  </si>
  <si>
    <t xml:space="preserve">OS ERRADA
CASO SEJA APROVADO O EXTEND PARA CASA FRENTE DA MÃE .. SERÁ NECESSÁRIO GERAR 2 OS </t>
  </si>
  <si>
    <t>ENDEREÇO NOVO: RUA DO AZULÃO, 176
COMPLEMENTO: CASA FUNDOS
CEP: 38421040
BAIRRO: LOTEAMENTO RESIDENCIAL PEQUIS</t>
  </si>
  <si>
    <t>&lt;b&gt;ONT = ONT TP LINK 230 // CONECTOR = VERDE.&lt;/b&gt;</t>
  </si>
  <si>
    <t>PLANO ATUAL: 600 MEGA/79,90 CONTRATADO EM 01/2025 COM FIDELIDADE DE 12 MESES. ROTEADOR: ONT TP-LINK XC230
PLANO OFERTADO: 1 GIGA (1.000 MEGA); + WI-FI EXTEND (ROTEADOR ADICIONAL)  MENSALIDADE: R$134,90; EQUIPAMENTOS EMPRESTADOS EM REGIME DE COMODATO + INSTALAÇÃO/ATIVAÇÃO GRÁTIS; BENEFÍCIOS: ACESSO GRATUITO AO APP MZTV (CDNTV+) + VOD</t>
  </si>
  <si>
    <t>COMPROVANTE DE ENDEREÇO (CEMIG) EM ANEXO
NOME NO COMPROVANTE: ANA PAULA DA SILVA (MAE DE BRUNA)</t>
  </si>
  <si>
    <t>MUD END + ALT PLANO RAFFAEL SOUZA PIRES PROT:2603.35843 ISENTO (VICTOR H.) - OSVALDO REZENDE **PRÉDIO SEM PRUMADA - ENVIAR TÉCNICO DUPLADO** //  *TROCA DE EQUIPAMENTO*</t>
  </si>
  <si>
    <t>VALIDAÇÃO OK 
ENVIAR AO CADASTRO
pendente selfie</t>
  </si>
  <si>
    <t>ENDEREÇO NOVO: RUA TAPUIRAMA, 447
COMPLEMENTO: APTO 301
CEP: 38400436
BAIRRO: OSVALDO REZENDE</t>
  </si>
  <si>
    <t>PLANO ATUAL: 400 MEGA/79,90 CONTRATADO EM 01/2023 COM FIDELIDADE DE 12 MESES. ROTEADOR: GREATEK
PLANO OFERTADO: 600 MEGA/79,90. BENEFÍCIOS: ACESSO GRATUITO AO APP MZTV (CDNTV+)</t>
  </si>
  <si>
    <t>COMPROVANTE DE ENDEREÇO (CONTRATO DE LOCAÇÃO) EM ANEXO
NOME NO COMPROVANTE: RAFFAEL SOUZA PIRES (ASSINANTE)</t>
  </si>
  <si>
    <t xml:space="preserve">MK NOMES: 
RAFFAEL SOUZA PIRES CPF: 108.562.846-96 (LOCATÁRIO)
ASSINANTE - CONTRATOU EM 01/2023 CONEXÃO ATIVA E ADIMPLENTE
DANIELLY PIRES VILELA CPF: 064.549.751-77 (LOCATÁRIA)
CONEXÃO CANCELADA EM 04/2024 - QUITOU OS DÉBITOS COM A EMPRESA APÓS ACORDO 
SUELY FRANCISCA DE SOUZA CPF: 578.091.786-87 (FIADORA) - N/C 
DIJANIRA FRANCISCA DE OLIVEIRA CPF: 460.756.906-20 (FIADORA) - N/C 
SANTA FELICIA HOLDING PATRIMONIAL LTDA CNPJ: 22.579.858/0001-95 (LOCADORA) - N/C 
RGV NEGÓCIOS IMOBILIÁRIOS LTDA CNPJ: 17.808.663/0001-30 (ADMINISTRADORA) - N/C 
MK END: N/C </t>
  </si>
  <si>
    <t xml:space="preserve">MUD END THIAGO WILKER MELO MIRANDA PROT:2603.35688 CARTAO (RONALD) - TUBALINA **PRÉDIO COM PRUMADA** </t>
  </si>
  <si>
    <t>ENDEREÇO NOVO: RUA VOLUNTÁRIOS DA PÁTRIA, 566
COMPLEMENTO: APT. 201
CEP: 38412072
BAIRRO: TUBALINA</t>
  </si>
  <si>
    <t>COMPROVANTE DE ENDEREÇO (DMAE) EM ANEXO
NOME NO COMPROVANTE: THIAGO WILKER MELO MIRANDA (ASSINANTE)</t>
  </si>
  <si>
    <t>MK END;
N/C
MK NOME;
THIAGO WILKER MELO MIRANDA 015.929.236-07 (ASSINANTE)
CONEXÃO ATIVA E CLIENTE ADIMPLENTE</t>
  </si>
  <si>
    <t xml:space="preserve">MUD END RANGEL DE JESUS SOUSA PROT:2603.35872 PIX (VICTOR H.) - GUARANI   </t>
  </si>
  <si>
    <t xml:space="preserve">VALIDAÇÃO OK 
ENVIAR AO CADASTRO
</t>
  </si>
  <si>
    <t>ENDEREÇO NOVO: RUA DA MAZURKA, 582
COMPLEMENTO: CASA FRENTE
CEP: 38415417
BAIRRO: GUARANI</t>
  </si>
  <si>
    <t>COMPROVANTE DE ENDEREÇO (CEMIG) EM ANEXO
NOME NO COMPROVANTE: JORCELINO PEREIRA MACEDO FILHO (DISSE SER PROPRIETÁRIO DO IMÓVEL )</t>
  </si>
  <si>
    <t>MK END 
MARIA GLORIA MACEDO (CASA FUNDOS) 
CANCELOU EM 04/2024, NÃO POSSUI DÉBITOS COM A EMPRESA 
MK NOMES
JORCELINO PEREIRA MACEDO FILHO (DISSE SER PROPRIETÁRIO DO IMÓVEL) - N/C</t>
  </si>
  <si>
    <t xml:space="preserve">JA VALIDADO PELO CADASTRO
</t>
  </si>
  <si>
    <t>ENDEREÇO NOVO: RUA MATHEUS VAZ, 420
COMPLEMENTO: COMÉRCIO FRENTE
CEP: 38414308
BAIRRO: LUIZOTE DE FREITAS</t>
  </si>
  <si>
    <t>DALILA (ASSESSORA JURÍDICA DE SUIANI)</t>
  </si>
  <si>
    <t>COMPROVANTE DE ENDEREÇO (CONTRATO DE LOCAÇÃO) EM ANEXO
NOME NO COMPROVANTE:  SUIANI TERTO DA SILVA (ASSINANTE)</t>
  </si>
  <si>
    <t>MK END: N/C
________________________________________
MK NOMES:
-&gt; ROSANGELA RAMILA DE SOUZA (LOCADORA) - CPF 539.306.656-20: N/C
-&gt; DELTA IMÓVEIS E ADMINISTRAÇÃO LTDA (PROCURADORA) - CNPJ 23.976.590/0001-98: N/C
-&gt; FRANCIS HEME CESAR PEREIRA (REPRESENTANTE) - CPF 086.429.536-75: N/C
-&gt; SUIANI TERTO DA SILVA SOCIEDADE INDIVIDUAL DE ADVOCACIA / SUIANI TERTO
DA SILVA (LOCATÁRIA/FIADORA) - CNPJ 51.678.451/0001-13 // 032.711.821-08: ASSINANTE DA CONEXÃO.
:. POSSUI OUTRAS DUAS CONEXÕES ATIVAS E ADIMPLENTE COM A EMPRESA.:
::. POSSUI UMA SOLICITAÇÃO DE ADESÃO DO ESCRITÓRIO EM SEU CPF APROVADA PARA O CNPJ .::
-&gt; VALERIA CRISTINA FERREIRA DE CARVALHO (TESTEMUNHA): N/C
-&gt; RHAYANNE MYCHELLE INÁCIO DE PAULA (TESTEMUNHA): CONEXÃO ATIVA DESDE 11/2025 E ADIMPLENTE COM A EMPRESA.
-&gt; DALILA TERTO (ASSESSORA JURÍDICA): N/C</t>
  </si>
  <si>
    <t>VALIDAÇÃO OK 
ENVIAR AO CADASTRO
PENDENTE ASSINATURA DE CONTRATO</t>
  </si>
  <si>
    <t>ENDEREÇO NOVO: RUA MANCHESTER, 85
COMPLEMENTO: CASA 01
CEP: 38414565
BAIRRO: JARDIM EUROPA</t>
  </si>
  <si>
    <t>&lt;b&gt;ONT = ONT ZTE // CONECTOR = VERDE.&lt;/b&gt;</t>
  </si>
  <si>
    <t>PLANO ATUAL: 1000 MEGA/99,90 CONTRATADO EM 04/2024 COM FIDELIDADE DE 12 MESES. ROTEADOR: ONT ZTE F 670-L
PLANO OFERTADO: 1 GIGA (1.000 MEGA) R$99,90. BENEFÍCIOS: ACESSO GRATUITO AO APP MZTV (CDNTV+) + VOD</t>
  </si>
  <si>
    <t>JESSICA (CUNHADA DE KATIUCIA)</t>
  </si>
  <si>
    <t>COMPROVANTE DE ENDEREÇO (CEMIG) EM ANEXO
NOME NO COMPROVANTE: ALCINEIA MARQUES GUIMARAES TIBURCIO (DISSE QUE É A PROPRIETARIA DO IMOVÉL)</t>
  </si>
  <si>
    <t>MK END
- SOFIA BARBOSA DE MORAIS: CONEXÃO CANCELADA SEM DÉBITOS
- DANIELA PIRES VALADAO: PROCESSO DE ADESÃO CANCELADO (CLIENTE NÃO TEVE INTERESSE EM PAGAR TAXA DE INSTALAÇÃO)
- ALCINEIA MARQUES GUIMARAES TIBURCIO (CASA 2): POSSUI CONEXÃO ATIVA COM PROTOCOLO (2603.22437) DE CANCELAMENTO EM ABERTO // FATURA 25/03 NO VALOR DE 79,90 EM ABERTO  //
MK NOMES
- KATIUCIA SILVA SANTOS (ASSINANTE): POSSUI CONEXÃO ATIVA E ADIMPLENTE
- ALCINEIA MARQUES GUIMARAES TIBURCIO (CASA 2): POSSUI CONEXÃO ATIVA COM PROTOCOLO (2603.22437) DE CANCELAMENTO EM ABERTO // FATURA 25/03 NO VALOR DE 79,90 EM ABERTO</t>
  </si>
  <si>
    <t xml:space="preserve">MUD END + ALT PLANO LUCIEUDA GONCALVES DO NASCIMENTO PROT:2603.34925 ISENTO (LUIS) - GUARANI  //  </t>
  </si>
  <si>
    <t>ENDEREÇO NOVO: RUA DO BALLET, 784
COMPLEMENTO: CASA ÚNICA
CEP: 38415408
BAIRRO: GUARANI</t>
  </si>
  <si>
    <t xml:space="preserve"> &lt;b&gt;ONU = DATA // CONECTOR = VERDE.&lt;/b&gt;</t>
  </si>
  <si>
    <t>PLANO ATUAL: 250 MEGA/69,90 CONTRATADO EM 07/2023 COM FIDELIDADE DE 12 MESES. ROTEADOR: GREATEK
PLANO OFERTADO: 300 MEGA/69,90. BENEFÍCIOS: ACESSO GRATUITO AO APP MZTV (CDNTV+)</t>
  </si>
  <si>
    <t>COMPROVANTE DE ENDEREÇO (CONTRATO DE LOCAÇÃO) EM ANEXO
NOME NO COMPROVANTE: ANGELICA GONCALVES PEREIRA (LUCIEUDA ALEGA SER SUA FILHA)</t>
  </si>
  <si>
    <t xml:space="preserve">MK END: N/C
MK NOMES: 
- ALESSANDRA DE MELO BELELLI - LOCADORA -  N/C
- ANGELICA GONÇALVES PEREIRA - CPF 614.285.203-76 - LOCATÁRIA  (FILHA) - FICHA CADASTRAL REALIZADA EM 26/07/2023 ONDE FOI NEGADA EM SEU NOME E APROVADO NO NOME DA MÃE
LUCIEUDA GONCALVES DO NASCIMENTO. INSTALDO EM RUA AGENOR BORGES, 280 - APTO 01. 
- LUCIEUDA GONCALVES DO NASCIMENTO - CPF 039.937.403-51 - ASSINANTE - CLIENTE ATIVA E ADIMPLENTE COM A EMPRESA. </t>
  </si>
  <si>
    <t xml:space="preserve">MUD END FABIANA GONÇALVES PROT:2603.35547 DINHEIRO (JHONATAN) - PAMPULHA  </t>
  </si>
  <si>
    <t>APOS AS 11:00</t>
  </si>
  <si>
    <t>ENDEREÇO NOVO: RUA OLIVEIRA LIMA, 959 
COMPLEMENTO: CASA UNICA
CEP: 38408650
BAIRRO: PAMPULHA</t>
  </si>
  <si>
    <t>&lt;b&gt;ONT = ONT TP LINK 220 // CONECTOR = VERDE.&lt;/b&gt;</t>
  </si>
  <si>
    <t>RENNER (ESPOSO  DE FABIANA)</t>
  </si>
  <si>
    <t>COMPROVANTE DE ENDEREÇO (CONTRATO DE LOCAÇÃO) EM ANEXO
NOME NO COMPROVANTE:  FABIANA GONÇALVES (ASSINANTE)</t>
  </si>
  <si>
    <t>-&gt; FABIO HENRIQUE ALVEZ - SOLICITAÇÃO DE ADESÃO REPROVADA EM 02/02/2022
 :. CONSTA NO CADASTRO -&gt; RUA OLIVEIRA LIMA 959 - PAMPULHA (CASA-1) PORÉM NÃO IDENTIFIQUEI DUAS CASA COM O NUMERO 959. (EVIDÊNCIA EM ANEXO)
________________________________________________________________________________
MK NOME
-&gt; DERLY RENNER LONDRES CAMPOS (DISSE QUE É ESPOSO DA ASSINANTE): N/C 
-&gt; FABIANA GONÇALVES (LOCADORA): ASSINANTE DA CONEXÃO 
-&gt; SEBASTIÃO MANOELDA SILVA (LOCADOR): N/C</t>
  </si>
  <si>
    <t xml:space="preserve">MUD END CLAUDIONOR JOSE SILVA SANTOS PROT:2603.35845 PIX (VAGNER) - JARDIM EUROPA   </t>
  </si>
  <si>
    <t>APOS AS 13:00</t>
  </si>
  <si>
    <t>ENDEREÇO NOVO: RUA RIO SOLIMÕES, 1331
COMPLEMENTO: CASA UNICA
CEP: 38414536
BAIRRO: JARDIM EUROPA</t>
  </si>
  <si>
    <t>COMPROVANTE DE ENDEREÇO (DMAE) EM ANEXO
NOME NO COMPROVANTE: DOUGLAS NUNES MATOS (CLAUDIONOR ALEGAR SER O ANTIGO MORADOR)</t>
  </si>
  <si>
    <t>MK END: N/C
MK NOME:  DOUGLAS NUNES MATOS (CLAUDIONOR ALEGAR SER O ANTIGO MORADOR)  - N/C</t>
  </si>
  <si>
    <t>MUD END GILMAR VIANNA SOARES PROT:2603.33901 CARTAO (ANDREZA) - PRESIDENTE ROOSEVELT //</t>
  </si>
  <si>
    <t>APÓS AS 13:00</t>
  </si>
  <si>
    <t>ENDEREÇO NOVO: RUA TUFI MAMERI, 305
COMPLEMENTO: CASA ÚNICA
CEP: 38401034
BAIRRO: PRESIDENTE ROOSEVELT</t>
  </si>
  <si>
    <t>COMPROVANTE DE ENDEREÇO (CEMIG) EM ANEXO
NOME NO COMPROVANTE: ROMILDA SOUZA SANTANA (DISSE QUE É A DONA DO IMÓVEL)</t>
  </si>
  <si>
    <t>MK END: N/C
________________________________________
MK NOMES:
-&gt; ROMILDA SOUZA SANTANA (DISSE QUE É A DONA DO IMÓVEL) - CPF 710.4**.***-**: N/C</t>
  </si>
  <si>
    <t xml:space="preserve">MUD END + ALT PLANO LETICIA BARBOSA DOS SANTOS PROT:2603.34539 ISENTO (JOSÉ Jr) - JARAGUÁ  //  </t>
  </si>
  <si>
    <t>ENDEREÇO NOVO: RUA ALBERTO TOLEDO BARTON, 70
COMPLEMENTO: CASA UNICA
CEP: 38413407
BAIRRO: JARAGUÁ</t>
  </si>
  <si>
    <t>. &lt;b&gt;ONU = DATA // CONECTOR = VERDE.&lt;/b&gt;</t>
  </si>
  <si>
    <t>PLANO ATUAL: 600 MEGA/79,90 CONTRATADO EM 09/2024 COM FIDELIDADE DE 12 MESES. ROTEADOR: HUAWEI AX2
PLANO OFERTADO: 600 MEGA/79,90. BENEFÍCIOS: ACESSO GRATUITO AO APP MZTV (CDNTV+)</t>
  </si>
  <si>
    <t>COMPROVANTE DE ENDEREÇO (CEMIG) EM ANEXO
NOME NO COMPROVANTE: DOUGLAS CARVALHO DOMINGOS (ESPOSO DA TITULAR)</t>
  </si>
  <si>
    <t>MK END:
   IASMYN RODRIGUES CUNHA CPF:705.850.926-30 PROCESSO DE ADESÃO APROVADO NO DIA 12/04/2024 PARA SUA MÃE CRISTIENE SILVA RODRIGUES.
   CRISTIENE SILVA RODRIGUES CUNHA CPF:912.026.126-87 CONEXÃO CANCELADA POR INADIMPLÊNCIA NO MES 03/2025( DEBITOS R$1706,03) NÃO DEVOLVEU OS EQUIPAMENTOS.
MK NOMES:
   DOUGLAS CARVALHO DOMINGOS CPF 124.7**.***-**(CLIENTE DIZ QUE É SEU ESPOSO)N/C</t>
  </si>
  <si>
    <t xml:space="preserve">ANALISE 90 DIAS 
TUDO OK .. ENVIAR CADASTRO </t>
  </si>
  <si>
    <t>ENDEREÇO NOVO: RUA VISCONDE DE OURO PRETO, 115
COMPLEMENTO: CASA FRENTE
CEP: 38405202
BAIRRO: CUSTÓDIO PEREIRA</t>
  </si>
  <si>
    <t xml:space="preserve"> LUCIANA ROSA DE OLIVIERA (MÃE)</t>
  </si>
  <si>
    <t>COMPROVANTE DE ENDEREÇO (CEMIG) EM ANEXO
NOME NO COMPROVANTE: JAMIRO FLORENCIO DOS SANTOS (DIZ SER PROPRIETARIO DO IMOVEL)</t>
  </si>
  <si>
    <t>MK END: N/C
MK NOMES: 
JAMIRO FLORENCIO DOS SANTOS (PROPRIETARIO):  N/C
LUCIANA ROSA DE OLIVIERA (MÃE DE LEANDRO): N/C</t>
  </si>
  <si>
    <t>ENDEREÇO NOVO: RUA CEARÁ, 922
COMPLEMENTO: CASA
CEP: 38402018
BAIRRO: NOSSA SENHORA DAS GRAÇAS</t>
  </si>
  <si>
    <t xml:space="preserve">PLANO ATUAL: 600 MEGA/79,90 CONTRATADO EM 09/2024 COM FIDELIDADE DE 12 MESES. ROTEADOR: ONT TP-LINK XC230
PLANO OFERTADO: 600 MEGA/79,90. BENEFÍCIOS: ACESSO GRATUITO AO APP MZTV (CDNTV+)
</t>
  </si>
  <si>
    <t>COMPROVANTE DE ENDEREÇO (CONTRATO DE LOCAÇÃO) EM ANEXO
NOME NO COMPROVANTE: ROBSON LIBERIO DA SILVA (ASSINANTE)</t>
  </si>
  <si>
    <t>MK NOMES: 
TATIANE BATISTA MARTINS CORREIA (PROPRIETARIO) - N/C 
ROBSON LIBERIO DA SILVA (LOCATÁRIO) 
ASSINANTE, CONEXÃO ATIVA E ADIMPLENTE
MK END: N/C</t>
  </si>
  <si>
    <t>cartão</t>
  </si>
  <si>
    <t>ENDEREÇO NOVO: RUA JOSÉ GARIBALDINO, 350
COMPLEMENTO: TOP LIFE ACAPULCO, BL 18 APT 404
CEP: 38413295
BAIRRO: CHÁCARAS TUBALINA E QUARTEL</t>
  </si>
  <si>
    <t>THAUANNY (FILHA DE VANESSA)</t>
  </si>
  <si>
    <t xml:space="preserve"> (34) 99241-2049</t>
  </si>
  <si>
    <t>COMPROVANTE DE ENDEREÇO (CEMIG) EM ANEXO.
NOME NO COMPROVANTE:  VITOR FELIPE SOARES FERREIRA (ALEGA SER DONO DA RESIDÊNCIA )</t>
  </si>
  <si>
    <t>MK END: N/C
MK NOME: 
- VITOR FELIPE SOARES FERREIRA (ALEGA SER DONO DO IMÓVEL) N/C;
- VANESSA LISBOA MIRANDA - CPF: 081.726.936-30- ASSINANTE - CLIENTE ATIVO E ADIMPLENTE COM A EMPRESA</t>
  </si>
  <si>
    <t>MUD END + ALT PLANO LUCILIA CANDIDA LIMA SOBRAL PROT:2604.161 ISENTO (ANDREZA) - CHÁCARAS TUBALINA E QUARTEL **PRÉDIO COM PRUMADA** //  *TROCA DE EQUIPAMENTO*</t>
  </si>
  <si>
    <t>VALIDAÇÃO OK 
ENVIAR AO CADASTRO
COBRAR ASSINATURA DO CONTRATO</t>
  </si>
  <si>
    <t>APÓS AS 11:00</t>
  </si>
  <si>
    <t>ENDEREÇO NOVO: RUA DIMAS MACHADO, 164
COMPLEMENTO: RESIDENCIAL PALLACE PLANALTO - BLOCO 3, APTO 208
CEP: 38413291
BAIRRO: CHÁCARAS TUBALINA E QUARTEL</t>
  </si>
  <si>
    <t>PLANO ATUAL: 1000 MEGA/99,90 CONTRATADO EM 01/2024 COM FIDELIDADE DE 12 MESES. ROTEADOR: ZTE H199-A
PLANO OFERTADO: 1 GIGA (1.000 MEGA) R$99,90. BENEFÍCIOS: ACESSO GRATUITO AO APP MZTV (CDNTV+) + VOD</t>
  </si>
  <si>
    <t>COMPROVANTE DE ENDEREÇO (TAXA DE MUDANÇA DE CONDOMÍNIO) EM ANEXO
NOME NO COMPROVANTE: ALEXIA CRISTINE DE OLIVEIRA MENDONÇA (DISSE QUE É A DONA DO IMÓVEL)</t>
  </si>
  <si>
    <t>MK END: N/C
________________________________________
MK NOMES:
-&gt; ALEXIA CRISTINE DE OLIVEIRA MENDONÇA (DISSE QUE É A DONA DO IMÓVEL) - CPF 101.272.306-29: N/C</t>
  </si>
  <si>
    <t xml:space="preserve">MUD END + ALT PLANO LARA SILVA CIPRIANO (MARIA/MAE) PROT:2603.35997 ISENTO (LUIS) - LOTEAMENTO PORTAL DO VALE II **PRÉDIO COM PRUMADA** //  </t>
  </si>
  <si>
    <t xml:space="preserve">PENDENTE CONFERENCIAS
</t>
  </si>
  <si>
    <t>ENDEREÇO NOVO: RUA REINALDO ALVES DA ROCHA, 850
COMPLEMENTO: COND, VISTA DO VALE 02 BL 02 APT 602
CEP: 38436086
BAIRRO: LOTEAMENTO PORTAL DO VALE II</t>
  </si>
  <si>
    <t xml:space="preserve">PLANO ATUAL: 600 MEGA/79,90 CONTRATADO EM 12/2024 COM FIDELIDADE DE 12 MESES. ROTEADOR: ONT TP-LINK XC230
PLANO OFERTADO: 600 MEGA/79,90. BENEFÍCIOS: ACESSO GRATUITO AO APP MZTV (CDNTV+)
</t>
  </si>
  <si>
    <t>COMPROVANTE DE ENDEREÇO (CONTRATO DE LOCAÇÃO) EM ANEXO
NOME NO COMPROVANTE: LARA SILVA CIPRIANO (ASSINANTE)</t>
  </si>
  <si>
    <t xml:space="preserve">MK END: N/C
MK NOMES: 
- KEVIN CARVALHO DE CASTRO CPF: 129.955.526-83 - LOCADOR - N/C
- LARA SILVA CIPRIANO (MARIA/MAE) - CPF: 884.659.422-34 - LOCATÁRIA (ASSINANTE) CLIENTE ATIVA E ADIMPLENTE COM A EMPRESA. </t>
  </si>
  <si>
    <t xml:space="preserve">MUD END + ALT PLANO EDNEUZA SIQUEIRA LEITE PROT:2604.827 ISENTO (IZABELA) - NOVO MUNDO **PRÉDIO COM PRUMADA** //  </t>
  </si>
  <si>
    <t>VALIDAÇÃO OK 
ENVIAR AO CADASTRO
PENDENTE ASSINATURA</t>
  </si>
  <si>
    <t>ENDEREÇO NOVO: RUA SANTINA ZANATTA, 103
COMPLEMENTO: AP 307
CEP: 38409047
BAIRRO: NOVO MUNDO</t>
  </si>
  <si>
    <t>PLANO ATUAL: 600 MEGA/79,90 CONTRATADO EM 06/2025 COM FIDELIDADE DE 12 MESES. ROTEADOR: ONT TP-LINK XC230
PLANO OFERTADO: 600 MEGA/79,90. BENEFÍCIOS: ACESSO GRATUITO AO APP MZTV (CDNTV+)</t>
  </si>
  <si>
    <t>IRINEU (FILHO DE EDNEUZA)</t>
  </si>
  <si>
    <t>COMPROVANTE DE ENDEREÇO (CONTRATO DE COMPRA E VENDA) EM ANEXO
NOME NO COMPROVANTE: IRINEU SIQUEIRA LEITE (FILHO DE EDNEUZA)</t>
  </si>
  <si>
    <t>MK END - N/C
MK NOMES:
VINICIUS CARNEIRO DIAS (VENDEDOR) - N/C
IRINEU SIQUEIRA LEITE (COMPRADOR / FILHO DA TITULAR) - N/C
____________________________________________________________
REPRESENTANTES ITAÚ UNIBANCO S.A:
ANDRE BERANGER VIEIRA (297.484.678-56) - N/C
CIRLENE ALVES DOS SANTOS (360.348.728-12) - N/C
KELLY CRISTINA KRAUT DE ALMEIDA (260.214.648-00) - N/C
LAIS SANTANA GONCALVES DA SILVA (421.336.208-69) - N/C
MARIA ELISA MORI (092.650.258-16) - N/C
 NATALIA DA COSTA ARAUJO (444.426.928-66) - N/C
RANULFO DA ROCHA SILVA (222.833.068-09) - N/C
 RAPHAEL GERMANO AMARO DA SILVA (399.010.958-83) - N/C
VANESSA MODESTO DE ABREU (383.100.548-66) - N/C
WESLLEY DA SILVA RAMOS DO NASCIMENTO (344.258.558-92) - N/C
ANDERSON HENRIQUE TEIXEIRA NOGUEIRA (NÃO HÁ ESPECIFICAÇÃO DA OCUPAÇÃO DO MESMO) - N/C
BARBARA APARECIDA OTONI (NÃO HÁ ESPECIFICAÇÃO DA OCUPAÇÃO DA MESMA) - N/C</t>
  </si>
  <si>
    <t>ENDEREÇO NOVO: RUA JOÃO ÂNGELO SCHIAVINATO, 1613
COMPLEMENTO: CASA ÚNICA
CEP: 38408272
BAIRRO: SEGISMUNDO PEREIRA</t>
  </si>
  <si>
    <t>CLAITON DE OLIVEIRA MELO (ESPOSO)</t>
  </si>
  <si>
    <t>34 9128-6717</t>
  </si>
  <si>
    <t>COMPROVANTE DE ENDEREÇO (CONTRATO DE LOCAÇÃO) EM ANEXO
NOME NO COMPROVANTE: NAIANE RODRIGUES DE SOUSA MELO (ASSINANTE)</t>
  </si>
  <si>
    <t>MK END: N/C
MK NOMES:
VANDA LEONARDO ALVES FREITAS (LOCADORA):N/C
NAIANE RODRIGUES DE SOUSA MELO (LOCATÁRIA/ASSINANTE): CONEXÃO ATIVA E SEM PENDENCIAS.
CLAITON DE OLIVEIRA MELO (LOCATÁRIO/ESPOSO DE NAIANE):N/C
CREUZA MARIA DE OLIVEIRA MELO (FIADORA):N/C
CEMIG (CONCESSIONÁRIA):N/C
BANCO BRADESCO (INSTITUIÇÃO FINANCEIRA):N/C</t>
  </si>
  <si>
    <t>ENDEREÇO NOVO: RUA TUPACIGUARA, 400
COMPLEMENTO: AP 401 
CEP: 38400618
BAIRRO: NOSSA SENHORA APARECIDA</t>
  </si>
  <si>
    <t>COMPROVANTE DE ENDEREÇO (DMAE) EM ANEXO
NOME NO COMPROVANTE: PIETRO URBANO GALVÃO (ASSINANTE)</t>
  </si>
  <si>
    <t>PENDENTE COMPROVANTE</t>
  </si>
  <si>
    <t>ENDEREÇO NOVO: RUA FRANCISCO SALES, 1140
COMPLEMENTO: COMERCIO
CEP: 38400440
BAIRRO: OSVALDO REZENDE</t>
  </si>
  <si>
    <t>COMPROVANTE DE ENDEREÇO (DMAE) EM ANEXO
NOME NO COMPROVANTE: SONIA MARIA BORBA (DISSE SER IRMÃ DO PROPRIETÁRIO DO IMÓVEL)</t>
  </si>
  <si>
    <t>MK END:  N/C 
MK NOMES: SONIA MARIA BORBA (DISSE SER IRMÃ DO PROPRIETÁRIO DO IMÓVEL) N/C</t>
  </si>
  <si>
    <t xml:space="preserve">mud end IRIS DE FATIMA MARCELINO CAMARA
 prot (Victor) </t>
  </si>
  <si>
    <t>ENDEREÇO NOVO: RUA NICARÁGUA, 794
COMPLEMENTO: APTO 102
CEP: 38405100
BAIRRO: TIBERY</t>
  </si>
  <si>
    <t>PLANO ATUAL: 1000 MEGA/99,90 CONTRATADO EM 05/2024 COM FIDELIDADE DE 12 MESES. ROTEADOR: ONT TP-LINK XC230
PLANO OFERTADO: 1 GIGA (1.000 MEGA) R$99,90. BENEFÍCIOS: ACESSO GRATUITO AO APP MZTV (CDNTV+) + VOD</t>
  </si>
  <si>
    <t>COMPROVANTE DE ENDEREÇO (CONTRATO DE LOCAÇÃO) EM ANEXO
NOME NO COMPROVANTE: IRIS DE FATIMA MARCELINO CAMARA (ASSINANTE)</t>
  </si>
  <si>
    <t>MK NOMES: 
ELCI LOURENÇO BORGES CPF 456.253.446-04 (LOCADOR) N/C
MATILDE ALVES BORGES CPF 260.176.956-49 (LOCADORA) N/C
IRIS DE FÁTIMA MARCELINO CAMARA RG 143.693.111-87 (LOCATÁRIA) 
ASSINANTE, CONTRATOU EM 05/2024 CONEXÃO ATIVA E ADIMPLENTE
CARLA MARCELINO CÂMARA RG 054.957.476-67 (TESTEMUNHA) N/C
MK END: N/C</t>
  </si>
  <si>
    <t xml:space="preserve">MUD END + ALT PLANO LUCAS FERREIRA GOMES PROT:2603.34716 ISENTO (JHONATAN) - DANIEL FONSECA | </t>
  </si>
  <si>
    <t>JA VALIDADO ANTERIORMENTE</t>
  </si>
  <si>
    <t>ENDEREÇO NOVO: RUA FERNANDO ALVES VIEIRA, 12
COMPLEMENTO: CASA UNICA
CEP: 38401232
BAIRRO: PRESIDENTE ROOSEVELT</t>
  </si>
  <si>
    <t>COMPROVANTE DE ENDEREÇO (CEMIG) EM ANEXO
NOME NO COMPROVANTE:  DANIEL SOUZA RESENDE (CLIENTE DIZ QUE É O MORADOR ANTIGO)</t>
  </si>
  <si>
    <t>MK END:N/C
NK NOMES:
   DANIEL SOUZA RESENDE CPF:806.1**.***-**(CLIENTE DIZ QUE É O MORADOR ANTIGO)N/C</t>
  </si>
  <si>
    <t>MUD END + ALT PLANO JULIANA GONCALVES BEIJO PROT:2603.33541 ISENTO (VAGNER) - PORTAL DO VALE **PRÉDIO COM PRUMADA**</t>
  </si>
  <si>
    <t>ENDEREÇO NOVO: RUA REINALDO ALVES DA ROCHA, 867
COMPLEMENTO: BLOCO 2 AP 1008
CEP: 38436086
BAIRRO: LOTEAMENTO PORTAL DO VALE II</t>
  </si>
  <si>
    <t xml:space="preserve">PLANO ATUAL: 150 MEGA/59,90 CONTRATADO EM 09/2024 COM FIDELIDADE DE 12 MESES. ROTEADOR: ONT TP-LINK XC220
PLANO OFERTADO: 150 MEGA/59,90. BENEFÍCIOS: ACESSO GRATUITO AO APP MZTV (CDNTV+)
</t>
  </si>
  <si>
    <t>COMPROVANTE DE ENDEREÇO (DMAE) EM ANEXO
NOME NO COMPROVANTE: DANIELA DE OLIVEIRA FARINA (DISSE SER ANTIGA PROPRIETÁRIA)</t>
  </si>
  <si>
    <t>MK END:
HUDSON MARQUETE BEIJO (JULIANA DISSE SER SEU CÔNJUGE) – POSSUI UM PEDIDO DE INSTALAÇÃO REALIZADO NO DIA 19/03/2026. AO QUESTIONAR, INFORMOU QUE HUDSON RESIDE COM ELA NO LOCAL E QUE O PEDIDO FOI FEITO ANTES DA DECISÃO ENTRE CONTRATAR UM NOVO PLANO OU SOLICITAR A MUDANÇA. RELATOU AINDA QUE HUDSON IRÁ SOLICITAR O CANCELAMENTO DO PEDIDO DE INSTALAÇÃO.
MK NOME: DANIELA DE OLIVEIRA FARINA (DISSE SER ANTIGA PROPRIETÁRIA)- N/C
MARCIO ANTONIO DE FREITAS JUNIOR (DISSE SER ANTIGO MORADOR) - N/C</t>
  </si>
  <si>
    <t>10/04 MUD END CARLOS AUGUSTO RODRIGUES DE MATTOS PROT:2603.33782 CARTAO (GABRIEL M.) - LAGOINHA</t>
  </si>
  <si>
    <t>VALIDADO</t>
  </si>
  <si>
    <t>ENDEREÇO NOVO: RUA BENTO DE FARIA, 80
COMPLEMENTO: CASA UNICA
CEP: 38408514
BAIRRO: LAGOINHA</t>
  </si>
  <si>
    <t>COMPROVANTE DE ENDEREÇO (CEMIG) EM ANEXO
NOME NO COMPROVANTE: MARIA HELENA VASCONCELOS DE OLIVEIRA (DISSE SER PRIMA DO ASSINANTE.)</t>
  </si>
  <si>
    <t xml:space="preserve">MUD END KLEVERSON ERRERA DE SOUZA PROT:2604.1722 PIX (ANDREZA) - SANTA MÔNICA   </t>
  </si>
  <si>
    <t>APÓS AS 11:00 HORAS</t>
  </si>
  <si>
    <t>ENDEREÇO NOVO: AVENIDA ORTÍZIO BORGES, 1398
COMPLEMENTO: CASA FUNDO
CEP: 38408263
BAIRRO: SANTA MÔNICA</t>
  </si>
  <si>
    <t>PLANO ATUAL: 600 MEGA/79,90 CONTRATADO EM 04/2025 COM FIDELIDADE DE 12 MESES. ROTEADOR: ONT ZTE F 670-L
PLANO OFERTADO: 600 MEGA/79,90. BENEFÍCIOS: ACESSO GRATUITO AO APP MZTV (CDNTV+)</t>
  </si>
  <si>
    <t>COMPROVANTE DE ENDEREÇO (CONTRATO DE LOCAÇÃO) EM ANEXO
NOME NO COMPROVANTE: KLEVERSON ERRERA DE SOUZA (ASSINANTE)</t>
  </si>
  <si>
    <t>MK END: N/C
________________________________________
MK NOMES:
-&gt; ANTONIO PEREIRA TOSTA (LOCADOR) - CPF 103.551.891-00: N/C
-&gt; KLEVERSON ERRERA DE SOUZA (LOCATÁRIO) - CPF 102.820.168-05: ASSINANTE DA CONEXÃO.
-&gt; SANDRA ELISA CASALE (ESPOSA DO LOCATÁRIO) - CPF 102.852.798-58: N/C</t>
  </si>
  <si>
    <t>-PENDENTE COMPROVANTE
- ENDEREÇO NÃO ALTERADO 
- MENSALIDADE PENDENTE
- ANÁLISE 90 DIAS</t>
  </si>
  <si>
    <t>ENDEREÇO NOVO: AVENIDA SERRA DO ESPINHAÇO, 775
COMPLEMENTO: CASA UNICA
CEP: 38410384
BAIRRO: SÃO JORGE</t>
  </si>
  <si>
    <t>-Pendente comprovante atualizado
- Complemento, melhorar informação. descrito como "casa ao lado" 
- Contrato nao assinado</t>
  </si>
  <si>
    <t xml:space="preserve">Após as 11:00 horas </t>
  </si>
  <si>
    <t>ENDEREÇO NOVO: RUA NATALINA DE CASTRO PEREIRA, 15
COMPLEMENTO: CASA AO LADO
CEP: 38401116
BAIRRO: PRESIDENTE ROOSEVELT</t>
  </si>
  <si>
    <t>PLANO ATUAL: 150 MEGA/59,90 CONTRATADO EM 06/2025 COM FIDELIDADE DE 12 MESES. ROTEADOR: ONT TP-LINK XC220
PLANO OFERTADO: 150 MEGA/59,90. BENEFÍCIOS: ACESSO GRATUITO AO APP MZTV (CDNTV+)</t>
  </si>
  <si>
    <t xml:space="preserve">mensalidade pendente 
demais conferencias ok. </t>
  </si>
  <si>
    <t>ENDEREÇO NOVO: RUA APARECIDA DE FÁTIMA CUNHA, 190
COMPLEMENTO: CASA FUNDO
CEP: 38415345
BAIRRO: TOCANTINS</t>
  </si>
  <si>
    <t xml:space="preserve">PLANO ATUAL: 150 MEGA/59,90 CONTRATADO EM 04/2025 COM FIDELIDADE DE 12 MESES. ROTEADOR: ONT TP-LINK XC220
PLANO OFERTADO: 150 MEGA/59,90. BENEFÍCIOS: ACESSO GRATUITO AO APP MZTV (CDNTV+)
</t>
  </si>
  <si>
    <t>COMPROVANTE DE ENDEREÇO (CEMIG) EM ANEXO
NOME NO COMPROVANTE: JULIANA COUTINHO FERREIRA (ASSINANTE)</t>
  </si>
  <si>
    <t xml:space="preserve">MK END: 
- ANA VITORIA PEREIRA CAMPOS - CPF: 043.955.962-66 - FICHA CADASTRAL REALIZADA EM 11/2022 NA QUAL FOI REPROVADA;
- WANISLAYLA FERNANDA DA COSTA - CPF: 112.169.146-30 - CONEXÃO ATIVA NO MESMO ENDEREÇO ENTRETANTO COMPLEMENTO É CASA FRENTE. CLIENTE ATIVA E ADIMPLENTE COM A EMPRESA. 
MK NOMES: 
- JULIANA COUTINHO FERREIRA - CPF: 705.333.442-20 - ASSINANTE - CLIENTE ATIVA E ADIMPLENTE COM A EMPRESA. </t>
  </si>
  <si>
    <t>PENDENTE COMPROVANTE
 SEM OS GERADA</t>
  </si>
  <si>
    <t>ENDEREÇO NOVO: AVENIDA ADRIANO BAILONI, 64
COMPLEMENTO: SOBRADO
CEP: 38401092
BAIRRO: PRESIDENTE ROOSEVELT</t>
  </si>
  <si>
    <t>PLANO ATUAL: 1000 MEGA/99,90 CONTRATADO EM 02/2025 COM FIDELIDADE DE 12 MESES. ROTEADOR: ONT TP-LINK X530
PLANO OFERTADO: 1 GIGA (1.000 MEGA) R$99,90. BENEFÍCIOS: ACESSO GRATUITO AO APP MZTV (CDNTV+) + VOD</t>
  </si>
  <si>
    <t>ENDEREÇO NOVO: RUA ARDÓSIA, 52
COMPLEMENTO: CASA FRENTE
CEP: 38414136
BAIRRO: JARDIM PATRÍCIA</t>
  </si>
  <si>
    <t>EVA (ESPOSA DE ELEUBER)</t>
  </si>
  <si>
    <t>3498407-2244</t>
  </si>
  <si>
    <t xml:space="preserve">MUD END + ALT PLANO KEVIN XAVIER RIBEIRO PROT:2603.34547 ISENTO (LUIS) - SEGISMUNDO PEREIRA **PRÉDIO COM PRUMADA** //  </t>
  </si>
  <si>
    <t>PENDENTE APENAS CONFERENCIAS</t>
  </si>
  <si>
    <t>ENDEREÇO NOVO: RUA JOÃO BALBINO, 1833
COMPLEMENTO: CONDOMINIO METROPOLI 2 BL D APT 203
CEP: 38408265
BAIRRO: SEGISMUNDO PEREIRA</t>
  </si>
  <si>
    <t>PLANO ATUAL: 500 MEGA/79,90 CONTRATADO EM 04/2024 COM FIDELIDADE DE 12 MESES. ROTEADOR: ONT ZTE F 670-L
PLANO OFERTADO: 600 MEGA/79,90. BENEFÍCIOS: ACESSO GRATUITO AO APP MZTV (CDNTV+)</t>
  </si>
  <si>
    <t>COMPROVANTE DE ENDEREÇO (CONTRATO DE LOCAÇÃO) EM ANEXO
NOME NO COMPROVANTE: FLÁVIA LAYLA ALVES AMERICANO (KEVIN ALEGA SER SUA ESPOSA)</t>
  </si>
  <si>
    <t xml:space="preserve">MK END: POSSUI UMA FICHA CADASTRAL REALIZADA NO DIA 30/03/2026 NO NOME DE FLAVIA LAYLA ALVES AMERICANO (KEVIN ALEGA SER SUA ESPOSA). 
MK NOMES: 
- ANA PAULA PEREIRA DA SILVA – CPF: 866.464.196-04 –  LOCADORA - CONEXÃO CANCELADA EM 11/2023 NO ENDEREÇO RUA ALABASTRO, 166. EQUIPAMENTOS FORAM DEVOLVIDOS E SEM DÉBITO EM ABERTO.
- SILONE FERREIRA DA SILVA – CPF: 772.001.101-59 – LOCADORA - N/C
- FLÁVIA LAYLA ALVES AMERICANO – CPF: 082.496.186-29 – LOCATÁRIA - FOI REALIZADO A FICHA CADASTRAL NA DATA 30/03/2026 PARA O MESMO ENDEREÇO QUE KEVIN ESTÁ SE MUDANDO: RUA JOAO BALBINO, 1833 - BL.D, APT.203
- KEVIN XAVIER RIBEIRO - CPF: 121.764.336-29 - TESTEMUNHA (ASSINANTE) - CLIENTE ATIVO E ADIMPLENTE COM A EMPRESA. </t>
  </si>
  <si>
    <t xml:space="preserve">MUD END CARLOS HAILTON MUNIZ FERREIRA PROT:2603.34987 DINHEIRO (RONALD) - MORUMBI   </t>
  </si>
  <si>
    <t>ENDEREÇO NAO ALTERADO NA OS
CORRIGIR PROTOCOLO + OS: MUDANÇA AGENDADA PARA DIA 07/04/2026 ÀS 10:00 HRS.
COBRAR COMPROVANTE PAGAMENTO
REAGENDADO</t>
  </si>
  <si>
    <t>ENDEREÇO NOVO: RUA ARRUDA, 203
COMPLEMENTO: CASA ÚNICA
CEP: 38407129
BAIRRO: MORUMBI</t>
  </si>
  <si>
    <t>COMPROVANTE DE ENDEREÇO (CEMIG) EM ANEXO
NOME NO COMPROVANTE: MARIA APARECIDA DA SILVA (ANTIGA INQUILINA)</t>
  </si>
  <si>
    <t>MK END;
JHOATAN JUNIO RODRIGUES LIMA
SOLICITOU CONTRATAÇÃO EM 04/2025 PORÉM NÃO FOI APROVADO COM INSTALAÇÃO GRATUITA, PORÉM NÃO TEVE INTERESSE. 
MK NOME;
CARLOS HAILTON MUNIZ FERREIRA (ASSINANTE)
CONEXÃO ATIVA E CLIENTE ADIMPLENTE
MARIA APARECIDA DA SILVA 366.4**.***-** (ANTIGA INQUILINA)
N/C</t>
  </si>
  <si>
    <t xml:space="preserve">MUD END IVALDA PEREIRA DA SILVA PROT: 2603.35714 DINHEIRO (HALYSON) - TIBERY  </t>
  </si>
  <si>
    <t>ENDEREÇO NOVO: RUA GRÉCIA, 429
COMPLEMENTO: CASA 3
CEP: 38405064
BAIRRO: TIBERY</t>
  </si>
  <si>
    <t xml:space="preserve">SIDNEY (ESPOSO DE IVALDA) </t>
  </si>
  <si>
    <t>COMPROVANTE DE ENDEREÇO (DMAE) EM ANEXO
NOME NO COMPROVANTE:  VAIDE VENANCIO DA SILVA (PAI DA ASSINANTE)</t>
  </si>
  <si>
    <t xml:space="preserve">MK END: N/C
MK NOMES
- VAIDE VENANCIO DA SILVA (PROPRIETÁRIO E PAI DA ASSINANTE): N/C
- IVALDA PEREIRA DA SILVA (ASSINANTE): POSSUI CONEXÃO ATIVA E ADIMPLENTE.
- SIDNEI ROBERTO GOULART DOS SANTOS (ESPOSO DA ASSINANTE): PEDIDO DE ADESÃO APROVADO PARA ESPOSA *IVALDA PEREIRA DA SILVA 16/05/2025 </t>
  </si>
  <si>
    <t xml:space="preserve">MUD END + ALT PLANO CASA TELAS E CIA LTDA (LOJA 2) PROT:2604.2152 ISENTO (RONALD) - PLANALTO </t>
  </si>
  <si>
    <t xml:space="preserve">COMPLEMENTO EM PROTOCOLO E OS NÃO CONFEREM
NAO CONSTA COMENTÁRIO SOBRE COMPROVANTE DE RESIDENCIA </t>
  </si>
  <si>
    <t>ENDEREÇO NOVO: RUA ANTÔNIO VICENTE FERREIRA, 618
COMPLEMENTO: LOJA 
CEP: 38413213
BAIRRO: PLANALTO</t>
  </si>
  <si>
    <t>PLANO ATUAL:  1 GIGA (1.000 MEGA) R$120,00 + IP PUBLICO DINAMICO CONTRATADO EM 03/2025 COM FIDELIDADE DE 12 MESES. ROTEADOR: ONT TP-LINK X530
PLANO OFERTADO: 1 GIGA (1.000 MEGA) R$120,00 + IP PUBLICO DINAMICO. BENEFÍCIOS: ACESSO GRATUITO AO APP MZTV (CDNTV+) + VOD</t>
  </si>
  <si>
    <t xml:space="preserve">HEITOR (GERENTE DA CASA TELAS E CIA LTDA ) </t>
  </si>
  <si>
    <t>COMPROVANTE DE ENDEREÇO (CEMIG) EM ANEXO
NOME NO COMPROVANTE: GILCIMAR OLIVEIRA MENDONÇA (LOCADOR/PROPRIETARIO)</t>
  </si>
  <si>
    <t>MK END;
CASA TELAS E CIA LTDA
SOLICITOU O CANCELAMENTO EM 11/2025, DEVOLVEU OS EQUIPAMENTOS E REALIZOU PAGAMENTO DOS DÉBITOS. 
EM LIGAÇÃO MARCUS INFORMOU QUE TINHA OUTRA CONEXÃO NO MEMSO ENDEREÇO E CANCELOU POIS NÃO ESTAVA UTILIZANDO.
MK NOME;
CASA TELAS E CIA LTDA (LOJA 2) 38.454.719/0001-75
CONEXÃO ATIVA E ADIMPLENTE
MARCUS VINICIUS XAVIER GONÇALVES (PROPRIETARIO)
N/C
HEITOR SIMAO GONCALVES (GERENTE) 
N/C
GILCIMAR OLIVEIRA MENDONÇA (LOCADOR/PROPRIETARIO)
N/C</t>
  </si>
  <si>
    <t>ENDEREÇO NOVO: RUA PEDRO QUIRINO DA SILVA, 1105
COMPLEMENTO: CASA 03
CEP: 38402075
BAIRRO: NOSSA SENHORA DAS GRAÇAS</t>
  </si>
  <si>
    <t>COMPROVANTE DE ENDEREÇO (DMAE) EM ANEXO
NOME NO COMPROVANTE: LEONARDO REZENDE SILVA (DISSE QUE É O PROPRIETÁRIO DA CASA)</t>
  </si>
  <si>
    <t>MK END 
-&gt; BRUNO LOPES CARDOSO: SOLICITAÇÃO DE ADESÃO RECUSADA EM 02/2026
MK NOMES
-&gt; GIOVANA ROSA DE OLIVEIRA MARCELINO ALVES (ASSINANTE DA CONEXÃO) 
-&gt; LEONARDO REZENDE SILVA (DISSE QUE É O PROPRIETÁRIO): N/C</t>
  </si>
  <si>
    <t xml:space="preserve">MUD END CARLOS ANTONIO AMARAL PROT:2604.1964 PIX (JHONATAN) - GÁVEA **PRÉDIO COM PRUMADA** </t>
  </si>
  <si>
    <t xml:space="preserve">INFORMAÇÃO SOBRE COMPROVANTE DE RESIDENCIA INCORRETO
ENDEREÇO NÃO ALTERADO </t>
  </si>
  <si>
    <t>ENDEREÇO NOVO: AVENIDA NICOMEDES ALVES DOS SANTOS, 6611
COMPLEMENTO: AP 201 BLOCO 2
CEP: 38411869
BAIRRO: GÁVEA</t>
  </si>
  <si>
    <t>COMPROVANTE DE ENDEREÇO (CONTRATO DE COMPRA E VENDA) EM ANEXO
NOME NO COMPROVANTE: CARLOS ANTONIO AMARAL (ASSINANTE)</t>
  </si>
  <si>
    <t>MK END
N/C
______________________________________________________________________________
MK NOMES
-&gt; CARLOS ANTONIO AMARAL (COMPRADOR / RESPONSÁVEL PELO IMÓVEL): ASSINANTE DA CONEXÃO
-&gt; RONALDO ALBERTINO CANDIDO JUNIOR (VENDEDOR / ANTIGO RESPONSÁVEL PELO IMÓVEL): N/C
-&gt; MATHEUS DIAS MATOS (PROPRIETÁRIO DO VEÍCULO UTILIZADO NA NEGOCIAÇÃO): N/C
-&gt; JÚLIA PLACIDIO MEDEIROS SILVA (RECEBEDORA DO VALOR VIA PIX): N/C 
-&gt; CAIXA ECONÔMICA FEDERAL (AGENTE FINANCEIRO DO IMÓVEL): N/C</t>
  </si>
  <si>
    <t>ENDEREÇO NOVO: ALAMEDA JOSÉ DE OLIVEIRA, 990
COMPLEMENTO: CASA 5
CEP: 38412880
BAIRRO: JARDIM HOLANDA</t>
  </si>
  <si>
    <t>COMPROVANTE DE ENDEREÇO (CEMIG) EM ANEXO
NOME NO COMPROVANTE: LEONARDO APARECIDO ARAUJO (ASSINANTE)</t>
  </si>
  <si>
    <t>MK END: N/C
MK NOME: LEONARDO APARECIDO ARAUJO MARIANO (TITULAR) - CLIENTE POSSUI CONEXÃO CONOSCO DESDE 03/2025, ATIVA E ADIMPLENTE</t>
  </si>
  <si>
    <t xml:space="preserve">KETLIN GERALDA DE SOUZA DA SILVA (SALAO ESPACO GIRASSOL) - GABRIEL </t>
  </si>
  <si>
    <t> </t>
  </si>
  <si>
    <t xml:space="preserve">verificando se vai permanecer na agenda </t>
  </si>
  <si>
    <t xml:space="preserve">MUD END SHAUAN SOARES RODRIGUES RAMOS PROT:2604.1929 CARTAO (RONALD) - PLANALTO   
</t>
  </si>
  <si>
    <t>ENDEREÇO NOVO: RUA JORGE CAUHY, 32
COMPLEMENTO: CASA 4
CEP: 38413216
BAIRRO: PLANALTO</t>
  </si>
  <si>
    <t>COMPROVANTE DE ENDEREÇO (CONTRATO DE LOCAÇÃO) EM ANEXO
NOME NO COMPROVANTE: SHAUAN SOARES RODRIGUES RAMOS (ASSINANTE)</t>
  </si>
  <si>
    <t>MK END;
YELITZA DEL CARMEN LEZAMA CAIXETA 014.163.236-43
CONEXÃO NA CASA 08 CANCELADA E EQUIPAMENTOS DEVOLVIDOS, SEM DEBITOS PENDENTES
ALAIR CECILIO RIBEIRO 006.189.478-84
CONEXÃO NA CASA 07 CANCELADA E EQUIPAMENTOS DEVOLVIDOS, SEM DEBITOS PENDENTES
MK NOME;
PRICILA NUNES DA SILVA (NAMORADA) 149.885.416-81
N/C
SILVIA LETICIA R. VELOSO 128.051.916-92 (TESTEMUNHA)
CLIENTE MZ NET COM CONEXÃO ATIVA E ADIMPLENTE 
MARIA APARECIDA FERREIRA 753.807.736-72 (LOCADORA)
N/C
GILMA ALMEIDA DE OLIVEIRA 333.236.661-00 (ADMINISTRAÇÃO)
N/C</t>
  </si>
  <si>
    <t xml:space="preserve">MUD END MARCELO MARTINS SILVA PROT:2603.36108 DINHEIRO (VITOR M.) - PRESIDENTE ROOSEVELT  // COM FIBRA EXISTENTE </t>
  </si>
  <si>
    <t xml:space="preserve">CONFERENCIA INCOMPLETA. </t>
  </si>
  <si>
    <t>ENDEREÇO NOVO: RUA FRANCISCO VIEIRA DE PAIVA, 60
COMPLEMENTO: CASA 2
CEP: 38401002
BAIRRO: PRESIDENTE ROOSEVELT</t>
  </si>
  <si>
    <t>COMPROVANTE DE ENDEREÇO (CEMIG) EM ANEXO
NOME NO COMPROVANTE:  ACACIO ALVES (ASSINANTE DISSE SER DONO DA RESIDENCIA)</t>
  </si>
  <si>
    <t xml:space="preserve">MUD END + ALT PLANO NADIR ROMANIO ABRANTES PROT:2604.1117 ISENTO (PEDRO) - LOTEAMENTO LUIZOTE DE FREITAS IV  //  </t>
  </si>
  <si>
    <t>NECESSÁRIO FOTO DO COMPROVANTE POR COMPLETO 
 SEM CONFERENCIAS</t>
  </si>
  <si>
    <t>ENDEREÇO NOVO: RUA VEREADORA DRIKA PROTETORA, 176
COMPLEMENTO: CASA ÚNICA
CEP: 38418529
BAIRRO: LOTEAMENTO LUIZOTE DE FREITAS IV</t>
  </si>
  <si>
    <t>PLANO ATUAL: 600 MEGA/79,90 CONTRATADO EM 06/2025 COM FIDELIDADE DE 12 MESES. ROTEADOR: HUAWEI AX2
PLANO OFERTADO: 600 MEGA/79,90. BENEFÍCIOS: ACESSO GRATUITO AO APP MZTV (CDNTV+)</t>
  </si>
  <si>
    <t>COMPROVANTE DE ENDEREÇO (CEMIG) EM ANEXO
NOME NO COMPROVANTE: WESLEY VITAL SILVA (DISSE SER O DONO DO IMÓVEL)</t>
  </si>
  <si>
    <t>MK END: N/C
MK NOME: WESLEY VITAL SILVA (DISSE SER O DONO DO IMÓVEL) - N/C
NADIR ROMANIO ABRANTES (TITULAR) - POSSUI CONEXÃO CONOSCO DESDE 06/2025, ATIVA E ADIMPLENTE.</t>
  </si>
  <si>
    <t>ENDEREÇO NOVO: ALAMEDA CASTANHEIRAS, 152
COMPLEMENTO: CASA 1
CEP: 3840657
BAIRRO: BOSQUE DOS BURITIS</t>
  </si>
  <si>
    <t>PLANO ATUAL: 300 MEGA/69,90 CONTRATADO EM 08/2024 COM FIDELIDADE DE 12 MESES. ROTEADOR: ONT TP-LINK XC220
PLANO OFERTADO: 600 MEGA/79,90. BENEFÍCIOS: ACESSO GRATUITO AO APP MZTV (CDNTV+)</t>
  </si>
  <si>
    <t>ADRIEL (ESPOSO DE JANAINE)</t>
  </si>
  <si>
    <t>34-991865089</t>
  </si>
  <si>
    <t>COMPROVANTE DE ENDEREÇO (CONTRATO DE LOCAÇÃO) EM ANEXO
NOME NO COMPROVANTE: ADRIEL JOSE MENDES (DIZ SER SEU ESPOSO)</t>
  </si>
  <si>
    <t xml:space="preserve">MK END - N/C
MK NOMES -
CIRO YUJI ESTEVES (LOCADOR) CPF : 344.210.548-01 - N/C
c (DIZ SER ESPOSO DE JANAINE) CPF: 087.806.546-65 - N/C
</t>
  </si>
  <si>
    <t xml:space="preserve">MUD END DARLENE GOMES PEREIRA PROT:2604.1449 CARTÃO (RAMONY) - MORUMBI  </t>
  </si>
  <si>
    <t>ENDEREÇO NOVO: RUA ARRUDA, 525
COMPLEMENTO: CASA UNICA
CEP: 38407129
BAIRRO: MORUMBI</t>
  </si>
  <si>
    <t>GERALDO BATISTA DE SOUZA (SOGRO)</t>
  </si>
  <si>
    <t>34 98871-3589</t>
  </si>
  <si>
    <t>COMPROVANTE DE ENDEREÇO (CEMIG) EM ANEXO.
NOME NO COMPROVANTE: GERALDO BATISTA DE SOUZA (SOGRO)</t>
  </si>
  <si>
    <t>MK END: N/C
MK NOME: GERALDO BATITA DE SOUZA(DISSE SER SEU SOGRO) -  N/C</t>
  </si>
  <si>
    <t>MUD END + ALT PLANO MARIA APARECIDA XAVIER DE SOUSA (CIDA XAVIER HAIRS) PROT:2604.739 ISENTO (PEDRO) - JARDIM PATRÍCIA  //  *TROCA DE EQUIPAMENTO*</t>
  </si>
  <si>
    <t>ENDEREÇO NOVO: AVENIDA JUHEN CECÍLIO JORGE, 525
COMPLEMENTO: LOJA 2
CEP: 38414096
BAIRRO: JARDIM PATRÍCIA</t>
  </si>
  <si>
    <t>PLANO ATUAL: 600 MEGA/79,90 CONTRATADO EM 05/2025 COM FIDELIDADE DE 12 MESES. ROTEADOR: TP LINK G-5
PLANO OFERTADO: 600 MEGA/79,90. BENEFÍCIOS: ACESSO GRATUITO AO APP MZTV (CDNTV+)</t>
  </si>
  <si>
    <t>COMPROVANTE DE ENDEREÇO (DMAE) EM ANEXO
NOME NO COMPROVANTE: EDMAR FERNANDES PEREIRA (DISSE SER O DONO DO IMÓVEL)</t>
  </si>
  <si>
    <t xml:space="preserve">PENDENTE MENSALIDADE
DEMAIS CONFERENCIAS OK </t>
  </si>
  <si>
    <t>ENDEREÇO NOVO: RUA EMÍLIA FERNANDES DE BRITO, 400
COMPLEMENTO: CASA FRENTE
CEP: 38401768
BAIRRO: SANTA ROSA</t>
  </si>
  <si>
    <t>COMPROVANTE DE ENDEREÇO (CONTRATO DE LOCAÇÃO) EM ANEXO
NOME NO COMPROVANTE: REJANE DE LIMA JESUS (ASSINANTE)</t>
  </si>
  <si>
    <t xml:space="preserve">MK END: N/C
MK NOME: SERGIO DOS SANTOS GUIMARAES (LOCADOR) - N/C
REJANE DE LIMA JESUS (LOCATÁRIA / TITULAR) - POSSUI CONEXÃO CONOSCO DESDE 12/2025, ATIVA E ADIMPLENTE. </t>
  </si>
  <si>
    <t>MUD END + ALT PLANO LORENA BRITO COSTA PROT:2604.3382 ISENTO (RONALD) - MANSOUR  //  *TROCA DE EQUIPAMENTO*</t>
  </si>
  <si>
    <t>ENDEREÇO NOVO: RUA RIO PARANOÁ, 103 
COMPLEMENTO: CASA UNICA
CEP: 38414494
BAIRRO: MANSOUR</t>
  </si>
  <si>
    <t>PLANO ATUAL: 1000 MEGA/99,90 CONTRATADO EM 04/2024 COM FIDELIDADE DE 12 MESES. ROTEADOR: ZTE H199-A
PLANO OFERTADO: 1 GIGA (1.000 MEGA) R$99,90. BENEFÍCIOS: ACESSO GRATUITO AO APP MZTV (CDNTV+) + VOD</t>
  </si>
  <si>
    <t>COMPROVANTE DE ENDEREÇO (CEMIG) EM ANEXO
NOME NO COMPROVANTE: ODAIR JOSE CUSTODIO DA SILVA (ANTIGO INQUILINO)</t>
  </si>
  <si>
    <t xml:space="preserve">MUD END + ALT PLANO CRISTINA VETTORAZZI PROT:2604.1226 ISENTO (PEDRO) - JARDIM BRASÍLIA **PRÉDIO COM PRUMADA** //  </t>
  </si>
  <si>
    <t>PENDENTE TEXTO SOBRE COMPROVANTE DE RESIDENCIA
COBRAR ASSINATURA DO CONTRATO</t>
  </si>
  <si>
    <t>ENDEREÇO NOVO: RUA ALAOR CARLOS GARCIA, 455
COMPLEMENTO: COND. RESIDENCIAL JARDIM BRASÍLIA - BL.03, APT.904
CEP: 38401883
BAIRRO: JARDIM BRASÍLIA</t>
  </si>
  <si>
    <t>PLANO ATUAL: 600 MEGA/79,90 CONTRATADO EM 04/2025 COM FIDELIDADE DE 12 MESES. ROTEADOR: ONT TP-LINK X530
PLANO OFERTADO: 600 MEGA/79,90. BENEFÍCIOS: ACESSO GRATUITO AO APP MZTV (CDNTV+)</t>
  </si>
  <si>
    <t>PAULO CEZAR (MARIDO)</t>
  </si>
  <si>
    <t>COMPROVANTE DE ENDEREÇO (CONTRATO DE COMPRA E VENDA) EM ANEXO
NOME NO COMPROVANTE: CRISTINA VETTORAZZI (ASSINANTE)</t>
  </si>
  <si>
    <t>MK END: N/C
MK NOME: CAIXA ECONÔMICA FEDERAL (CREDORA FIDUCIÁRIA) - N/C
OPÇÃO EMPREENDIMENTOS IMOBILIÁRIOS EIRELI (ALIENANTE/CONSTRUTORA/INCORPORADORA) - N/C
CRISTINA VETTORAZZI (ADQUIRENTE / TITULAR) - POSSUI CONEXÃO CONOSCO DESDE 04/2025, ATIVA E ADIMPLENTE.
JOÃO PAULO NAVES CAMARGO (ADMINISTRADOR DA OPÇÃO EMPREENDIMENTOS) - N/C
CLAUDIA CRISTINA FERREIRA FRANCO MELO (REPRESENTANTE DA CAIXA ECONÔMICA FEDERAL) - N/C
LUIZ EUGÊNIO DA FONSECA (OFICIAL REGISTRADOR) - N/C
JOSÉ FONSECA E SILVA NETO (REGISTRADOR SUBSTITUTO) - N/C
MELISSA SOARES FONSECA (REGISTRADORA SUBSTITUTA) - N/C
IRENO VETTORAZZI (PAI DA TITULAR) - N/C
IRACI CRISTINA VETTORAZZI (MÃE DA TITULAR) - N/C</t>
  </si>
  <si>
    <t xml:space="preserve">MUD END ARAMIS ARAUJO DE OLIVEIRA PROT:2604.2013 PIX (RAMONY) - LOTEAMENTO RESIDENCIAL PEQUIS  </t>
  </si>
  <si>
    <t>ENDEREÇO NOVO: RUA DO AZULÃO, 336
COMPLEMENTO: CASA UNICA
CEP: 38421040
BAIRRO: LOTEAMENTO RESIDENCIAL PEQUIS</t>
  </si>
  <si>
    <t xml:space="preserve">SIM </t>
  </si>
  <si>
    <t xml:space="preserve">NAELLEN (ESPOSA DE ARAMIS) </t>
  </si>
  <si>
    <t>37 98821-2455</t>
  </si>
  <si>
    <t>MK END: N/C
MK NOMES:
LOCADORA
KELLEN ALVES PIRES / CPF: 111.909.216-77
PROPRIETÁRIA DO IMÓVEL - N/C
LOCATÁRIA
NAELLEN APARECIDA DOMINGOS / CPF: 113.645.766-60
ESPOSA DO TITULAR - N/C</t>
  </si>
  <si>
    <t xml:space="preserve">MUD END MAURO SERGIO SANTANA MAIA PROT:2604.5462 PIX (ANDREZA) - JARDIM HOLANDA **PRÉDIO COM PRUMADA** </t>
  </si>
  <si>
    <t>ENDEREÇO NOVO: ALAMEDA JOSÉ DE OLIVEIRA GUIMARÃES, 700
COMPLEMENTO: COND. UNITED KINGDOM - BLOCO 11, APTO 203
CEP: 38412324
BAIRRO: JARDIM HOLANDA</t>
  </si>
  <si>
    <t>MANY GALT MOURA NASCIMENTO (CUNHADO)</t>
  </si>
  <si>
    <t>COMPROVANTE DE ENDEREÇO (CONTRATO DE LOCAÇÃO) EM ANEXO
NOME NO COMPROVANTE:  YNGRYD TURY MOURA SILVA (ESPOSA DO ASSINANTE)</t>
  </si>
  <si>
    <t>MK END: N/C
________________________________________
MK NOMES:
-&gt; EUCILENE CORDEIRO DO NASCIMENTO (LOCADORA) - CPF 080.905.926-60: N/C
-&gt; YNGRYD YURY MOURA SILVA (LOCATÁRIA/ESPOSA DO ASSINANTE) - CPF 132.580.916-09: SOLICITAÇÃO DE ADESÃO EM 09/2025 APROVADA PARA O ESPOSO MAURO DE SANTANA MAIA.
-&gt; DENISE MOURA BARBOSA (TESTEMUNHA) - CPF 783.864.896-34: N/C
-&gt; MANY GALT MOURA NASCIMENTO (CUNHADO): N/C</t>
  </si>
  <si>
    <t>PENDENTE COMPROVANTE
DEMAIS INFORMAÇÕES CONFERIDAS</t>
  </si>
  <si>
    <t>ENDEREÇO NOVO: RUA JOÃO RODRIGUES DE CASTRO, 55
COMPLEMENTO: PARQUE TRILHAS DA SERRA BL. 15, APTO 403
CEP: 38414122
BAIRRO: JARDIM PATRÍCIA</t>
  </si>
  <si>
    <t>POLIANA IDELFONSO FERREIRA DA SILVA (ESPOSA)</t>
  </si>
  <si>
    <t>3499896-7464</t>
  </si>
  <si>
    <t>COMPROVANTE DE ENDEREÇO (DMAE) EM ANEXO
NOME NO COMPROVANTE: POLIANA IDELFONSO FERREIRA DA SILVA (ESPOSA)</t>
  </si>
  <si>
    <t>MK NOMES : POLIANA IDELFONSO FERREIRA DA SILVA (ESPOSA) N/C 
MK END: N/C</t>
  </si>
  <si>
    <t>ENDEREÇO NOVO: AVENIDA DOS EUCALIPTOS, 1000
COMPLEMENTO: BL 4 AP 1507
CEP: 38414123
BAIRRO: JARDIM PATRÍCIA</t>
  </si>
  <si>
    <t>JOAO PEDRO LOPES SOUSA  (ESPOSO)</t>
  </si>
  <si>
    <t>34 991723243</t>
  </si>
  <si>
    <t>COMPROVANTE DE ENDEREÇO (CONTRATO DE LOCAÇÃO) EM ANEXO
NOME NO COMPROVANTE:  JOAO PEDRO LOPES SOUSA (DIZ SER SEU ESPOSO)</t>
  </si>
  <si>
    <t>MK END: N/C
MK NOMES:
CLEITON DO SANTOS COELHO (LOCADOR): N/C
IVAN NEGÓCIOS IMOBILIÁRIOS LTDA (ADMINISTRADORA):N/C
IVAN GRACIANO DA COSTA FILHO (SÓCIO GERENTE):N/C
RICARDO GRACIANO DA COSTA (ADVOGADO/REPRESENTANTE):N/C
VICENTE PAULO FERREIRA (PROCURADOR):N/C
JOYCE APARECIDA DIAS (PROCURADORA): N/C
TAIZ LAMARA BALESTERE TEIXEIRA ALVES (PROCURADORA):N/C
JOAO PEDRO LOPES SOUSA (LOCATÁRIO/ESPOSO DE KAMILA): N/C
PORTO SEGURO CIA. DE SEGUROS GERAIS (SEGURADORA):N/C
SPC (PROTEÇÃO AO CRÉDITO): N/C
SERASA ( PROTEÇÃO AO CRÉDITO):N/C</t>
  </si>
  <si>
    <t>(34) 99873-2569</t>
  </si>
  <si>
    <t>ENDEREÇO NOVO: RUA DO ADOLESCENTE, 363
COMPLEMENTO: CASA FUNDOS
CEP: 38410302
BAIRRO: LARANJEIRAS</t>
  </si>
  <si>
    <t>PLANO ATUAL: 600 MEGA/79,90 CONTRATADO EM 03/25 COM FIDELIDADE DE 12 MESES. ROTEADOR: HUAWEI AX2
PLANO OFERTADO: 600 MEGA/79,90. BENEFÍCIOS: ACESSO GRATUITO AO APP MZTV (CDNTV+)</t>
  </si>
  <si>
    <t>VANESSA RODRIGUES LIMA (IRMÃ)</t>
  </si>
  <si>
    <t>34 9 9894-1030</t>
  </si>
  <si>
    <t>COMPROVANTE DE ENDEREÇO (DMAE) EM ANEXO
NOME NO COMPROVANTE: JOAO BATISTA DE LIMA NETO (PAI DA ASSINANTE)</t>
  </si>
  <si>
    <t>MENSALIDADE PENDENTE</t>
  </si>
  <si>
    <t>ENDEREÇO NOVO: RUA DA CARIOCA, 746
COMPLEMENTO: APT. 202
CEP: 38411046
BAIRRO: PATRIMÔNIO</t>
  </si>
  <si>
    <t>COMPROVANTE DE ENDEREÇO (CONTRATO DE LOCAÇÃO) EM ANEXO
NOME NO COMPROVANTE: DEIVID ENNES CARIAO DOS SANTOS (ASSINANTE)</t>
  </si>
  <si>
    <t>MUD END ELIDA CRISTINA DE MORAIS DORNELAS (SAMUEL/FILHO) PROT:2603.35275 PIX (VICTOR H.) - PLANALTO  / NÃO ANTECIPAR</t>
  </si>
  <si>
    <t>ENDEREÇO NOVO: AVENIDA INDAIÁ, 840
COMPLEMENTO: CASA 1 
CEP: 38413111
BAIRRO: PLANALTO</t>
  </si>
  <si>
    <t>KAYLA DOS SANTOS  (NORA)</t>
  </si>
  <si>
    <t>34 9 9144 8410</t>
  </si>
  <si>
    <t>COMPROVANTE DE ENDEREÇO (CEMIG) EM ANEXO
NOME NO COMPROVANTE: FABIO MOREIRA (DISSE SER SOGRO DO SEU FILHO SAMUEL)</t>
  </si>
  <si>
    <t>MK NOMES: 
FABIO MOREIRA (DISSE SER SOGRO DO SEU FILHO SAMUEL)
CLIENTE DESDE 11/2025 - NO DIA DE HOJE CLIENTE ESTÁ EM REDUÇÃO DEVIDO MENSALIDADE EM ABERTO VENCIDA EM 10/03/2026 
MORA NA CASA DOS FUNDOS NO MESMO ENDEREÇO QUE SAMUEL VAI SE MUDAR 
KAYLA DOS SANTOS (NORA DE ELIDA) N/C 
PELO PESSOAS E EMPRESAS DA CONEXÃO DE FABIO ESTÁ RENOMEADO COMO CARLA DOS SANTOS, N/C NOS DOIS NOMES 
MK END
GILSON ISRAEL VENANCIO DE MEDEIROS
CANCELADO POR INADIMPLENCIA EM 02/2026 
DEBITOS : R$ 1222,70
SENDO:
R$ 239,70 REFERENTE 3 MENSALIDADES EM ABERTO
R$ 384,00 SOBRE MULTA CONTRATUAL 
R$ 599,00 REFERENTE ONT EMPRESTADA QUE NÃO DEVOLVEU</t>
  </si>
  <si>
    <t xml:space="preserve">MUD END JHULIO DE OLIVEIRA CORDEIRO PROT:2604.2829 PIX (RONALD) - TOCANTINS  </t>
  </si>
  <si>
    <t xml:space="preserve">CORRIGIR COMPLEMENTO DO ENDEREÇO NA OS 
CLIENTE COM 2 MENSALIDADES EM ATRASO NA SEGUNDA CONEXÃO. </t>
  </si>
  <si>
    <t>ENDEREÇO NOVO: RUA CAPITÃO DIOMAR MENEZES, 206
COMPLEMENTO: CASA FUNDO
CEP: 38415318
BAIRRO: TOCANTINS</t>
  </si>
  <si>
    <t xml:space="preserve">ANA KAROLINE SOUSA SALES (ESPOSA) </t>
  </si>
  <si>
    <t>COMPROVANTE DE ENDEREÇO (CEMIG) EM ANEXO
NOME NO COMPROVANTE:  FABIO DA ROCHA SALES (SOGRO DE JHULIO)</t>
  </si>
  <si>
    <t>MK END;
JOSE HENRIQUE VIEIRA DOS SANTOS 123.290.574-74
CONEXÃO CANCELADA EM 10/2021 POR MENSALIDADES EM ATRASO, EM 01/2025 TITULAR ENTROU EM CONTATO E REALIZOU ACORDO E PAGAMENTO DOS DÉBITOS PENDENTES. 
FABIO DA ROCHA SALES (SOGRO DE FABIO) 
NÃO LOCALIZADO INFORMAÇÕES SOBRE O CLIENTE
MK NOME;
JHULIO DE OLIVEIRA CORDEIRO 120.243.456-89
CLIENTE MZ NET COM DUAS CONEXÕES, A QUE ESTÁ SE MUDANDO ADIMPLENTE, PORÉM A SEGUNDA (JHULIO DE OLIVEIRA CORDEIRO (TABACARIA PAJÉ)) CONEXÃO INADIPLENTE 2 MENSALIDADES EM ABERTO.</t>
  </si>
  <si>
    <t xml:space="preserve">MUD END + ALT PLANO BEATRYS REGINA BARBOSA SILVA PROT:2604.4843 ISENTO (ANDREZA) - RESIDENCIAL INTEGRAÇÃO  //  </t>
  </si>
  <si>
    <t>ENDEREÇO NOVO: RUA MANUEL LÚCIO, 455
COMPLEMENTO: CASA FRENTE
CEP: 38407589
BAIRRO: RESIDENCIAL INTEGRAÇÃO</t>
  </si>
  <si>
    <t>COMPROVANTE DE ENDEREÇO (MULTA DE TRÂNSITO) EM ANEXO
NOME NO COMPROVANTE: JONATAN DOS SANTOS (DISSE QUE É O ANTIGO INQUILINO DO IMÓVEL)</t>
  </si>
  <si>
    <t>MK END: N/C
________________________________________
MK NOMES:
-&gt; JONATAN DOS SANTOS (DISSE QUE É O ANTIGO INQUILINO DO IMÓVEL): N/C</t>
  </si>
  <si>
    <t xml:space="preserve">MUD END ENEIAS RODRIGUES DE SOUZA (NOVO VISUAL SERVICOS GRAFICA) PROT:2603.1107 PIX (HALYSON) - OSVALDO REZENDE   **(POSSUI WI-FI EXTEND)** </t>
  </si>
  <si>
    <t>JA VALIDADO ANTERIOMENTE POR MARCELLA
CONEXÃO AINDA ESTÁ ATIVA NO ENDEREÇO ANTIGO</t>
  </si>
  <si>
    <t>COMPROVANTE DE ENDEREÇO (NOTA FISCAL) EM ANEXO
NOME NO COMPROVANTE:  GRAFICA E EDITORA UNIAO PRINT LTDA (EMPRESA DO ASSINANTE)</t>
  </si>
  <si>
    <t>MK END:
N/C
MK NOMES
- GRAFICA E EDITORA UNIAO PRINT LTDA 61.401.489/0001-06 (EMPRESA DO ASSINANTE): N/C
- ENEIAS RODRIGUES DE SOUZA (NOVO VISUAL SERVICOS GRAFICA): POSSUI CONEXÃO ATIVA E ADIMPLENTE
- JULIO GONCALVES JUNIOR (SOCIO DE GRAFICA E EDITORA UNIAO PRINT): PROCESSO DE ADESÃO CANCELADO POR PARTE DO CLIENTE, MOTIVO  VENDEU A CASA EM 22/03/2023 
- UNIPEL INDUSTRIAL E COMERCIAL LTDA 03.145.102/0001-93 (FORNECEDORA): N/C</t>
  </si>
  <si>
    <t>ENDEREÇO NOVO: AVENIDA OSCARINA CUNHA CHAVES, 510
COMPLEMENTO: SPAZIO UNIGARDEN, BL 04 APT 106
CEP: 38411102
BAIRRO: PATRIMÔNIO</t>
  </si>
  <si>
    <t>COMPROVANTE DE ENDEREÇO (CEMIG) EM ANEXO
NOME NO COMPROVANTE: YARA CHRISTINA SILVA SANTOS (ASSINANTE)</t>
  </si>
  <si>
    <t xml:space="preserve">MK END: N/C
MK NOME: YARA CHRISTINA SILVA SANTOS - CPF 099.242.126-81 - ASSINANTE - CLIENTE ATIVO E ADIMPLENTE COM A EMPRESA. </t>
  </si>
  <si>
    <t>RESERVA - CARLOS EDUARDO GOMES SOARES / MUD / PRT PEDRO</t>
  </si>
  <si>
    <t>SEM OS GERADA
SEM CONFERENCIAS
MENSALIDADE PENDENTE
ENDEREÇO NAO ALTERADO</t>
  </si>
  <si>
    <t>ENDEREÇO NOVO: RUA WEBERSON ARANTES, 402
COMPLEMENTO: CASA ÚNICA 
CEP: 38418676
BAIRRO: MANSOUR III</t>
  </si>
  <si>
    <t>COMPROVANTE DE ENDEREÇO (CEMIG) EM ANEXO
NOME NO COMPROVANTE: FAUSTO FERNANDES DE OLIVEIRA (DISSE SER O ANTIGO MORADOR)</t>
  </si>
  <si>
    <t>FAUSTO FERNANDES DE OLIVEIRA - BAIXADO POR INADIMPLENCIA - EQUIPAMENTOS DEVOLVIDOS DÉBITO RESTANTE EM R$1.123,78</t>
  </si>
  <si>
    <t xml:space="preserve">ENDEREÇO DIVERGENTE DO CONTRATO - FAVOR VERIFICAR </t>
  </si>
  <si>
    <t>ENDEREÇO NOVO: RUA DA BOA VENTURA, 31
COMPLEMENTO: CASA ÚNICA
CEP: 38407520
BAIRRO: RESIDENCIAL INTEGRAÇÃO</t>
  </si>
  <si>
    <t>COMPROVANTE DE ENDEREÇO (CONTRATO DE LOCAÇÃO) EM ANEXO
NOME NO COMPROVANTE: GABRIEL COSTA SCARPINS (ASSINANTE)</t>
  </si>
  <si>
    <t>MK END: N/C
MK NOMES:
LOCADOR / PROPRIETÁRIO DO IMÓVEL
GLEIDSON SANTOS RIBEIRO / CPF: 053.349.136-37 - N/C
GABRIEL COSTA SCARPINS / CPF: 019.866.266-10
ASSINANTE, CONEXÃO ATIVA E ADIMPLENTE</t>
  </si>
  <si>
    <t xml:space="preserve">MUD END + ALT PLANO LUCELIA SANTOS PROT:2604.6684 ISENTO (VICTOR H.) - SEGISMUNDO PEREIRA  //  </t>
  </si>
  <si>
    <t>ENDEREÇO NOVO: RUA JAMIL ABRÃO, 135
COMPLEMENTO: CASA FUNDO
CEP: 38408306
BAIRRO: SEGISMUNDO PEREIRA</t>
  </si>
  <si>
    <t>PLANO ATUAL: 600 MEGA/79,90 CONTRATADO EM 07/2025 COM FIDELIDADE DE 12 MESES. ROTEADOR: ONT TP-LINK XC230
PLANO OFERTADO: 600 MEGA/79,90. BENEFÍCIOS: ACESSO GRATUITO AO APP MZTV (CDNTV+)</t>
  </si>
  <si>
    <t>COMPROVANTE DE ENDEREÇO (CEMIG) EM ANEXO
NOME NO COMPROVANTE: MARIA DE LOURDES DOS SANTOS (MÃE DA ASSINANTE)</t>
  </si>
  <si>
    <t>MK NOME:
MARIA DE LOURDES DOS SANTOS (MÃE DA ASSINANTE) N/C 
INICIO DO CPF DELA É 713.2 
NÃO POSSUI O RESTANTE POIS PEGUEI DO TALÃO DA CEMIG 
EXISTE NA BASE OUTRA MARIA DE LOURDES DOS SANTOS CPF: 033.290.166-12
NÃO TEM VINCULO COM A ASSINANTE OU COMPROVANTE 
MK END: N/C</t>
  </si>
  <si>
    <t xml:space="preserve">MUD END ALEXANDRE HELVES MOREIRA (EQUIPE XANDE MOREIRA) PROT:2604.3388 CARTAO (RONALD) - LUIZOTE DE FREITAS   
</t>
  </si>
  <si>
    <t>PENDENTE MENSALIDADE
CLIENTE SOLICITOU CANCELAMENTO</t>
  </si>
  <si>
    <t>ENDEREÇO NOVO: RUA AUGUSTO MACHADO, 60
COMPLEMENTO: COMERCIO
CEP: 38414298
BAIRRO: LUIZOTE DE FREITAS</t>
  </si>
  <si>
    <t>COMPROVANTE DE ENDEREÇO (CEMIG) EM ANEXO
NOME NO COMPROVANTE: THAIS KELEN BELAFONTE BIDOIA (PROPRIETARIA DO IMOVEL)</t>
  </si>
  <si>
    <t>MK END;
N/C
MK NOME;
ALEXANDRE HELVES MOREIRA (EQUIPE XANDE MOREIRA)
CONEXÃO ATIVA E CLIENTE ADIMPLENTE.
THAIS KELEN BELAFONTE BIDOIA (PROPRIETARIA DO IMOVEL)
N/C</t>
  </si>
  <si>
    <t xml:space="preserve">MUD END LEANDRO DE OLIVEIRA CAMARA PROT:2604.3162 PIX (ANDREZA) - DANIEL FONSECA **PRÉDIO COM PRUMADA** </t>
  </si>
  <si>
    <t>ENDEREÇO NOVO: RUA VARGINHA, 1155
COMPLEMENTO: APTO 601
CEP: 38400322
BAIRRO: DANIEL FONSECA</t>
  </si>
  <si>
    <t>COMPROVANTE DE ENDEREÇO (CONTRATO DE LOCAÇÃO) EM ANEXO
NOME NO COMPROVANTE: LEANDRO DE OLIVEIRA CAMARA (ASSINANTE)</t>
  </si>
  <si>
    <t>MK END: N/C
__________________________________
MK NOMES:
-&gt; ANA JULIA BENICHIO ZAGO (LOCADORA) - CPF 067.714.616-70: N/C
-&gt; LEANDRO DE OLIVEIRA CAMARA (LOCATÁRIO) - CPF 105.914.476-06: ASSINANTE DA CONEXÃO.</t>
  </si>
  <si>
    <t xml:space="preserve">MUD END + ALT PLANO HALLINE ALVES CAVALCANTE PACHECO PROT:2603.34786 ISENTO (VITOR/JHONATAN) - JARDIM INCONFIDÊNCIA  // </t>
  </si>
  <si>
    <t>ENDEREÇO NOVO: ALAMEDA DOMINGOS DE ABREU VIEIRA, 62 
COMPLEMENTO: CASA UNICA
CEP: 38411266
BAIRRO: JARDIM INCONFIDÊNCIA</t>
  </si>
  <si>
    <t>PLANO ATUAL: 600 MEGA/79,90 CONTRATADO EM 05/2025 COM FIDELIDADE DE 12 MESES. ROTEADOR: ONT ZTE F 670-L
PLANO OFERTADO: 600 MEGA/79,90. BENEFÍCIOS: ACESSO GRATUITO AO APP MZTV (CDNTV+)</t>
  </si>
  <si>
    <t>COMPROVANTE DE ENDEREÇO (CEMIG) EM ANEXO
NOME NO COMPROVANTE: VANDRE ARANTES MAGALHAES (DISSE QUE É O ESPOSO)</t>
  </si>
  <si>
    <t>MK END:
N/C
MK NOME:
VANDRE ARANTES MAGALHAES (DISSE QUE É O ESPOSO): N/C</t>
  </si>
  <si>
    <t>PENDENTE MENSALIDADE</t>
  </si>
  <si>
    <t xml:space="preserve">MUD END + ALT PLANO EMERSON SILVEIRA DA SILVA PROT:2604.5227 ISENTO (PEDRO) - JARDIM DAS PALMEIRAS  //  </t>
  </si>
  <si>
    <t>ENDEREÇO NOVO: RUA DO POETA, 501
COMPLEMENTO: CASA ÚNICA
CEP: 38412276
BAIRRO: JARDIM DAS PALMEIRAS</t>
  </si>
  <si>
    <t>PLANO ATUAL: 1000 MEGA/99,90 CONTRATADO EM 07/2025 COM FIDELIDADE DE 12 MESES. ROTEADOR: ONT TP-LINK X530
PLANO OFERTADO: 1 GIGA (1.000 MEGA) R$99,90. BENEFÍCIOS: ACESSO GRATUITO AO APP MZTV (CDNTV+) + VOD</t>
  </si>
  <si>
    <t>COMPROVANTE DE ENDEREÇO (DMAE) EM ANEXO
NOME NO COMPROVANTE: ELZIO ANTUNES DE OLIVEIRA (DISSE SER O DONO DO IMÓVEL)</t>
  </si>
  <si>
    <t>MK END: N/C
MK NOME: EMERSON SILVEIRA DA SILVA (TITULAR) - POSSUI CONEXÃO CONOSCO DESDE 09/2021, ATIVA E ADIMPLENTE.
ELZIO ANTUNES DE OLIVEIRA (DISSE SER O DONO DO IMÓVEL) - N/C</t>
  </si>
  <si>
    <t xml:space="preserve">MUD END + ALT PLANO RENATO ROSA DA SILVA PROT:2604.8547 ISENTO (PEDRO) - JARDIM CANAÃ  //  </t>
  </si>
  <si>
    <t>ENDEREÇO NOVO: RUA TERCILIO RODRIGUES QUEIROZ, 660
COMPLEMENTO: CASA ÚNICA 
CEP: 38412487
BAIRRO: JARDIM CANAÃ</t>
  </si>
  <si>
    <t>COMPROVANTE DE ENDEREÇO (BOLETO DA ALGAR) EM ANEXO
NOME NO COMPROVANTE: PAULO CESAR SEVERINO DE AZEVEDO (DISSE SER O DONO DA CASA)</t>
  </si>
  <si>
    <t>MK END: N/C
MK NOME: PAULO CESAR SEVERINO DE AZEVEDO (DISSE SER O DONO DA CASA) - N/C
RENATO ROSA DA SILVA (TITULAR) - POSSUI CONEXÃO CONOSCO DESDE 06/2025, ATIVA E ADIMPLENTE.</t>
  </si>
  <si>
    <t>mudança negada pelo cadastro .. elias (casa fundos) precisa quitar os débitos primeiro</t>
  </si>
  <si>
    <t>pendente comprovante de residencia
endereço não alterado</t>
  </si>
  <si>
    <t xml:space="preserve">ENDEREÇO NOVO: , 358
COMPLEMENTO: CASA ÚNICA 
CEP: 384100372
BAIRRO: </t>
  </si>
  <si>
    <t>PENDENTE</t>
  </si>
  <si>
    <t xml:space="preserve">MUD END ANGELICA OLIVEIRA DA SILVA PROT:2604.4813 PIX (RAMONY) - SANTA ROSA   </t>
  </si>
  <si>
    <t>ENDEREÇO NOVO: AVENIDA ANÁLIA RESENDE SIQUIEROLI, 2590
COMPLEMENTO: CASA FUNDOS
CEP: 38401799
BAIRRO: SANTA ROSA</t>
  </si>
  <si>
    <t>COMPROVANTE DE ENDEREÇO (CONTRATO DE LOCAÇÃO) EM ANEXO
NOME NO COMPROVANTE: LARISSA DA COSTA SILVA OLIVEIRA (ENTEADA)</t>
  </si>
  <si>
    <t>MK END: N/C
MK NOMES:
&gt; LOCADOR:
ESPÓLIO DE ONOFRE LUIZ BORGES - N/C
CPF: 212.406.806-78
&gt; REPRESENTANTES DO LOCADOR / ADMINISTRADORES
CITYVAL CONSULTORIA DE IMÓVEIS LTDA - N/C
CNPJ: 41.756.289/0001-50
VALDO JACINTO DE SOUSA - N/C
CPF: 167.691.121-91
&gt; LOCATÁRIOS:
LARISSA DA COSTA SILVA OLIVEIRA - N/C
CPF: 703.262.106-60
(ENTEADA DA TITULAR)
ANGELICA OLIVEIRA DA SILVA
CPF: 109.523.266-55
(TITULAR DA CONEXÃO - ATIVO E ADIMPLENTE)
&gt; TESTEMUNHAS:
ANACLEIA DA COSTA NASCIMENTO - N/C
CPF: 047.045.236-67
SOLAINE M. C. LEOPOLDINO - N/C
CPF: 030.870.906-38</t>
  </si>
  <si>
    <t>ENDEREÇO NOVO: RUA BOA ESPERANÇA, 200
COMPLEMENTO: APTO. 101 
CEP: 38410554
BAIRRO: GRANADA</t>
  </si>
  <si>
    <t>PLANO ATUAL: 600 MEGA/79,90 CONTRATADO EM 01/2025 COM FIDELIDADE DE 12 MESES. ROTEADOR: ONT TP-LINK XC230
PLANO OFERTADO: 600 MEGA/79,90. BENEFÍCIOS: ACESSO GRATUITO AO APP MZTV (CDNTV+)</t>
  </si>
  <si>
    <t>COMPROVANTE DE ENDEREÇO (DMAE) EM ANEXO
NOME NO COMPROVANTE: ESTEIO EMPREENDIMENTOS IMOBILIARIOS LTDA  (ANTIGO PROPRIETÁRIO)</t>
  </si>
  <si>
    <t>MK END: N/C
MK NOMES: 
ESTEIO EMPREENDIMENTOS IMOBILIARIOS LTDA: N/C</t>
  </si>
  <si>
    <t xml:space="preserve">MUD END JULIANE CARAVIERI MARTINS PROT:2604.6196 CARTAO (ANDREZA) - OSVALDO REZENDE **PRÉDIO SEM PRUMADA** </t>
  </si>
  <si>
    <t>ENDEREÇO NOVO: AVENIDA ESTRÊLA DO SUL, 2015
COMPLEMENTO: APTO 101
CEP: 38400389
BAIRRO: OSVALDO REZENDE</t>
  </si>
  <si>
    <t>COMPROVANTE DE ENDEREÇO (CONTRATO DE LOCAÇÃO) EM ANEXO
NOME NO COMPROVANTE: JULIANE CARAVIERI MARTINS (ASSINANTE)</t>
  </si>
  <si>
    <t>MK END: N/C
________________________________________
MK NOMES:
-&gt; RODRIGO RIBEIRO DOS SANTOS (PROPRIETÁRIO) - CPF 907.023.441-68: N/C
-&gt; SPINI IMOVEIS E ADMINISTRADORA DE ALUGUEIS LTDA (EMPRESA REPRESENTANTE) - CNPJ 26.725.593/0001-47: N/C
-&gt; LUIZ HUMBERTO SPINI NETO (REPRESENTANTE) - CPF 068.867.266-33: N/C
-&gt; JULIANE CARAVIERI MARTINS (LOCATÁRIA) - CPF 159.299.258-79: ASSINANTE DA CONEXÃO.
-&gt; ILZA MARIA DE ATAIDES (FIADORA) - CPF 060.441.071-91: N/C
-&gt; ADRIANA ALBANO (TESTEMUNHA) - CPF 158.506.468-84: N/C
-&gt; DANIELLA ALVES DE FREITAS (TESTEMUNHA) - CPF 070.331.676-10: N/C</t>
  </si>
  <si>
    <t>RESERVA ANDREZA - GEOVANNA FERNANDES SILVA</t>
  </si>
  <si>
    <t xml:space="preserve">SEM PROTOCOLO E OS 
REMOVIDO AGENDAMENTO </t>
  </si>
  <si>
    <t>MUD END FABIO NEY ANDRADE DA SILVA PROT:2604.4451 PIX (JHONATAN) - TAIAMAN</t>
  </si>
  <si>
    <t>ENDEREÇO NOVO: RUA DOS CLARINETES, 87
COMPLEMENTO: CASA 2
CEP: 38415078
BAIRRO: TAIAMAN</t>
  </si>
  <si>
    <t>COMPROVANTE DE ENDEREÇO (CEMIG) EM ANEXO
NOME NO COMPROVANTE: ADIVANIA GALDINO (ANTIGA INQUILINA)</t>
  </si>
  <si>
    <t xml:space="preserve">MK END:
-&gt; IGOR ANTONIO DA SILVA PEDROZA - PROPOSTA RECUSADA EM 09/2020
-&gt; HD EMPREENDIMENTOS EIRELI - CONEXEÇÃO CANCELADA EM 03/2022 - SEM DÉBITOS E EQUIPAMENTOS DEVOLVIDOS
-&gt; ADIVANIA GALDINO - CONEXEÇÃO CANCELADA EM 05/2023 - SEM DÉBITOS E EQUIPAMENTOS DEVOLVIDOS
-&gt; ALESSANDRA PEREIRA DE OLIVEIRA - APENAS LEAD
MK NOMES:
-&gt; ADIVANIA GALDINO (ANTIGA INQUILINA): 
	* ADIVANIA GALDINO - CONEXEÇÃO CANCELADA EM 05/2023 - SEM DÉBITOS E EQUIPAMENTOS DEVOLVIDOS
	** ADIVANIA GALDINO (CASA DANIELA - FILHA) - CONEXÃO ATIVA E ADIMPLENTE </t>
  </si>
  <si>
    <t xml:space="preserve">MUD END + ALT PLANO RAFAELA VITORIA SILVA MACEDO PROT:2604.6682 ISENTO (JHONATAN) - SANTA MÔNICA  //  </t>
  </si>
  <si>
    <t>ENDEREÇO NOVO: RUA JOÃO PEREIRA DA SILVA, 334 
COMPLEMENTO:  APTO 303
CEP: 38408198
BAIRRO: SANTA MÔNICA</t>
  </si>
  <si>
    <t>PLANO ATUAL: 300 MEGA/69,90 CONTRATADO EM 08/2024 COM FIDELIDADE DE 12 MESES. ROTEADOR: ONT TP-LINK XC220
PLANO OFERTADO: 300 MEGA/69,90. BENEFÍCIOS: ACESSO GRATUITO AO APP MZTV (CDNTV+)</t>
  </si>
  <si>
    <t>MK END:
-&gt; N/C
MK NOME:
-&gt; RAFAELA VITORIA SILVA MACEDO (LOCATÁRIA): ASSINANTE DA CONEXÃO 
-&gt; FÁTIMA TRENTIN PICOLI (LOCADORA): N/C 
-&gt; MARIA APARECIDA DA SILVA MACEDO (FIADORA): N/C
-&gt; JEOVERSO BATISTA DE MACEDO (FIADOR): N/C
	* IMOBILIÁRIA
-&gt; IVAN NEGÓCIOS IMOBILIÁRIOS LTDA (ADMINISTRADORA): N/C
-&gt; IVAN GRACIANO DA COSTA FILHO (REPRESENTANTE): N/C
-&gt; RICARDO GRACIANO DA COSTA (REPRESENTANTE): N/C
-&gt; VICENTE PAULO FERREIRA (REPRESENTANTE): N/C
-&gt; JOYCE APARECIDA DIAS (REPRESENTANTE): N/C
-&gt; TAIZ LAMARA BALESTERE TEIXEIRA ALVES (REPRESENTANTE): N/C</t>
  </si>
  <si>
    <t xml:space="preserve">MUD END + ALT PLANO THAMIRIS ALVES FARIA DE LEVA (AGRO LEVA) PROT:XXXXXX ISENTO (HALYSON) - JARDIM BRASÍLIA  //  </t>
  </si>
  <si>
    <t>ENDEREÇO NOVO: AVENIDA CONSTELAÇÃO, 791
COMPLEMENTO: LOJA
CEP: 38401478
BAIRRO: JARDIM BRASÍLIA</t>
  </si>
  <si>
    <t xml:space="preserve">PLANO ATUAL: 500 MEGA/79,90 CONTRATADO EM 02/2024 COM FIDELIDADE DE 12 MESES. ROTEADOR: ONT TP-LINK XC220
PLANO OFERTADO: 600 MEGA/79,90. BENEFÍCIOS: ACESSO GRATUITO AO APP MZTV (CDNTV+)
</t>
  </si>
  <si>
    <t>COMPROVANTE DE ENDEREÇO (CEMIG) EM ANEXO
NOME NO COMPROVANTE: TINTAS UBERLANDIA LTDA (ANTIGO LOCATÁRIO)</t>
  </si>
  <si>
    <t>- MK END:
EDSON FERNANDES LIDOGARIO DA SILVA (CENTRO DE TREINAMENTO TEAM BAIANO): POSSUI CONEXÃO ATIVA E ADIMPLENTE
MK NOMES
- THAMIRIS ALVES FARIA DE LEVA (AGRO LEVA) (ASSINANTE): POSSUI CONEXÃO ATIVA E ADIMPLENTE
- THAMIRIS ALVES FARIA DE LEVA (089.869.586-43): POSSUI CONEXÃO ATIVA E ADIMPLENTE NO ENDEREÇO CRUZEIRO DO SUL Nº 41 AP 02- TERREO - JARDIM BRASILIA
- THAMIRIS ALVES FARIA DE LEVA (D LEVA COOKIES) (26.057.341/0001-97): CONEXÃO CANCELADA SEM DÉBITOS
- ANA CAROLINA MARCELINO ALVES  043.816.806-26 (SOCIA DA ASSINANTE): N/C
- AGROLEVA CONSULTORIO VETERINARIO LTDA (EMPRESA): N/C
ATUALIZAÇÃO MK NOMES
- TINTAS UBERLANDIA LTDA (ANTIGO LOCATÁRIO): N/CARACT(</t>
  </si>
  <si>
    <t xml:space="preserve">MUD END MARISA RODRIGUES DOS SANTOS ROSA PROT:2604.5261 PIX (PEDRO) - SANTA MÔNICA **PRÉDIO SEM PRUMADA - ENVIAR TÉCNICO DUPLADO** </t>
  </si>
  <si>
    <t>ENDEREÇO NOVO: RUA PROFESSORA MARIA ALVES CASTILHO, 1019
COMPLEMENTO: RESIDENCIAL VANCOUVER, AP.301
CEP: 38408260
BAIRRO: SANTA MÔNICA</t>
  </si>
  <si>
    <t>IZABELLA (FILHA DE MARISA)</t>
  </si>
  <si>
    <t>(34) 99171-3655</t>
  </si>
  <si>
    <t>COMPROVANTE DE ENDEREÇO (TAXA DE MUDANÇA) EM ANEXO.
NOME NO COMPROVANTE:  GERCINO DE SOUZA E SILVA NETO (DISSE SER O DONO DO APARTAMENTO)</t>
  </si>
  <si>
    <t xml:space="preserve">MK END: N/C
MK NOME: GERCINO DE SOUZA E SILVA NETO (PAGADOR / DISSE SER O DONO DO APARTAMENTO) - N/C
GABRIELA AMANDA DA SILVA ROCHA (PAGADORA / DISSE SER UMA AMIGA QUE IRÁ DIVIDIR O AP.) - N/C
MARISA RODRIGUES DOS SANTOS ROSA  (TITULAR) - POSSUI CONEXÃO CONOSCO DESDE 10/2025, ATIVA E ADIMPLENTE,
IZABELLA RODRIGUES SANTOS DE MIRANDA (FILHA DA TITULAR) - SOLCIITOU INSTALAÇÃO EM 10/2025, MAS FOI APROVADO PARA A MÃE.
</t>
  </si>
  <si>
    <t>ENDEREÇO NOVO: ALAMEDA DOS MANDARINS, 200
COMPLEMENTO: BLOCO 6 APTO 105
CEP: 38407661
BAIRRO: GRAND VILLE</t>
  </si>
  <si>
    <t>COMPROVANTE DE ENDEREÇO (CONTRATO DE LOCAÇÃO) EM ANEXO
NOME NO COMPROVANTE: MILENA CAROLINA CEKOTA OCHOA (MÃE ASSINANTE)</t>
  </si>
  <si>
    <t>MK END: N/C
MK NOMES: 
- GIANN MARCO CAMPOS CEKOTA (ASSINANTE): POSSUI CONEXÃO ATIVA E ADIMPLENTE
- SCHWARTZ COBRE LTDA (BENEFICIÁRIA DO COMPROVANTE): N/C
MK NOMES
- DANILO RODRIGUES DA SILVA – CPF: 098.777.696-70 (LOCADOR): N/C
- ARANTES NEGÓCIOS IMOBILIÁRIOS LTDA – CNPJ: 11.016.333/0001-25 – ADMINISTRADORA: N/C
- ARANTES SOLUCOES IMOBILIARIAS LTDA – CNPJ: 48.825.741/0001-38 – ADMINISTRADORA: N/C
- MILENA CAROLINA CEKOTA OCHOA – CPF: 711.636.332-75 – LOCATÁRIO(A): POSSUI PROCESSO DE ADESÃO EM ANDAMENTO
- SUELEN AZEVEDO DOS REIS CEKOTA – CPF: 066.703.976-74 – FIADOR(A): N/C
- GIANN MARCO CAMPOS CEKOTA - CPF 711.059.932-99 (ASSINANTE): POSSUI CONEXÃO ATIVA E ADIMPLENTE</t>
  </si>
  <si>
    <t>ENDEREÇO NOVO: RUA YOVETTE FONSECA MIGLIORINI, 140 
COMPLEMENTO: CASA UNICA
CEP: 38414175
BAIRRO: JARDIM PATRÍCIA</t>
  </si>
  <si>
    <t>PLANO ATUAL: 600 MEGA/79,90 CONTRATADO EM 11/2024 COM FIDELIDADE DE 12 MESES. ROTEADOR: ZTE H199-A
PLANO OFERTADO: 600 MEGA/79,90. BENEFÍCIOS: ACESSO GRATUITO AO APP MZTV (CDNTV+)</t>
  </si>
  <si>
    <t>COMPROVANTE DE ENDEREÇO (CEMIG) EM ANEXO
NOME NO COMPROVANTE: ELIVANIA GONCALVES SILVA (DISSE QUE É A ANTIGA INQUILINA)</t>
  </si>
  <si>
    <t>MK END:
-&gt; N/C 
MK NOME:
-&gt; ELIVANIA GONCALVES SILVA (DISSE QUE É A ANTIGA INQUILINA): N/C
-&gt; JESSICA SANTOS VENTURA (NOVA SOLICITACAO): PROPOSTA DE NOVA CONEXÃO RECUSADA 11/2024</t>
  </si>
  <si>
    <t xml:space="preserve">resera ronald / mud end / GEOVANA EVELLYN FERREIRA
</t>
  </si>
  <si>
    <t>ENDEREÇO NOVO: AVENIDA ÁFRICA, 1170
COMPLEMENTO: CASA TÉRREO
CEP: 38405096
BAIRRO: TIBERY</t>
  </si>
  <si>
    <t>PLANO ATUAL: 600 MEGA/79,90 CONTRATADO EM 04/2025 COM FIDELIDADE DE 12 MESES. ROTEADOR: ONT TP-LINK XC230
PLANO OFERTADO: 600 MEGA/79,90. BENEFÍCIOS: ACESSO GRATUITO AO APP MZTV (CDNTV+)</t>
  </si>
  <si>
    <t>COMPROVANTE DE ENDEREÇO (CEMIG) EM ANEXO
NOME NO COMPROVANTE: FRANCISCO PEREIRA DA SILVA (PROPRIETARIO/LOCADOR)</t>
  </si>
  <si>
    <t>MK END;
N/C
MK NOME;
GEOVANA EVELLYN FERREIRA 148.689.866-19 (ASSINANTE) 
CONEXÃO ATIVA E ADIMPLENTE
FRANCISCO PEREIRA DA SILVA 254.9**.***-** (PROPRIETARIO/LOCADOR)
N/C</t>
  </si>
  <si>
    <t>MUD END MARIA LUIZA SILVA OLIVEIRA PROT:2603.11237 PIX (ANDREZA) - LARANJEIRAS</t>
  </si>
  <si>
    <t>ENDEREÇO NOVO: AVENIDA VEREADOR CARLITO CORDEIRO, 1855
COMPLEMENTO: RESERVA BARCELONA - BLOCO A, APTO 406
CEP: 38410733
BAIRRO: LARANJEIRAS</t>
  </si>
  <si>
    <t>COMPROVANTE DE ENDEREÇO (IPTU) EM ANEXO
NOME NO COMPROVANTE: MURILO ALVES PASSOS (DISSE QUE É O DONO DO IMÓVEL)</t>
  </si>
  <si>
    <t>MK END: N/C
________________________________________
MK NOMES:
-&gt; MURILO ALVES PASSOS (DISSE QUE É O DONO DO IMÓVEL): N/C</t>
  </si>
  <si>
    <t xml:space="preserve">MUD END + ALT PLANO MATHEUS MARCO CASSIANO DE OLIVEIRA PROT:2604.4228 ISENTO (BRUNA) - NOVO MUNDO **PRÉDIO COM PRUMADA** //   </t>
  </si>
  <si>
    <t xml:space="preserve">NECESSÁRIO ENVIO DA 2ª PAGINA DO CONTRATO DE COMPRA E VENDA, ONDE CONTÉM ENDEREÇO E DADOS DO IMÓVEL . 
OS ERRADA, NECESSÁRIO TROCA DE EQUIPAMENTOS. </t>
  </si>
  <si>
    <t>ENDEREÇO NOVO: RUA ALFREDO BOSI, 242
COMPLEMENTO: BL 2 AP 708
CEP: 38409120
BAIRRO: NOVO MUNDO</t>
  </si>
  <si>
    <t>PLANO ATUAL: 300 MEGA/69,90 CONTRATADO EM 04/25 COM FIDELIDADE DE 12 MESES. ROTEADOR: ONT TP-LINK XC220
PLANO OFERTADO: 1 GIGA (1.000 MEGA) R$99,90. BENEFÍCIOS: ACESSO GRATUITO AO APP MZTV (CDNTV+) + VOD</t>
  </si>
  <si>
    <t>COMPROVANTE DE ENDEREÇO (CONTRATO DE COMPRA E VENDA) EM ANEXO
NOME NO COMPROVANTE: MATHEUS MARCO CASSIANO DE OLIVEIRA (ASSINANTE)</t>
  </si>
  <si>
    <t>MK END: N/C
MK NOMES:
MATEUS MARCO CASSIANO DE OLIVEIRA (ASSINANTE/COMPRADOR DO IMÓVEL): CONEXÃO ATIVA E SEM PENDENCIAS.
OPÇÃO EMPREENDIMENTOS IMOBILIÁRIOS LTDA (PROMITENTE VENDEDORA): POSSUI 2 CONEXÃO ATIVAS, SEM PENDENCIAS.
PAULO NAVES CAMARGO (SÓCIO ADMINISTRADOR DA EMPRESA OPÇÃO EMPREENDIMENTOS IMOBILIÁRIOS LTDA):N/C
ECCOS BLACK NEGOCIOS IMOBILIARIOS LTDA (EMPRESA RESPONSÁVEL PELA INTERMEDIAÇÃO DO NEGÓCIO IMOBILIÁRIO):N/C</t>
  </si>
  <si>
    <t>ENDEREÇO: RUA IZAU RANGEL DE MENDONÇA, 567 
COMPLEMENTO:APT 301 BL A 
CEP: 38408-136
BAIRRO: SANTA MÔNICA</t>
  </si>
  <si>
    <t>MUD END LEANDRO DOS SANTOS SILVA PROT:2604.4921 CARTAO (JOSÉ Jr) - CUSTÓDIO PEREIRA</t>
  </si>
  <si>
    <t xml:space="preserve">AGENDA ESTÁ AS 10:00, PROTOCOLO ESTÁ AS 15:00
OS INCORRETA - CLIENTE NÃO POSSUI EXTEND + EQUIPAMENTO INCORRETO </t>
  </si>
  <si>
    <t>ENDEREÇO NOVO: RUA DIMAS MOREIRA DE SÁ, 2851 
COMPLEMENTO: CASA 2
CEP: 38405-254
BAIRRO: CUSTÓDIO PEREIRA</t>
  </si>
  <si>
    <t>COMPROVANTE DE ENDEREÇO (CONTRATO DE LOCAÇÃO) EM ANEXO
NOME NO COMPROVANTE: LEANDRO DOS SANTOS SILVA (ASSINANTE)</t>
  </si>
  <si>
    <t>MK END: N/C
MK NOMES:
   DIVINO FERNANDES DE OLIVEIRA CPF:266.583.806-00(LOCADOR)N/C
   LEANDRO DOS SANTOS SILVA CPF:024.378.955-66(LOCATÁRIO)TITULAR DA CONEXÃO</t>
  </si>
  <si>
    <t xml:space="preserve">MUD END ACSA ALEXANDRE FEITOZA PROT: 2604.7832  PIX (JOSÉ Jr) - MANSOUR   </t>
  </si>
  <si>
    <t>ENDEREÇO NOVO: RUA RIO JAGUARI, 2029
COMPLEMENTO: CASA UNICA
CEP: 38414458
BAIRRO: MANSOUR</t>
  </si>
  <si>
    <t>GERLANDIO SOUZA DE ATAIDES (ESPOSO)</t>
  </si>
  <si>
    <t>94 99156-6528</t>
  </si>
  <si>
    <t>COMPROVANTE DE ENDEREÇO (CEMIG) EM ANEXO
NOME NO COMPROVANTE: ANA MARIA DOS SANTOS (CLIENTE DIZ QUE É LOCADOR)</t>
  </si>
  <si>
    <t>MK END:N/C
MK NOMES:
   ANA MARIA DOS SANTOS CPF 866.2**.***-**(CLIENTE DIZ QUE É O LOCADOR)N/C</t>
  </si>
  <si>
    <t>ENDEREÇO NOVO: RUA CÉLIO PONTES, 167
COMPLEMENTO: CASA 1
CEP: 38410050
BAIRRO: SÃO JORGE</t>
  </si>
  <si>
    <t>COMPROVANTE DE ENDEREÇO (CEMIG) EM ANEXO
NOME NO COMPROVANTE: RAMIRO NUNES DE OLIVEIRA (EULER ALEGA SER SEU AVÓ)</t>
  </si>
  <si>
    <t>MK END:  N/C
MK NOME: RAMIRO NUNES DE OLIVEIRA (EULER ALEGA SER SEU AVÓ) N/C</t>
  </si>
  <si>
    <t>KAROLAYNE / IZABELA</t>
  </si>
  <si>
    <t>NOME NO COMPROVANTE: RAMIRO NUNES DE OLIVEIRA (EULER ALEGA SER SEU AVÓ)</t>
  </si>
  <si>
    <t xml:space="preserve">MUD END + ALT PLANO JESSICA TASSIANE ARAUJO GAUDENCIO PROT:2604.8549 ISENTO (RONALD) - JARDIM HOLANDA **PRÉDIO COM PRUMADA** //  </t>
  </si>
  <si>
    <t>PENDENTE 2 MENSALIDADES
REMOVIDO DA AGENDA</t>
  </si>
  <si>
    <t>FAUSTO FERNANDES DE OLIVEIRA - COMPROVANTE - CANCELADO POR INADIMPLENCI (EQUIPMAMENTOS DEVOLVIDOS) - DÉBITOS PENDENTES EM F$1.123,78</t>
  </si>
  <si>
    <t xml:space="preserve">MUD END VANESSA JULIANA VAZ GARCIA PROT:2604.2428 PIX (VITOR M.) - JARDIM EUROPA  </t>
  </si>
  <si>
    <t xml:space="preserve">FALTA COMENTÁRIO SOBRE COMPROVANTE DE RESIDENCIA </t>
  </si>
  <si>
    <t>34 99140-3664</t>
  </si>
  <si>
    <t>ENDEREÇO NOVO: RUA RIO CORUMBÁ, 3700
COMPLEMENTO: CASA 2
CEP: 38414577
BAIRRO: JARDIM EUROPA</t>
  </si>
  <si>
    <t>COMPROVANTE DE ENDEREÇO (CONTRATO DE LOCAÇÃO) EM ANEXO
NOME NO COMPROVANTE: SILVIO ALVES GARCIA JUNIOR (ESPOSO DA ASSINANTE)</t>
  </si>
  <si>
    <t>MK END: N/C
MK NOME: LUCIENE MARIA MATHEUS (LOCADORA): N/C
ALBUQUERQUE NEGÓCIOS IMOBILIÁRIOS LTD (PROCURADORA): N/C
GREGÓRIO ALBUQUERQUE (SOCIO DA PROCURADORA): POSSUI DUAS CONEXÕES ATIVAS E ADIMPLENTE
SILVIO ALVES GARCIA JUNIOR (ESPOSO DA ASSINANTE): NEGADO PELO CADASTRO
VANESSA JULIANA VAZ GARCIA (TITULAR DA CONEXÃO): ATIVA E ADIMPLENTE.
SEBASTIÃO CIRLEY VAZ (FIADOR): N/C</t>
  </si>
  <si>
    <t>MUD END PAULA GIULLYANE S. F. (FAGUNDES E VEDRAMINE ADVOCACIA) PROT:2604.11096 PIX (ANDREZA) - PRESIDENTE ROOSEVELT **PRÉDIO SEM PRUMADA - ENVIAR TÉCNICO DUPLADO** // *14:00*</t>
  </si>
  <si>
    <t xml:space="preserve">SOLICITAÇÃO FEITA PELO CADASTRO 
VALIDAÇÃO OK </t>
  </si>
  <si>
    <t>ENDEREÇO NOVO: RUA RODRIGO PEREIRA JÚNIOR, 700
COMPLEMENTO: APTO 303
CEP: 38401018
BAIRRO: PRESIDENTE ROOSEVELT</t>
  </si>
  <si>
    <t>CINTIA COSTA RESENDE (IRMÃ)</t>
  </si>
  <si>
    <t>34 99186-8163</t>
  </si>
  <si>
    <t>COMPROVANTE DE ENDEREÇO (CONTRATO DE LOCAÇÃO) EM ANEXO
NOME NO COMPROVANTE:  ELTON PEREIRA DE RESENDE (DISSE QUE É O PAI DA CINTIA)</t>
  </si>
  <si>
    <t>MK END:
-&gt; PAULA GIULLYANE SILVA FAGUNDES (NOVA SOLICITACAO): SOLICITAÇÃO DE ADESÃO EM 04/2026 REPROVADA.
________________________________________
MK NOMES:
-&gt; CINTIA COSTA RESENDE (IRMÃ DA ASSINANTE): N/C
-&gt; BRAZ JOSE COUTINHO (LOCADOR) - CPF 206.624.246-20: N/C
-&gt; ISAIAS JUNIO COUTINHO (PROCURADOR) - CPF 033.157.826-36: N/C
-&gt; ELTON PEREIRA DE RESENDE (DISSE QUE É O PAI DA CINTIA/LOCATÁRIO) - CPF 210.440.076-72: N/C
-&gt; CATIA DALILA DE SOUSA RESENDE (LOCATÁRIA) - CPF 211.477.606-91: N/C</t>
  </si>
  <si>
    <t xml:space="preserve">MUD END + ALT PLANO KETLIN GERALDA DE SOUZA DA SILVA (SALAO ESPACO GIRASSOL) PROT:2604.4315 ISENTO (GABRIEL M.) - SÃO JORGE  //  </t>
  </si>
  <si>
    <t xml:space="preserve">COMPROVANTE DE ENDEREÇO NÃO FOI ANEXADO.
NÃO FOI REALIZADA AS CONFÊNCIAS, MK NOME + MK END
ENDEREÇO NÃO ALTERADO NO PESSOAS OU EMPRESAS
O.S ERRADA
</t>
  </si>
  <si>
    <t>ENDEREÇO NOVO: AVENIDA SERRA DO ESPINHAÇO, 1425
COMPLEMENTO: COMERCIO 
CEP: 38410384
BAIRRO: SÃO JORGE</t>
  </si>
  <si>
    <t>PLANO ATUAL: 150 MEGA/59,90 CONTRATADO EM 10/2024 COM FIDELIDADE DE 12 MESES. ROTEADOR: ONT TP-LINK XC220
PLANO OFERTADO: 150 MEGA/59,90. BENEFÍCIOS: ACESSO GRATUITO AO APP MZTV (CDNTV+)</t>
  </si>
  <si>
    <t>COMPROVANTE DE ENDEREÇO (CEMIG) EM ANEXO
NOME NO COMPROVANTE: KARLA ELIARA PARREIRA (LOCADOR)</t>
  </si>
  <si>
    <t xml:space="preserve">MK END: N/C
MK NOMES: 
KARLA ELIARA PARREIRA (LOCADOR): N/C
</t>
  </si>
  <si>
    <t>ENDEREÇO NOVO: AVENIDA VEREADOR CARLITO CORDEIRO, 1855
COMPLEMENTO: APTO 1108 BL B
CEP: 38410733
BAIRRO: LARANJEIRAS</t>
  </si>
  <si>
    <t>COMPROVANTE DE ENDEREÇO (CONTRATO DE LOCAÇÃO) EM ANEXO
NOME NO COMPROVANTE: LANA KESSIA MACEDO MIRANDA (ASSINANTE)</t>
  </si>
  <si>
    <t>MK END: N/C
MK NOMES:
- LARIDA AURELIANA MARINS ALMEIDA 109.704.386-05 (LOCADOR): N/C
- DELTA IMÓVEIS E ADMINISTRAÇÃO LTDA  23.976.590/0001-98  (ADMINISTRADORA): N/C
- FRANCIS HEME CESAR PEREIRA 086.429.536-75 (REPRESENTANTE DA ADMINISTRADORA): N/C
- MARIA FRANCISCA DE MIRANDA 783.810.296-00 (LOCATÁRIO 1): N/C
- LANA KESSIA MACEDO MIRANDA 091.333.606-85 (LOCATÁRIO 2): POSSUI CONEXÃO ATIVA E ADIMPLENTE 
- LANA KESSIA MACEDO MIRANDA (NOVA SOLICITACAO) APROVADO PARA MÃE ROSA MARIA MACEDO DIAS MIRANDA // INATIVO //
- CREDALUGA LTDA 46.361.179/0001-03 (GARANTIDORA):  N/C
- VALERIA CRISTINA FERREIRA DE CARVALHO – (TESTEMUNHA): N/C
- RHAYANNE MYCHELLE INÁCIO DE PAULA (TESTEMUNHA): POSSUI CONEXÃO ATIVA E ADIMPLENTE // END: JOAO RODRIGUES DA SILVA - N.60 CASA 1 - SHOPPING PARK</t>
  </si>
  <si>
    <t xml:space="preserve">MUD END + ALT PLANO MARIANA LOPES E SILVA RODRIGUES PROT:2604.8406 ISENTO (VICTOR H.) - JARDIM PATRÍCIA  //  </t>
  </si>
  <si>
    <t>ENDEREÇO NOVO: AVENIDA DOS EUCALIPTOS, 1140
COMPLEMENTO: COND. TRILHAS DO SABIA, BL.20, APT. 103
CEP: 38414123
BAIRRO: JARDIM PATRÍCIA</t>
  </si>
  <si>
    <t xml:space="preserve">PLANO ATUAL: 1000 MEGA/99,90 CONTRATADO EM 03/2025 COM FIDELIDADE DE 12 MESES. ROTEADOR: ONT TP-LINK XC230
PLANO OFERTADO: 1 GIGA (1.000 MEGA) R$99,90. BENEFÍCIOS: ACESSO GRATUITO AO APP MZTV (CDNTV+) + VOD
</t>
  </si>
  <si>
    <t>COMPROVANTE DE ENDEREÇO (AUTORIZAÇÃO DO CONDOMÍNIO ) EM ANEXO
NOME NO COMPROVANTE: MARIANA LOPES E SILVA RODRIGUES (ASSINANTE)</t>
  </si>
  <si>
    <t>MK NOMES: 
JALES CARVALHO DE ALMEIDA CPF: 053.477.861-54 (PROPRIETÁRIO) N/C
MARIANA LOPES E SILVA CPF: 059.663.056-50 (INQULINA) 
ASSINANTE, CONEXÃO ATIVA E ADIMPLENTE
VICTOR GEOVANNE LOPES CPF 102.745.056-50 (FILHO DE MARIANA ASSINANTE) N/C
MK END: 
MOISES CARVALHO DE ALMEIDA
PROTOCOLO DE ADESÃO 2012.857
CLIENTE NÃO INSTALADO 
MICHAEL DOUGLAS DE JESUS PEREIRA ROSA
PROTOCOLO DE ADESÃO 2009.2595
CLIENTE NÃO INSTALADO, NÃO TEVE INTERESSE EM INSTALAR POR CONTA DA TAXE DE ADESÃO</t>
  </si>
  <si>
    <t xml:space="preserve">MUD END GIOVANNA MARTINS DOS SANTOS PROT:2604.8366 CARTAO (IZABELA) - CIDADE JARDIM   </t>
  </si>
  <si>
    <t>ENDEREÇO NOVO: RUA DOS MIOSÓTIS, 291
COMPLEMENTO: CASA 
CEP: 38412174
BAIRRO: CIDADE JARDIM</t>
  </si>
  <si>
    <t>PEDRO PEREIRA DOS SANTOS (PAI)</t>
  </si>
  <si>
    <t>34 999824204</t>
  </si>
  <si>
    <t>COMPROVANTE DE ENDEREÇO (CEMIG) EM ANEXO
NOME NO COMPROVANTE: SONIA APARECIDA ALVES SANTOS (DISSE SER A ANTIGA INQUILINA)</t>
  </si>
  <si>
    <t>MK END - N/C
MK NOME 
SONIA APARECIDA ALVES SANTOS 864.5**.***-**: PROCESSO DE CONTRATAÇÃO CANCELADO DEVIDO A FALTA DE VIABILIDADE NO ENDEREÇO QUE IRIA RESIDIR EM 11/2022.</t>
  </si>
  <si>
    <t>ENDEREÇO NOVO: AVENIDA PALMEIRA IMPERIAL, 195
COMPLEMENTO: APT. 303
CEP: 38406582
BAIRRO: BOSQUE DOS BURITIS</t>
  </si>
  <si>
    <t>COMPROVANTE DE ENDEREÇO (CEMIG) EM ANEXO
NOME NO COMPROVANTE: STETLEY CAMILLA DE OLIVEIRA PERES (ASSINANTE)</t>
  </si>
  <si>
    <t>MK END: N/C
MK NOMES:
- STETLEY CAMILLA DE OLIVEIRA PERES (ASSINANTE): POSSUI CONEXÃO ATIVA E ADIMPLENTE</t>
  </si>
  <si>
    <t>ENDEREÇO NOVO: RUA MANOEL MAURÍCIO ARAÚJO, 581
COMPLEMENTO: CASA 02
CEP: 38401464
BAIRRO: MARAVILHA</t>
  </si>
  <si>
    <t>COMPROVANTE DE ENDEREÇO (CEMIG) EM ANEXO
NOME NO COMPROVANTE: LUCIENE ROSA DOS SANTOS (MARCELO ALEGA SER A ANTIGA MORADORA)</t>
  </si>
  <si>
    <t>MK END:  - N/C
MK NOME: LUCIENE ROSA DOS SANTOS (MARCELO ALEGA SER A ANTIGA MORADORA) - N/C</t>
  </si>
  <si>
    <t>ENDEREÇO NOVO: AVENIDA TAYLOR SILVA, 811
COMPLEMENTO: BLOCO 6 APTO 104
CEP: 38415381
BAIRRO: TOCANTINS</t>
  </si>
  <si>
    <t>COMPROVANTE DE ENDEREÇO (CEMIG) EM ANEXO
NOME NO COMPROVANTE: ANA CRISTINA MARTINS PEREIRA (ASSINANTE)</t>
  </si>
  <si>
    <t>MK NOME: ANA CRISTINA MARTINS PEREIRA - ASSINANTE
MK END:
LUIZ FELIPE PEREIRA PIMENTEL - INICIOU-SE PROCESSO DE ADESÃO NO DIA  22/03/2025 MAS NÃO FOI CONCLUIDO POIS O CLIENTE INSTALOU OUTRA OPERADORA.
VILMA ALVES RODRIGUES - CONEXÃO CANCELADA NO DIA 26/01/2020, CLIENTE INADIMPLENTE COM 3 MENSALIDADES EM ABERTO E MULTA CONTRATUAL. EQUIPAMENTOS RECOLHIDOS.
MONICA APARECIDA BARBOSA (CASA MONIQUE - FILHA) - CONEXÃO CANCELADA NO DIA 17/06/2023, CLIENTE INADIMPLENTE COM 3 MENSALIDADES EM ABERTO E MULTA CONTRATUAL. EQUIPAMENTOS NÃO RECOLHIDOS.</t>
  </si>
  <si>
    <t>ENDEREÇO NOVO: RUA RIO MISSOURI, 152
COMPLEMENTO: CASA ÚNICA
CEP: 38414432
BAIRRO: MANSOUR</t>
  </si>
  <si>
    <t>PLANO ATUAL: 1000 MEGA/99,90 CONTRATADO EM 04/2024 COM FIDELIDADE DE 12 MESES. ROTEADOR: ONT TP-LINK XC230
PLANO OFERTADO: 1 GIGA (1.000 MEGA) R$99,90. BENEFÍCIOS: ACESSO GRATUITO AO APP MZTV (CDNTV+) + VOD</t>
  </si>
  <si>
    <t>GABRIELA MARQUES ANDRADE (ESPOSA)</t>
  </si>
  <si>
    <t>COMPROVANTE DE ENDEREÇO (DMAE) EM ANEXO
NOME NO COMPROVANTE:  JACIANA CRISTINA FREITAS VIEIRA (DISSE QUE É A PROPRIETÁRIA DO IMÓVEL)</t>
  </si>
  <si>
    <t>MK END: N/C
________________________________________
MK NOMES:
-&gt; GABRIELA MARQUES ANDRADE (ESPOSA DO ASSINANTE): N/C
-&gt; JACIANA CRISTINA FREITAS VIEIRA (DISSE QUE É A PROPRIETÁRIA DO IMÓVEL): N/C</t>
  </si>
  <si>
    <t xml:space="preserve">SERÁ REMOVIDO DA AGENDA </t>
  </si>
  <si>
    <t>ENDEREÇO NOVO: RUA TEREZINA SEGADÃES, 561
COMPLEMENTO: CASA FUNDOS
CEP: 38405212
BAIRRO: CUSTÓDIO PEREIRA</t>
  </si>
  <si>
    <t>PLANO ATUAL: 1000 MEGA/99,90 CONTRATADO EM 07/24 COM FIDELIDADE DE 12 MESES. ROTEADOR: ONT TP-LINK XC230
PLANO OFERTADO: 1 GIGA (1.000 MEGA) R$99,90. BENEFÍCIOS: ACESSO GRATUITO AO APP MZTV (CDNTV+) + VOD</t>
  </si>
  <si>
    <t>PALOMA OHANA DE JESUS ALVES (ESPOSA DE HENRIQUE)</t>
  </si>
  <si>
    <t>3498420-2359</t>
  </si>
  <si>
    <t>COMPROVANTE DE ENDEREÇO (CONTRATO DE LOCAÇÃO) EM ANEXO.
NOME NO COMPROVANTE: HENRIQUE RODRIGUES DOS SANTOS (DIZ SER CUNHADO DO ASSINANTE)</t>
  </si>
  <si>
    <t>MK END: N/C
MK NOMES:
HENRIQUE RODRIGUES DOS SANTOS (CUNHADO DE MARCUS/LOCATARIO): N/C
ELIEZER MARTINS ARRUDA (LOCADOR): POSSUIA CONEXÃO ATIVA, PORÉM, DEVIDO A DEBITOS EM ABERTO E MEDIANTE A FALTA DE INTERAÇÃO COM O MESMO O CONTRATO FOI BAIXADO EM SISTEMA.
PALOMA OHANA DE JESUS ALVES (ESPOSA DE HENRIQUE): FEZ SOLICITAÇÃO DE INSTALAÇÃO EM 04/07/2024, POREM, FOI APROVADO APENAS PAGANDO A TAXA DE INSTALAÇÃO, ONDE A MESMA INFORMOU NÃO POSSUIR INTERESSE. 
NO FINAL, FOI INSTALADO NO NOME DE MARCUS.</t>
  </si>
  <si>
    <t xml:space="preserve">MARCELLA (SETOR DE CADASTRO)
PODE SEGUIR  COM A MUDANÇA DE ENDEREÇO
  EQUIPAMENTO INCORRETO </t>
  </si>
  <si>
    <t>ENDEREÇO NOVO: RUA DO ENGENHEIRO, 635
COMPLEMENTO: CASA UNICA
CEP: 38413165
BAIRRO: PLANALTO</t>
  </si>
  <si>
    <t>COMPROVANTE DE ENDEREÇO (CONTRATO DE LOCAÇÃO) EM ANEXO
NOME NO COMPROVANTE: JEISIONE AFONSO FERREIRA (ASSINANTE)</t>
  </si>
  <si>
    <t>MK NOMES: 
WILLIAN ALVES CPF 642.044.211-72 (LOCADOR) N/C
RANGEL RASTRELO RG MG 11909837 (LOCATÁRIO) N/C
JEISIONE AFONSO FERREIRA RG MG 15941243 (LOCATÁRIA) 
ASSINANTE, CONEXÃO ATIVA E ADIMPLENTE
EDNA MARA CUNHA RASTRELO CPF 442.145.616-00 (FIADORA) N/C
MK END: N/C</t>
  </si>
  <si>
    <t>ENDEREÇO NOVO: RUA DOUTOR MANOEL THOMAZ TEIXEIRA DE SOUZA, 995
COMPLEMENTO: COMERCIO
CEP: 38415270
BAIRRO: TOCANTINS</t>
  </si>
  <si>
    <t xml:space="preserve"> &lt;b&gt;ONT = ONT ZTE // CONECTOR = VERDE.&lt;/b&gt;</t>
  </si>
  <si>
    <t>PLANO ATUAL: 500 MEGA/79,90 CONTRATADO EM 08/2023 COM FIDELIDADE DE 12 MESES. ROTEADOR: ONT ZTE F 670-L
PLANO OFERTADO: 600 MEGA/79,90. BENEFÍCIOS: ACESSO GRATUITO AO APP MZTV (CDNTV+)</t>
  </si>
  <si>
    <t>COMPROVANTE DE ENDEREÇO (CEMIG) EM ANEXO
NOME NO COMPROVANTE: ROSANGELA LEANDRO SILVA (PROPRIETARIO DO IMOVEL)</t>
  </si>
  <si>
    <t>MK END:
- DERMIVON CAMARGO DA SILVA OLIVEIRA (CASA FUNDO): CONEXÃO ATIVA COM FATURA 10/03/2026 EM ABERTO
MK NOMES
- FABRICIO TADINNY FERREIRA DA SILVA (DEFEREEIRA BARBEARIA): POSSUI CONEXÃO ATIVA E ADIMPLENTE
- FABRICIO TADINNY FERREIRA DA SILVA: POSSUI CONEXÃO ATIVA E ADIMPLENTE ENDEREÇO R. PROFA. MARIA LOURDES CUNHA - 188 - CASA 2 (FUNDO)
- ROSANGELA LEANDRO SILVA (PROPRIETARIO DO IMOVEL): N/C</t>
  </si>
  <si>
    <t>ENDEREÇO NOVO: RUA DO CARTEIRO, 661
COMPLEMENTO: CASA UNICA
CEP: 38413195
BAIRRO: PLANALTO</t>
  </si>
  <si>
    <t>COMPROVANTE DE ENDEREÇO (CEMIG) EM ANEXO
NOME NO COMPROVANTE: JOAO MOREIRA BONIFACIO (DISSE QUE É O PROPRIETÁRIO DO IMÓVEL)</t>
  </si>
  <si>
    <t>MK END: N/C
MK NOMES:
-&gt; JOAO MOREIRA BONIFACIO (DISSE QUE É O PROPRIETÁRIO DO IMÓVEL) - CPF 316.3**.***-**: N/C</t>
  </si>
  <si>
    <t xml:space="preserve">MUD END FRANCILENE ALVES DO NASCIMENTO PROT:2604.9830 PIX (VICTOR H.) - UMUARAMA   </t>
  </si>
  <si>
    <t>VALIDAÇÃO OK, APENAS INSERIR NOME DA MARCELLA. PROT ATUALIZADO</t>
  </si>
  <si>
    <t>ENDEREÇO NOVO: RUA PIAUÍ, 3857
COMPLEMENTO: CASA 1
CEP: 38405317
BAIRRO: UMUARAMA</t>
  </si>
  <si>
    <t>ONT = ONT TP LINK 220</t>
  </si>
  <si>
    <t>COMPROVANTE DE ENDEREÇO (CONTRATO DE LOCAÇÃO) EM ANEXO
NOME NO COMPROVANTE: FRANCILENE ALVES DO NASCIMENTO (ASSINANTE)</t>
  </si>
  <si>
    <t>MK END: N/C 
MK NOMES
FRANCILENE ALVES DO NASCIMENTO, CPF 071.137.384-19 (LOCATÁRIO)
ASSINANTE - CONEXÃO ATIVA E ADIMPLENTE
POLLYANNA GABRIELA DA SILVA, CPF 069.568.696-83 (LOCADOR) - N/C</t>
  </si>
  <si>
    <t>RESERVA MUD END FABRICIO DA SILVA FELIX PROT (JHONATHAN/VICTOR) GUARANI</t>
  </si>
  <si>
    <t xml:space="preserve">VALIDAÇÃO OK, PORÉM COM MENSALIDADE EM ABERTO, ASSIM QUE ANEXAR OS COMPROVANTE, ATUALIZAR COM O COMENTARIO E DIRECIONAR PARA MARCELLA </t>
  </si>
  <si>
    <t>ENDEREÇO NOVO: RUA DAS GUITARRAS, 396
COMPLEMENTO: FRENTE 
CEP: 38415075
BAIRRO: TAIAMAN</t>
  </si>
  <si>
    <t xml:space="preserve">ONT = ONT TP LINK 530 </t>
  </si>
  <si>
    <t>COMPROVANTE DE ENDEREÇO (CEMIG) EM ANEXO
NOME NO COMPROVANTE: JAKELYNE RODRIGUES DA SILVA (DISSE QUE É A ANTIGA INQUILINA)</t>
  </si>
  <si>
    <t>MK END:
→ SIMONE SOMMERFELD (CASA DOS PAIS): CONEXÃO CANCELADA EM 04/04/2023 - SEM DÉBITOS - EQUIPAMENTOS DEVOLVIDO 
MK NOME:
→ JAKELYNE RODRIGUES DA SILVA (DISSE QUE É A ANTIGA INQUILINA): N/C</t>
  </si>
  <si>
    <t>MUD END + ALT PLANO LUCIMAR DA SILVA MARTINS PROT:2604.12772 ISENTO (RAMONY) - JARDIM EUROPA</t>
  </si>
  <si>
    <t xml:space="preserve">VALIDAÇÃO OK, ENVIAR AO CADASTRO 
PENDENTE ASSINATURA DO CONTRATO </t>
  </si>
  <si>
    <t>ENDEREÇO NOVO: AVENIDA LUIZ ANTÔNIO ROCHA E SILVA, 81
COMPLEMENTO: CASA 01
CEP: 38414642
BAIRRO: JARDIM EUROPA</t>
  </si>
  <si>
    <t>PLANO ATUAL: 1000 MEGA/99,90 CONTRATADO EM 03/2025 COM FIDELIDADE DE 12 MESES. ROTEADOR: ONT TP-LINK X530
PLANO OFERTADO: 1 GIGA (1.000 MEGA) R$99,90. BENEFÍCIOS: ACESSO GRATUITO AO APP MZTV (CDNTV+) + VOD</t>
  </si>
  <si>
    <t>COMPROVANTE DE ENDEREÇO (CEMIG) EM ANEXO
NOME NO COMPROVANTE: LUCIMAR DA SILVA MARTINS (ASSINANTE)</t>
  </si>
  <si>
    <t>MK END:
ANTIGO ENDEREÇO DE INSTALAÇÃO DA CLIENTE - N/C
MK NOME: LUCIMAR DA SILVA MARTINS
ASSINANTE - ADIMPLENTE E COM CONEXÃO ATIVA</t>
  </si>
  <si>
    <t>MUD END TIAGO JOSE DA SILVA FIRMO 10255279680 PROT:2604.11558 PIX (LUIS) - MARIA REZENDE **SOBRADO**  *PODE ANTECIPAR*</t>
  </si>
  <si>
    <t>ENDEREÇO NOVO: RUA FELICIANA DONATA DE MACEDO, 455
COMPLEMENTO: SOBRADO
CEP: 38401844
BAIRRO: MARIA REZENDE</t>
  </si>
  <si>
    <t>ONT = ONT TP LINK 530</t>
  </si>
  <si>
    <t>COMPROVANTE DE ENDEREÇO (CEMIG) EM ANEXO
NOME NO COMPROVANTE: UELDRON ANTONIO DE SOUSA (TIAGO ALEGA SER DONO DA RESIDÊNCIA)</t>
  </si>
  <si>
    <t xml:space="preserve">MK END: N/C
MK NOMES:
- UELDRON ANTONIO DE SOUSA - CPF NÃO INFORMADO - TIAGO ALEGA SER O DONO DA CASA - N/C
- TIAGO JOSE DA SILVA FIRMO 10255279680 - CNPJ 25.997.638/0001-70 - ASSINANTE - CLIENTE ATIVO E ADIMPLENTE COM A EMPRESA. </t>
  </si>
  <si>
    <t>MUD END + ALT PLANO MATHEUS PHILIPE SOUZA LIMA PROT:2604.11475 ISENTO (PEDRO) - SEGISMUNDO PEREIRA **PRÉDIO COM PRUMADA** //  *PODE ANTECIPAR*</t>
  </si>
  <si>
    <t>ENDEREÇO NOVO: AVENIDA OSCAR MIRANDA, 1221
COMPLEMENTO: RESIDENCIAL ITAIM, AP.502
CEP: 38408336
BAIRRO: SEGISMUNDO PEREIRA
CLIENTE IRÁ MUDAR AMANHÃ</t>
  </si>
  <si>
    <t>ONT = ONT TP LINK 230</t>
  </si>
  <si>
    <t xml:space="preserve">PLANO ATUAL: 600 MEGA/79,90 CONTRATADO EM 03/2025 COM FIDELIDADE DE 12 MESES. ROTEADOR: ONT TP-LINK XC230
PLANO OFERTADO: 600 MEGA/79,90. BENEFÍCIOS: ACESSO GRATUITO AO APP MZTV (CDNTV+)
</t>
  </si>
  <si>
    <t>KAROLAYNE DE SOUZA DANTAS (ESPOSA)</t>
  </si>
  <si>
    <t>COMPROVANTE DE ENDEREÇO (CERTIDÃO DE IMÓVEL) EM ANEXO
NOME NO COMPROVANTE: KAROLAYNE DE SOUZA DANTAS (ESPOSA DO TITULAR)</t>
  </si>
  <si>
    <t xml:space="preserve">MUD END + ALT PLANO JULIO ALVES SILVA PROT:2604.12120 ISENTO (JHONATAN) - PANORAMA  //  </t>
  </si>
  <si>
    <t>ENDEREÇO NOVO: RUA SAMANEA, 225 
COMPLEMENTO: CASA ÚNICA
CEP: 38412599
BAIRRO: PANORAMA</t>
  </si>
  <si>
    <t>PLANO ATUAL: 1000 MEGA/99,90 CONTRATADO EM 05/2025 COM FIDELIDADE DE 12 MESES. ROTEADOR: ONT TP-LINK X530
PLANO OFERTADO: 1 GIGA (1.000 MEGA) R$99,90. BENEFÍCIOS: ACESSO GRATUITO AO APP MZTV (CDNTV+) + VOD</t>
  </si>
  <si>
    <t>COMPROVANTE DE ENDEREÇO (CONTRATO DE LOCAÇÃO) EM ANEXO
NOME NO COMPROVANTE: JULIO ALVES SILVA (ASSINANTE)</t>
  </si>
  <si>
    <t>MK END: 
→ N/C
MK NOME:
→ JÚLIO ALVES SILVA (LOCATÁRIO): ASSINANTE DA CONEXÃO 
→ LUCIANA DE ANDRADE GONÇALVES (LOCADORA): N/C</t>
  </si>
  <si>
    <t>MUD END LAVINIA REBECA LINO NERES PROT:2604.12226 PIX (JOSÉ Jr) - PLANALTO  *PENDENTE COMPROVANTE*</t>
  </si>
  <si>
    <t xml:space="preserve">VALIDAÇÃO OK, ENVIAR AO CADASTRO 
</t>
  </si>
  <si>
    <t>ENDEREÇO NOVO: AV. IMBAÚBA, 1075
COMPLEMENTO: CASA FRENTE 1
CEP: 38413-144
BAIRRO: JARAGUÁ</t>
  </si>
  <si>
    <t>JEANE CAMILA NERES (MÃE)</t>
  </si>
  <si>
    <t>COMPROVANTE DE ENDEREÇO (CONTRATO DE LOCAÇÃO) EM ANEXO
NOME NO COMPROVANTE:  JEANE CAMILA NERES (MÃE DO TITULAR DA CONEXÃO)</t>
  </si>
  <si>
    <t xml:space="preserve">MK END:N/C
MK NOMES:
  ESTELA MARIS DIAS RESENDE CAMPILLAY CPF:431.717.886-91 (LOCADOR)N/C
  LUNMAR ANTONIO VARAS CAMPILLAY CPF:812.563.027-91(LOCADOR)N/C
  JEANE CAMILA NERES CPF:076.416.016-85 (LOCATARIO)MÃE DA TITULAR.CONSTA CONEXÃO CANCELADA EM 01/2024 POR INADIMPLÊNCIA,   PORÉM OS DÉBITOS FORAM QUITADOS.
</t>
  </si>
  <si>
    <t>MUD END VITORIA DE CASTRO NASCIMENTO PROT:2604.12544 CARTAO (PEDRO) - TAIAMAN  *PODE ANTECIPAR*</t>
  </si>
  <si>
    <t>ENDEREÇO NOVO: RUA JORGE CECILIO, 141
COMPLEMENTO: CASA ÚNICA 
CEP: 38415073
BAIRRO: TAIAMAN</t>
  </si>
  <si>
    <t>COMPROVANTE DE ENDEREÇO (CONTRATO DE LOCAÇÃO) EM ANEXO
NOME NO COMPROVANTE: GABRIEL SILVA FRANÇA (MARIDO DA TITULAR)</t>
  </si>
  <si>
    <t xml:space="preserve">MK END: N/C
MKNOME: WENDER SILVA SANTOS (LOCADOR): CPF 092.165.266-61 - N/C
KEULINY SOUSA DA SILVA SANTOS (CÔNJUGE DO LOCADOR): CPF 117.706.326-38 - N/C
GABRIEL SILVA FRANÇA (LOCATÁRIO): CPF 702.033.756-29 - N/C
VITÓRIA DE CASTRO NASCIMENTO FRANÇA (ANUENTE CÔNJUGE / ESPOSA DO LOCATÁRIO / TITULAR): CPF 093.286.006-00 - POSSUI CONEXÃO CONOSCO DESDE 12/2024, ATIVA E ADIMPLENTE.
JUNIARLEY JORDY ALVES DIAS (FIADOR): CPF 118.498.966-40 - N/C
EMANUELLY ANDRADE SANTOS (CÔNJUGE DO FIADOR): CPF 167.824.466-00.
JAIR SILVA FRANÇA (PAI DO LOCATÁRIO) - N/C
ROBERTA CRISTINA DE OLIVEIRA FRANÇA (MÃE DO LOCATÁRIO) - N/C
ADRIANA DE CASTRO NASCIMENTO (MÃE DA ANUENTE) - N/C
RADAMES VIEIRA DO NASCIMENTO (PAI DA ANUENTE): CPF: 009.315.546-83 - POSSUI CONEXÃO CONOSCO DESDE 11/2021, ATIVA E ADIMPLENTE
JOAQUIM GONÇALVES DIAS (PAI DO FIADOR) - N/C
MARIA DO SOCORRO ALVES (MÃE DO FIADOR) - N/C     </t>
  </si>
  <si>
    <t>MUD END FELIPE MALAQUIAS DOS SANTOS PROT:2604.4045 PIX (BRUNA) - MORUMBI  // *PEND COMPROVANTE DE END*</t>
  </si>
  <si>
    <t xml:space="preserve">JÁ VALIDADO PELA MARCELLA, APENAS COLOCAR DE NEGRITO </t>
  </si>
  <si>
    <t>ENDEREÇO NOVO: RUA VIDEIRA, 409
COMPLEMENTO: CASA FRENTE
CEP: 38407294
BAIRRO: MORUMBI</t>
  </si>
  <si>
    <t>ONU = DATA</t>
  </si>
  <si>
    <t>LARA STEFFANI FERREIRA ROMEIRO (ESPOSA)</t>
  </si>
  <si>
    <t xml:space="preserve">MUD END + ALT PLANO ALDENEIDE VIEIRA DOS SANTOS PROT:2604.12003 ISENTO (RONALD) - TOCANTINS **PRÉDIO COM PRUMADA** //  
</t>
  </si>
  <si>
    <t>ENDEREÇO NOVO: AVENIDA TAYLOR SILVA, 751
COMPLEMENTO: COND.TOCANTINS 1, BL.8, APT. 404
CEP: 38415381
BAIRRO: TOCANTINS</t>
  </si>
  <si>
    <t>PLANO ATUAL: 1000 MEGA/99,90 CONTRATADO EM 07/2025 COM FIDELIDADE DE 12 MESES. ROTEADOR: TP-LINK EX511
PLANO OFERTADO: 1 GIGA (1.000 MEGA) R$99,90. BENEFÍCIOS: ACESSO GRATUITO AO APP MZTV (CDNTV+) + VOD</t>
  </si>
  <si>
    <t>COMPROVANTE DE ENDEREÇO (CEMIG) EM ANEXO
NOME NO COMPROVANTE: RODRIGO DE OLIVEIRA (PRÓPRIETARIO)</t>
  </si>
  <si>
    <t>MK END;
MARCO AURELIO EUSTAQUIO JUNIOR 145.568.736-73
CLIENTE SOLICITOU INSTALAÇÃO EM 02/2020, FOI APROVADO COM A TAXA DE COMPRA DOS EQUIPAMENTOS, PORÉM O CLIENTE NÃO QUIS PAGAR A TAXA DE COMPRA DOS EQUIPAMENTOS. 
DANIELLA DE CASSIA BARBOSA 043.350.786-17
CONEXÃO CANCELADA EM 03/2021 POR INADIMPLÊNCIA, NÃO EFETUOU O PAGAMENTO DAS 3 MENSALIDADES, EQUIPAMENTOS RECOLHIDOS, PORÉM DÉBITOS NÃO FORAM PAGOS, DÉBITO TOTAL (741,36).
ASSINANTE ALDENEIDE INFORMOU QUE ELA É PROPRIETÁRIA DO APARTAMENTO E RODRIGO PROPRIETÁRIO.
MK NOME;
ALDENEIDE VIEIRA DOS SANTOS 082.085.706-80 (ASSINANTE)
CONEXÃO ATIVA E CLIENTE ADIMPLENTE. 
RODRIGO DE OLIVEIRA 067.1**.***-*** (PROPRIETÁRIO)
SOLICITOU INSTALAÇÃO EM 04/2021 PORÉM NÃO FOI APROVADO EM SEU NOME, FOI APROVADO NO NOME DA ESPOSA VADILMA APARECIDA DA SILVA
VADILMA APARECIDA DA SILVA 704.679.786-20
CONEXÃO ATIVA DESDE 2021 CLIENTE ADIMPLENTE.
MK END;
MARCO AURELIO EUSTAQUIO JUNIOR 145.568.736-73
CLIENTE SOLICITOU INSTALAÇÃO EM 02/2020, FOI APROVADO COM A TAXA DE COMPRA DOS EQUIPAMENTOS, PORÉM O CLIENTE NÃO QUIS PAGAR A TAXA DE COMPRA DOS EQUIPAMENTOS. 
DANIELLA DE CASSIA BARBOSA 043.350.786-17
CONEXÃO CANCELADA EM 03/2021 POR INADIMPLÊNCIA, NÃO EFETUOU O PAGAMENTO DAS 3 MENSALIDADES, EQUIPAMENTOS RECOLHIDOS, PORÉM DÉBITOS NÃO FORAM PAGOS, DÉBITO TOTAL (741,36).
MK NOME;
ALDENEIDE VIEIRA DOS SANTOS 082.085.706-80 (ASSINANTE)
CONEXÃO ATIVA E CLIENTE ADIMPLENTE. 
RODRIGO DE OLIVEIRA 067.1**.***-*** (PROPRIETÁRIO)
SOLICITOU INSTALAÇÃO EM 04/2021 PORÉM NÃO FOI APROVADO EM SEU NOME, FOI APROVADO NO NOME DA ESPOSA VADILMA APARECIDA DA SILVA
VADILMA APARECIDA DA SILVA 704.679.786-20
CONEXÃO ATIVA DESDE 2021 CLIENTE ADIMPLENTE.</t>
  </si>
  <si>
    <t xml:space="preserve">MUD END ANTONIO EUSTAQUIO FERREIRA GALVAO  PROT:2604.8512 CARTAO (LUIS) - SARAIVA **PRÉDIO SEM PRUMADA - ENVIAR TÉCNICO DUPLADO** </t>
  </si>
  <si>
    <t>ENDEREÇO NOVO: AVENIDA JOSÉ REZENDE COSTA, 577
COMPLEMENTO: APT 404
CEP: 38408010
BAIRRO: SARAIVA</t>
  </si>
  <si>
    <t>COMPROVANTE DE ENDEREÇO (CONTRATO DE COMPRA ) EM ANEXO
NOME NO COMPROVANTE: ANTONIO EUSTAQUIO FERREIRA GALVAO  (ASSINANTE)</t>
  </si>
  <si>
    <t>MK END: REALIZADO FICHA CADASTRAL EM 18/03/2023 PARA O ENDEREÇO AVENIDA JOSE REZENDE COSTA, 557 NO NOME DA CONSTRUTORA UNIÃO SPE LTDA NA QUAL FOI REPROVADO.
MK NOME:
- CONSTRUTORA UNIÃO SPE LTDA - EPP – CNPJ: 27.425.547/0001-95 – PROPRIETÁRIA / TRANSMITENTE; - REALIZADO FICHA CADASTRAL EM 18/03/2023 PARA O ENDEREÇO AVENIDA JOSE REZENDE COSTA, 557 NA QUAL FOI REPROVADO.
- SILNEY GOMES DE CARVALHO – CPF: 485.279.801-00 – SÓCIO ADMINISTRADOR (REPRESENTANTE DA EMPRESA); N/C
- ANTONIO EUSTÁQUIO FERREIRA GALVÃO – CPF: 416.814.956-00 – ADQUIRENTE / ASSINANTE - CLIENTE ATIVO E ADIMPLENTE COM A EMPRESA;
- NEILA LEMES GALVÃO – CPF: 539.337.376-72 – ADQUIRENTE (CÔNJUGE) - N/C</t>
  </si>
  <si>
    <t>MUD END MARIANA DELFINO DIAS DA SILVA PROT:2604.10164 PIX (PEDRO/RAMONY) - LUIZOTE DE FREITAS **PRÉDIO COM PRUMADA**</t>
  </si>
  <si>
    <t xml:space="preserve">COMPROVANTE NÃO POSSUI COMPLEMENTO , SOLICITAR OUTRO COMPROVANTE </t>
  </si>
  <si>
    <t>ENDEREÇO NOVO: RUA OSCAR BERNARDES DA COSTA, 75
COMPLEMENTO: COND. VEREDAS DE CRISTAL, BL.B, AP.1003
CEP: 38414313
BAIRRO: LUIZOTE DE FREITAS</t>
  </si>
  <si>
    <t>COMPROVANTE DE ENDEREÇO (CONTRATO DE LOCAÇÃO) EM ANEXO
NOME NO COMPROVANTE: MARIANA DELFINO DIAS DA SILVA (ASSINANTE)</t>
  </si>
  <si>
    <t>MK END: N/C
MK NOMES:
&gt; LOCADOR:
MILTON ALEXANDRE DANTAS / CPF: 862.648.876-00 - N/C
&gt; LOCATÁRIA:
MARIANA DELFINO DIAS DA SILVA / CPF: 067.839.986-73
ASSINANTE - CONEXÃO ATIVA E ADIMPLENTE</t>
  </si>
  <si>
    <t xml:space="preserve">MUD END + ALT PLANO LUCAS ALVES SANTOS PROT:2604.12210 ISENTO (RONALD) - JARDIM CANAÃ  //  
</t>
  </si>
  <si>
    <t xml:space="preserve">PROTOCOLO ATUALIZADO, APENAS DIRECIONAR P/ MARCELLA. PLANO JA ALTERADO </t>
  </si>
  <si>
    <t>ENDEREÇO NOVO: RUA BIBLOS, 83
COMPLEMENTO: CASA ÚNICA
CEP: 38412456
BAIRRO: JARDIM CANAÃ</t>
  </si>
  <si>
    <t>COMPROVANTE DE ENDEREÇO (CEMIG) EM ANEXO
NOME NO COMPROVANTE: ADILSON BATISTA DE OLIVEIRA (PROPRIETARIO)</t>
  </si>
  <si>
    <t>MK END;
N/C
MK NOME;
LUCAS ALVES SANTOS 105.654.326-48
CONEXÃO ATIVA E CLIENTE ADIMPLENTE 
ADILSON BATISTA DE OLIVEIRA 042.6**.***-** (PROPRIETARIO)
N/C</t>
  </si>
  <si>
    <t>PENDENTE MENSALIDADE,  COMPLETAR A PESQUISA DE MK NOMES ROSA MARIA MACEDO DIAS
EM 11/2024 REALIZOU A TROCA DE PPPOE PARA JOSE ALVES DA SILVA (CUNHADO DE ROSA)
CONEXÃO DE JOSE ESTA ATIVA E ADIMPLENTE, REALIZOU MUDANÇA DE ENDEREÇO E RENOVAÇÃO DO CONTRATO EM 03/2026</t>
  </si>
  <si>
    <t>MUD END ROBERIO DE ARAUJO NASCIMENTO PROT:2604.12871 PIX (VICTOR H.) - CHÁCARAS TUBALINA E QUARTEL   // PENDENTE COMPROVANTE DE ENDEREÇO</t>
  </si>
  <si>
    <t>PROTOCOLO ATUALIZADO, APENAS DIRECIONAR P/ MARCELLA.</t>
  </si>
  <si>
    <t>ENDEREÇO NOVO: RUA ADEMAR BORGES DOS SANTOS, 157
COMPLEMENTO: CASA 3 
CEP: 38413337
BAIRRO: CHÁCARAS TUBALINA E QUARTEL</t>
  </si>
  <si>
    <t xml:space="preserve">COMPROVANTE DE ENDEREÇO (DMAE) EM ANEXO
NOME NO COMPROVANTE: DENISMAR RAMOS DE LIMA (DISSE SER O PROPRIETÁRIO DO IMÓVEL)
</t>
  </si>
  <si>
    <t>MK END: N/C 
MK NOMES: DENISMAR RAMOS DE LIMA (DISSE SER O PROPRIETÁRIO DO IMÓVEL) N/C</t>
  </si>
  <si>
    <t xml:space="preserve">MUD END + ALT PLANO MARIA A. DA SILVA CELESTINO LTDA (JAMBORA PAES &amp; LANCHES) PROT:2604.12938 ISENTO (VICTOR H.) - JARDIM PATRÍCIA  //  </t>
  </si>
  <si>
    <t>ENDEREÇO NOVO: AVENIDA ASPIRANTE MEGA, 3008
COMPLEMENTO: LOJA 5
CEP: 38414064
BAIRRO: JARDIM PATRÍCIA</t>
  </si>
  <si>
    <t>PLANO ATUAL: 1000 MEGA/99,90 CONTRATADO EM 06/2025 COM FIDELIDADE DE 12 MESES. ROTEADOR: ONT TP-LINK X530
PLANO OFERTADO: 1 GIGA (1.000 MEGA) R$99,90. BENEFÍCIOS: ACESSO GRATUITO AO APP MZTV (CDNTV+) + VOD</t>
  </si>
  <si>
    <t xml:space="preserve">FRANCISCO DE ASSIS CELESTINO (PAI) </t>
  </si>
  <si>
    <t xml:space="preserve">COMPROVANTE DE ENDEREÇO (CEMIG) EM ANEXO
NOME NO COMPROVANTE: MARIA ABADIA DA SILVA CELESTINO (ASSINANTE)
</t>
  </si>
  <si>
    <t>MK END: 
SERGIO LUIS SERENO (UDIIMOVEIS)
CONEXÃO CANCELADA EM 09/2023, SEM DÉBITOS COM A EMPRESA 
MK NOMES : 
MARIA ABADIA DA SILVA CELESTINO 
ASSINANTE, CONTRATOU EM 06/2026 CONEXÃO ATIVA E ADIMPLENTE 
FRANCISCO DE ASSIS CELESTINO (PAI) N/C</t>
  </si>
  <si>
    <t xml:space="preserve">MUD END + ALT PLANO LUCAS HENRIQUE LIMA PROT:2604.15126 ISENTO (GABRIEL M.) - SÃO JORGE  //  </t>
  </si>
  <si>
    <t>ENDEREÇO NOVO: RUA SERRA DO CACHIMBO, 607
COMPLEMENTO: CASA UNICA
CEP: 38410376
BAIRRO: SÃO JORGE</t>
  </si>
  <si>
    <t>PLANO ATUAL: 500 MEGA/79,90 CONTRATADO EM 07/2024 COM FIDELIDADE DE 12 MESES. ROTEADOR: ONT TP-LINK XC220
PLANO OFERTADO: 600 MEGA/79,90. BENEFÍCIOS: ACESSO GRATUITO AO APP MZTV (CDNTV+)</t>
  </si>
  <si>
    <t>COMPROVANTE DE ENDEREÇO (CONTRATO DE LOCAÇÃO) EM ANEXO
NOME NO COMPROVANTE: LUCAS HENRIQUE LIMA (ASSINANTE)</t>
  </si>
  <si>
    <t>MK END: NC
MK NOME: NC</t>
  </si>
  <si>
    <t xml:space="preserve">MUD END + ALT PLANO JUNIOR MENEZES DA SILVA PROT:2604.13706 ISENTO (LUIS) - PLANALTO **SOBRADO** //  </t>
  </si>
  <si>
    <t>VALIDAÇÃO OK, ENVIAR AO CADASTRO 
COBRAR ASSINATURA DO CONTRATO</t>
  </si>
  <si>
    <t>ENDEREÇO NOVO: RUA DO FUNCIONÁRIO PÚBLICO, 21
COMPLEMENTO: SOBRADO 
CEP: 38413180
BAIRRO: PLANALTO</t>
  </si>
  <si>
    <t>PLANO ATUAL: 150 MEGA/59,90 CONTRATADO EM 05/2025 COM FIDELIDADE DE 12 MESES. ROTEADOR: TP LINK C-5
PLANO OFERTADO: 150 MEGA/59,90. BENEFÍCIOS: ACESSO GRATUITO AO APP MZTV (CDNTV+)</t>
  </si>
  <si>
    <t>COMPROVANTE DE ENDEREÇO (CONTRATO DE LOCAÇÃO) EM ANEXO
NOME NO COMPROVANTE: JUNIOR MENEZES DA SILVA (ASSINANTE)</t>
  </si>
  <si>
    <t>MK END:
- CONEXÃO CANCELADA EM 10/2025 NO NOME DE NAYARA CRISTINA SILVA POR INADIMPLENCIA. POSSUI 03 MENSALIDADES EM ABERTO, MULTA CONTRATUAL E EQUIPAMENTOS EM COMODATO NÃO FORAM DEVOLVIDOS. 
MK NOME: 
- LOCADORA: MARIA DE LOURDES – CPF: 560.846.176-20 - N/C 
- LOCATÁRIO: JÚNIOR MENEZES DA SILVA – CPF: 063.638.996-05 - ASSINANTE - CLIENTE ATIVO E ADIMPLENTE COM A EMPRESA; 
- AVALISTA: KATIUCE MENEZES DA SILVA – CPF: 050.888.906-56 - N/C</t>
  </si>
  <si>
    <t xml:space="preserve">MUD END + ALT PLANO GUILHERME HENRIQUE ALVES SILVA PROT:2604.14029 ISENTO (ANDREZA) - JARDIM EUROPA  //  </t>
  </si>
  <si>
    <t xml:space="preserve">EQUIPAMENTO INCORRETO NA OS 
cobrar assinatura do contrato </t>
  </si>
  <si>
    <t>ENDEREÇO NOVO: RUA SORRENTO, 45
COMPLEMENTO: CASA 01
CEP: 38414609
BAIRRO: JARDIM EUROPA</t>
  </si>
  <si>
    <t>PLANO ATUAL: 400 MEGA/79,90 CONTRATADO EM 09/2022 COM FIDELIDADE DE 12 MESES. ROTEADOR: HUAWEI AX2
PLANO OFERTADO: 600 MEGA/79,90. BENEFÍCIOS: ACESSO GRATUITO AO APP MZTV (CDNTV+)</t>
  </si>
  <si>
    <t>COMPROVANTE DE ENDEREÇO (CONTRATO DE LOCAÇÃO) EM ANEXO
NOME NO COMPROVANTE: GUILHERME HENRIQUE ALVES SILVA (ASSINANTE)</t>
  </si>
  <si>
    <t>MK END:
-&gt; LEANDRO VENANCIO SILVA (LOCADOR) - CPF 084.236.126-00: CONEXÃO CANCELADA EM 12/2023 (SEM DÉBITOS / DEVOLVEU OS EQUIPAMENTOS).
________________________________________
MK NOMES:
-&gt; MARIANE LIMA PEREIRA (LOCADORA) - CPF 106.404.116-73: N/C
-&gt; GUILHERME HENRIQUE ALVES SILVA (LOCATÁRIO) - CPF 038.833.591-22: ASSINANTE DA CONEXÃO.</t>
  </si>
  <si>
    <t xml:space="preserve">MUD END + ALT PLANO JOSLANE ARANTES DE MORAES PROT:2604.13734 ISENTO (RONALD) - JARDIM BRASÍLIA **SOBRADO** // </t>
  </si>
  <si>
    <t>ENDEREÇO NOVO: RUA MUNDIAL, 454
COMPLEMENTO: TÉRREO 
CEP: 38401402
BAIRRO: JARDIM BRASÍLIA</t>
  </si>
  <si>
    <t>COMPROVANTE DE ENDEREÇO (DMAE) EM ANEXO
NOME NO COMPROVANTE: ALMERINDO ALVES DE MORAES (PAI DE JOSLANE)</t>
  </si>
  <si>
    <t>MK END;
N/C
MK NOME;
JOSLANE ARANTES DE MORAES (ASSINANTE 
CLIENTE COM CONEXÃO ATIVA E ADIMPLENTE
ALMERINDO ALVES DE MORAES (PAI DE JOSLANE)
N/C</t>
  </si>
  <si>
    <t>MUD END ANA CRISTINA MARTINS PEREIRA PROT:2604.8346 PIX (VAGNER) - TOCANTINS *PRÉDIO COM PRUMADA*  PODE ANTECIPAR |</t>
  </si>
  <si>
    <t>MUD END + ALT PLANO GEOVANNA FERNANDES SILVA PROT:2604.13434 ISENTO (ANDREZA) - JARDIM PATRÍCIA *PRÉDIO COM PRUMADA* //</t>
  </si>
  <si>
    <t>ENDEREÇO NOVO: AVENIDA DO ÓLEO, 361
COMPLEMENTO: COND. MORADA DO BOSQUE - BLOCO 15, APTO 301
CEP: 38414224
BAIRRO: JARDIM PATRÍCIA</t>
  </si>
  <si>
    <t>PLANO ATUAL: 500 MEGA/79,90 CONTRATADO EM 03/2024 COM FIDELIDADE DE 12 MESES. ROTEADOR: ONT ZTE F 670-L
PLANO OFERTADO: 600 MEGA/79,90. BENEFÍCIOS: ACESSO GRATUITO AO APP MZTV (CDNTV+)</t>
  </si>
  <si>
    <t>LAVINIA (IRMÃ DE GEOVANNA)</t>
  </si>
  <si>
    <t>COMPROVANTE DE ENDEREÇO (CONTRATO DE LOCAÇÃO) EM ANEXO
NOME NO COMPROVANTE: GEOVANNA FERNANDES SILVA (ASSINANTE)</t>
  </si>
  <si>
    <t>MK END: N/C
________________________________________
MK NOMES:
-&gt; LAVÍNIA FERNANDES (IRMÃ DA ASSINANTE): N/C
-&gt; DANILO TOMAZ DA SILVA (LOCADOR) - CPF 076.496.776-21: N/C
-&gt; GEOVANNA FERNANDES SILVA (LOCATÁRIA) - CPF 119.056.856-02: ASSINANTE DA CONEXÃO.
-&gt; MULTI CONSULTORIA DE IMÓVEIS LTDA (ADMINISTRADORA) - CNPJ 17.656.356/0001-80: N/C
-&gt; CICERO HERALDO OLIVEIRA NOVAES (SÓCIO DIRETOR) - CPF 254.982.746-53: N/C
-&gt; G.M. NOVAES CORRETORA DE SEGUROS (CORRETORA) - CNPJ 34.258.169/0001-68: N/C
-&gt; PORTO SEGURO CIA DE SEGUROS GERAIS (SEGURADORA) - CNPJ 61.188.164/0001-60: N/C
-&gt; KAMILLA BORGES DA SILVA (TESTEMUNHA/RESPONSÁVEL PELA CRIAÇÃO DO DOCUMENTO) - CPF 122.192.256-40: N/C
-&gt; BRUNO DE JESUS CELESTINO DOS ANJOS (TESTEMUNHA) - CPF 111.762.316-50: N/C</t>
  </si>
  <si>
    <t xml:space="preserve">mensalidade pendente 
demais conferencias ok, plano alterado e orientado a colher assinatura </t>
  </si>
  <si>
    <t>COMPROVANTE DIVERGENTE, ASSIM QUE CORRIGO, CONFERIR ATUALIZAÇÃO DE CADASTRO E OS. MK END N/C, PLANO ALTERADO</t>
  </si>
  <si>
    <t>ENDEREÇO NOVO: RUA ECHADAI, 340
COMPLEMENTO: CASA
CEP: 38407504
BAIRRO: RESIDENCIAL INTEGRAÇÃO</t>
  </si>
  <si>
    <t>PLANO ATUAL: 600 MEGA/79,90 CONTRATADO EM 05/2025 COM FIDELIDADE DE 12 MESES. ROTEADOR: HUAWEI AX2
PLANO OFERTADO: 600 MEGA/79,90. BENEFÍCIOS: ACESSO GRATUITO AO APP MZTV (CDNTV+)</t>
  </si>
  <si>
    <t>COMPROVANTE DE ENDEREÇO (CEMIG) EM ANEXO
NOME NO COMPROVANTE: SILVANA DOS REIS LINHARES (SOGRA DO ASSINANTE)</t>
  </si>
  <si>
    <t>MK END:
- AILTON SILVA BARBOSA (CASA FUNDO): POSSUI CONEXÃO ATIVA E ADIMPLENTE
MK NOMES
- SILVANA DOS REIS LINHARES (SOGRA DO ASSINANTE): N/C
- LAERCIO DA ROCHA DANTAS (ASSINANTE): POSSUI CONEXÃO ATIVA E ADIMPLENTE</t>
  </si>
  <si>
    <t xml:space="preserve">MUD END + ALT PLANO JOSE MARIA COSTA SOBRINHO PROT:2604.14657 ISENTO (VITOR M.) - NOSSA SENHORA APARECIDA  </t>
  </si>
  <si>
    <t xml:space="preserve">PESQUISA DE MK NOME INCOMPLETA, PORÉM DEMAIS NOMES QUE SÃO TESTEMUNHAS OK, PRECISA ATUALIZAR NO PROTOCOLO PORÉM DEMAIS ESTÃO OK - PLANO JA ALTERADO E ORIENTADO SOBRE COLHER ASSINATURA </t>
  </si>
  <si>
    <t>ENDEREÇO NOVO: RUA ITUMBIARA, 1124
COMPLEMENTO: APTO.102
CEP: 38400617
BAIRRO: NOSSA SENHORA APARECIDA</t>
  </si>
  <si>
    <t xml:space="preserve">PLANO ATUAL: 600 MEGA/79,90 CONTRATADO EM 06/2025 COM FIDELIDADE DE 12 MESES. ROTEADOR: HUAWEI AX2
PLANO OFERTADO: 1 GIGA (1.000 MEGA) R$99,90. BENEFÍCIOS: ACESSO GRATUITO AO APP MZTV (CDNTV+) + VOD
</t>
  </si>
  <si>
    <t>COMPROVANTE DE ENDEREÇO (CONTRATO DE LOCAÇÃO) EM ANEXO
NOME NO COMPROVANTE: JOSE MARIA COSTA SOBRINHO (ASSINANTE)</t>
  </si>
  <si>
    <t>MK END: N/C
MK NOME: CINARA CRISTINA ALVES MAGNO (LOCADORA): N/C
JOSE MARIA COSTA SOBRINHO (ASSINANTE): ATIVO E ADIMPLENTE
JOSE OLAVO GOMES MAGNO (TESTESMUNHA): N/C
BEATRIZ CASTRO LACERDA (TESTEMUNHA): N/C</t>
  </si>
  <si>
    <t xml:space="preserve">VALIDAÇÃO OK, APENAS DIRECIONAR P/MARCELLA </t>
  </si>
  <si>
    <t>(34) 99669-4349</t>
  </si>
  <si>
    <t>ENDEREÇO NOVO: AVENIDA PLATINA, 545
COMPLEMENTO: BL A AP 6
CEP: 38414042
BAIRRO: DONA ZULMIRA</t>
  </si>
  <si>
    <t>PLANO ATUAL: 150 MEGA/59,90 CONTRATADO EM 03/25 COM FIDELIDADE DE 12 MESES. ROTEADOR: ONT TP-LINK XC220
PLANO OFERTADO: 150 MEGA/59,90. BENEFÍCIOS: ACESSO GRATUITO AO APP MZTV (CDNTV+)</t>
  </si>
  <si>
    <t>JOYCE PEREIRA DOS SANTOS (IRMÃ)</t>
  </si>
  <si>
    <t>COMPROVANTE DE ENDEREÇO (CEMIG) EM ANEXO
NOME NO COMPROVANTE: JORGE LUIS MARTINS MACIE (DIZ SER PROPRIETARIO DO IMOVEL)</t>
  </si>
  <si>
    <t>MK END: 
JOYCE PEREIRA DOS SANTOS 173.694.176-38 (IRMÃ DE MAURILIA): FEZ A SOLICITAÇÃO DE INSTALAÇÃO EM 19/03/2026, PORÉM, FOI NEGADO DEVIDO AO SCORE BAIXO, APROVADO SOMENTE COM O PAGAMENTO DA TAXA, PORÉM, A MESMA NÃO TEVE INTERESSE.
JORGE LUIS MARTINS MACIEL: CLIENTE SOLICITOU O CANCELAMENTO DO SERVIÇO EM 28/10/2022 (MOTIVO: IRIA VIAJAR), FEZ A DEVOLUÇÃO DOS EQUIAPMENTOS, SEM PENDENCIAS.
FRANCARLA MACIEL MARTINS: CLIENTE SOLICITOU O CANCELAMENTO EM 21/07/2021, EQUIPAMENTOS DEVOLVIDOS, SEM PENDENCIAS.
MK NOMES:
JORGE LUIS MARTINS MACIEL (PROPRIETARIO DO IMOVEL):CLIENTE SOLICITOU O CANCELAMENTO DO SERVIÇO EM 28/10/2022 (MOTIVO: IRIA VIAJAR), FEZ A DEVOLUÇÃO DOS EQUIAPMENTOS, SEM PENDENCIAS.
JOYCE PEREIRA DOS SANTOS 173.694.176-38 (IRMÃ DE MAURILIA): FEZ A SOLICITAÇÃO DE INSTALAÇÃO EM 19/03/2026, PORÉM, FOI NEGADO DEVIDO AO SCORE BAIXO, APROVADO SOMENTE COM O PAGAMENTO DA TAXA, PORÉM, A MESMA NÃO TEVE INTERESSE.</t>
  </si>
  <si>
    <t xml:space="preserve">MUD END ELIENE DE MELO SOARES E SOUSA PROT:2604.11185 PIX (ANDREZA) - LARANJEIRAS   **(POSSUI WI-FI EXTEND)** </t>
  </si>
  <si>
    <t>ENDEREÇO NOVO: RUA SUELI LOPES DA SILVA, 1136
COMPLEMENTO: CASA ÚNICA
CEP: 38410527
BAIRRO: LARANJEIRAS</t>
  </si>
  <si>
    <t>&lt;b&gt;ONT = ONT TP LINK 530 // CONECTOR = VERDE.&lt;/b</t>
  </si>
  <si>
    <t>COMPROVANTE DE ENDEREÇO (CEMIG) EM ANEXO
NOME NO COMPROVANTE: LUCAS SILVA DE SOUSA (DISSE QUE É O DONO DO IMÓVEL)</t>
  </si>
  <si>
    <t>MK END: N/C
________________________________________
MK NOMES:
-&gt; LUCAS SILVA DE SOUSA (DISSE QUE É O DONO DO IMÓVEL): N/C</t>
  </si>
  <si>
    <t xml:space="preserve">MUD END SOLON RODRIGUES DE SOUSA JUNIOR (CARTIADO TIBERY) PROT:2604.11933 DINHEIRO (HALYSON) - TIBERY  </t>
  </si>
  <si>
    <t xml:space="preserve">END E TIPO DA O.S ERRADOS, COBRADO NO GRUPO COMPROVANTE CONSTA COMO CASA MAS CLIENTE ENVIOU UM PRINT ONDE MOSTRA SE UM COMERCIO =, RESTANTE DE VALIDAÇÕES OK, APENAS CORRIGIR ESSA PENDENCIA </t>
  </si>
  <si>
    <t>ENDEREÇO NOVO: RUA CONSTANTINOPLA, 874
COMPLEMENTO: CS
CEP: 38405036
BAIRRO: TIBERY</t>
  </si>
  <si>
    <t xml:space="preserve">NÃO </t>
  </si>
  <si>
    <t xml:space="preserve">MARCOS BENTO (AMIGO) </t>
  </si>
  <si>
    <t>34-99793-4950</t>
  </si>
  <si>
    <t>COMPROVANTE DE ENDEREÇO (CEMIG) EM ANEXO
NOME NO COMPROVANTE:  JOSE RICARDO OLIVEIRA RAMOS (PROPRIETARIO DO IMÓVEL)</t>
  </si>
  <si>
    <t>MK END: N/C
MK NOMES:
- JOSE RICARDO OLIVEIRA RAMOS (PROPRIETARIO DO IMÓVEL): N/C
- SOLON RODRIGUES DE SOUSA JUNIOR 951.683.546-53 (ASSINANTE):
2 CONEXÕES CANCELADAS.
- SOLON RODRIGUES DE SOUSA JUNIOR (BAR DO MARQUINHOS): RUA PAULO DE FRONTIN 894 - ALTO UMUARAMA // CONEXÃO CANCELADA, SEM DÉBITOS EM ABERTO
- SOLON RODRIGUES DE SOUSA JUNIOR: AVENIDA PORTUGAL 717 - TIBERY // CONEXÃO CANCELADA, SEM DÉBITOS EM ABERTO
POSSUI 13 CONEXÕES ATIVAS:
- SOLON RODRIGUES DE SOUSA JUNIOR:  RUA PALMAS 279 - CIDADE JARDIM CASA UNICA - ATIVA E ADIMPLENTE
- SOLON RODRIGUES DE SOUSA JUNIOR (BAR UMUARAMA): // RUA PAULO DE FRONTIN 674 - ALTO UMUARAMA // ATIVA E ADIMPLENTE 
- SOLON RODRIGUES DE SOUSA JUNIOR (BAR CUSTODIO): RUA PROFESSOR CIRO DE CASTRO ALMEIDA 3586 - CUSTÓDIO PEREIRA // ATIVA E ADIMPLENTE
- SOLON RODRIGUES DE SOUSA JUNIOR (BAR BELO HORIZONTE): RUA TIMBIRAS 910 - SARAIVA // ATIVA E ADIMPLENTE
- SOLON RODRIGUES DE SOUSA JUNIOR (CARTIADO TIBERY): RUA CONSTANTINOPLA 874 - TIBERY //  ATIVA E ADIMPLENTE
- SOLON RODRIGUES DE SOUSA JUNIOR (BAR DO PEDRINHO): RUA PARIS 945 - TIBERY //  ATIVA E ADIMPLENTE
- SOLON RODRIGUES DE SOUSA JUNIOR (BAR DO PORCO): RUA NATAL 1699 - TIBERY //  ATIVA E ADIMPLENTE
- SOLON RODRIGUES DE SOUSA JUNIOR (BAR/MARTINS): RUA GERALDINO CARNEIRO 32 - LUIZOTE DE FREITAS // ATIVA E ADIMPLENTE
- SOLON RODRIGUES DE SOUSA JUNIOR (BRECHO/ DONA ZULMIRA): RUA RIO JEQUITINHONHA 256 - MANSOUR // ATIVA E ADIMPLENTE
- SOLON RODRIGUES DE SOUSA JUNIOR (IPANEMAS BAR): AVENIDA SIDERAL 1740 JARDIM IPANEMA // ATIVA E ADIMPLENTE
- SOLON RODRIGUES DE SOUSA JUNIOR (BRECHO /CANAA): AVENIDA JERUSALEN 307 - JARDIM CANAÃ // ATIVA E ADIMPLENTE
- SOLON RODRIGUES DE SOUSA JUNIOR (BRECHO): RUA OSCAR GOMES MOREIRA JUNIOR 682 TUBALINA // ATIVA E ADIMPLENTE
- SOLON RODRIGUES DE SOUSA JUNIOR (BRECHO MANSOUR): RUA RIO CORUMBÁ 746 - MANSOUR - ATIVA COM 2 FATURAS EM ABERTO (15/02/2026 103,23 E 15/03/2026 99,90 TOTAL DE DÉBITOS 203,13)
- MARCOS BENTO (AMIGO DO ASSINANTE): N/C</t>
  </si>
  <si>
    <t>MUD END ALAN JUNIOR SANTOS DE MEDEIROS PROT:2604.13200 CARTAO (VITOR M.) - PRESIDENTE ROOSEVELT</t>
  </si>
  <si>
    <t xml:space="preserve">PESQUISA DE MK NOMES INCOMPLETA, DEMAIS INFORMAÇÕES OK, SEM PENDENCIAS, ASSIM QUE INSERIR OK FALTA, ATUALIZAR E DIRECIONAR PARA MARCELLA </t>
  </si>
  <si>
    <t>ENDEREÇO NOVO: AVENIDA CESÁRIO CROSARA, 3320
COMPLEMENTO: APTO. 202
CEP: 38401048
BAIRRO: PRESIDENTE ROOSEVELT</t>
  </si>
  <si>
    <t>COMPROVANTE DE ENDEREÇO (CONTRATO DE COMPRA) EM ANEXO
NOME NO COMPROVANTE: ALAN JUNIOR SANTOS DE MEDEIROS (ASSINANTE)</t>
  </si>
  <si>
    <t>MK END: N/C
MK NOME: 
DENISE ANDRADE PEREIRA (VENDEDORA): N/C
FERNANDO PEREIRA DE CARVALHO (CÔNJUGE DA VENDEDORA): N/C
ALAN JUNIOR SANTOS DE MEDEIROS (ASSINANTE): ATIVO E ADIMPLENTE
VANESSA CRISTINA COSTA MENEZES (CÔNJUGE DO ASSINANTE): N/C
MURILLO RODRIGUES LEAL : N/C</t>
  </si>
  <si>
    <t>ENDEREÇO NOVO: RUA DO ESCRITOR, 276
COMPLEMENTO: CASA FUNDOS
CEP: 38412368
BAIRRO: JARDIM DAS PALMEIRAS</t>
  </si>
  <si>
    <t>COMPROVANTE DE ENDEREÇO (CEMIG) EM ANEXO
NOME NO COMPROVANTE: GABRIEL RODRIGUES BORBA (EX INQUILINO)</t>
  </si>
  <si>
    <t>MK END:N/C
MK NOMES:
GABRIEL RODRIGUES BORBA (EX INQUILINO):N/C</t>
  </si>
  <si>
    <t xml:space="preserve">MUD END MARCOS JOSE DE OLIVEIRA (ELEGANCE FOR MEN) PROT:2604.9475  CARTAO (JHONATAN) - LUIZOTE DE FREITAS   </t>
  </si>
  <si>
    <t xml:space="preserve">COMPROVANTE DE ENDEREÇO PENDENTE, PRAZO ATÉ ÁS 13 HORAS </t>
  </si>
  <si>
    <t>ENDEREÇO NOVO: RUA MAXIMILIANO CARNEIRO, 146
COMPLEMENTO: COMERCIO
CEP: 38414260
BAIRRO: LUIZOTE DE FREITAS</t>
  </si>
  <si>
    <t xml:space="preserve">PENDENTE PESQUISA DE MK NOMES DE  ARIEDNA MATOS SOUZA (MÃE)
JOÃO DE DEUS SOUZA - EX-INQUILINO
QUESIA ALVES DE SOUSA - EX-INQUILINA
 E DIRECIONAR AO CADASTRO PARA CONFIRMAR, NUMEROS DIVERGENTES ENTRE COMPROVANTE E INFORMADO PELA CLIENTE </t>
  </si>
  <si>
    <t>ENDEREÇO NOVO: R. JOSÉ EDGAR DE BARROS, 294
COMPLEMENTO: AP 2
CEP: 38415-342
BAIRRO: TOCANTINS</t>
  </si>
  <si>
    <t>PLANO ATUAL: 600 MEGA/79,90 CONTRATADO EM 01/25 COM FIDELIDADE DE 12 MESES. ROTEADOR: ONT TP-LINK XC230
PLANO OFERTADO: 600 MEGA/79,90. BENEFÍCIOS: ACESSO GRATUITO AO APP MZTV (CDNTV+)</t>
  </si>
  <si>
    <t>ARIEDNA MATOS SOUZA (MÃE)</t>
  </si>
  <si>
    <t>MUD END VITOR DA SILVA SOARES PROT:2604.16431 PIX (ANDREZA) - JARDIM IPANEMA  //</t>
  </si>
  <si>
    <t xml:space="preserve">PIX </t>
  </si>
  <si>
    <t>ENDEREÇO NOVO: RUA OLGA PRESTES, 421
COMPLEMENTO: CASA ÚNICA
CEP: 38406185
BAIRRO: JARDIM IPANEMA</t>
  </si>
  <si>
    <t>COMPROVANTE DE ENDEREÇO (DMAE) EM ANEXO
NOME NO COMPROVANTE: JUVENAL CARDOSO DA SILVA (DISSE QUE É O DONO DO IMÓVEL)</t>
  </si>
  <si>
    <t>MK END &amp; NOME:
-&gt; JUVENAL CARDOSO DA SILVA (DISSE QUE É O DONO DO IMÓVEL) - CPF 704.903.251-49: CONEXÃO CANCELADA EM 11/2025 (SEM DÉBITOS / DEVOLVEU OS EQUIPAMENTOS)</t>
  </si>
  <si>
    <t xml:space="preserve">MUD END GILBERTO DE OLIVEIRA SILVA PROT:2604.12888 PIX (HALYSON) - LUIZOTE DE FREITAS   </t>
  </si>
  <si>
    <t>ENDEREÇO NOVO: RUA ALFREDO MELO DE ABREU, 119
COMPLEMENTO: FUNDOS
CEP: 38414405
BAIRRO: LUIZOTE DE FREITAS</t>
  </si>
  <si>
    <t xml:space="preserve">COMPROVANTE DE ENDEREÇO (CEMIG) EM ANEXO
NOME NO COMPROVANTE: ESTER CRISTINA SILVA PARREIRA (ANTIGO MORADOR)	</t>
  </si>
  <si>
    <t xml:space="preserve">MK END
- ELISANGELA SEVERINO SANTOS SILVA : CONEXÃO CANCELADA COM DÉBITOS EM ABERTO:
 *MENSALIDADE 05/05/2022        R$  99,90
 *MENSALIDADE 05/06/2022        R$  99,90
 *MENSALIDADE 05/07/2022        R$  99,90
 *MULTA CONTRATUAL              R$ 880,00
 *NÃO DEVOLUÇÃO DE EQUIPAMENTOS R$ 830,00
TOTAL                         R$ 2.009,70
- JORGE CESAR TAVARES SIQUEIRA: PROCESSO DE ADESÃO CANCELADO 26/08/2020 
MK NOMES
- GILBERTO DE OLIVEIRA SILVA (ASSINANTE): POSSUI CONEXÃO ATIVA E ADIMPLENTE
- ESTER CRISTINA SILVA PARREIRA (ANTIGO INQUILINO): N/C			
</t>
  </si>
  <si>
    <t>ENDEREÇO NOVO: RUA CLEMENTE PEREIRA, 1240
COMPLEMENTO: APTO 104
CEP: 38408644
BAIRRO: PAMPULHA</t>
  </si>
  <si>
    <t>PLANO ATUAL: 150 MEGA/59,90 CONTRATADO EM 12/2024 COM FIDELIDADE DE 12 MESES. ROTEADOR: ONT TP-LINK XC220
PLANO OFERTADO: 150 MEGA/59,90. BENEFÍCIOS: ACESSO GRATUITO AO APP MZTV (CDNTV+)
ACESSO LIBERADO PARA SMARTPHONE OU TV SMART QUE POSSUA COMPATIBILIDADE.</t>
  </si>
  <si>
    <t>COMPROVANTE DE ENDEREÇO (CONTRATO DE LOCAÇÃO) EM ANEXO
NOME NO COMPROVANTE: MICHELE FELICIDADE (ASSINANTE)</t>
  </si>
  <si>
    <t>MK END: N/C
MK NOMES:
MARIA ABADIA VAZ CAIXETA, CPF nº 004.166.016-18 (LOCADORA) N/C
MICHELE FELICIDADE, CPF nº 108.655.096-03 (LOCATÁRIA)
ASSINANTE, CONEXÃO ATIVA E ADIMPLENTE COM A EMPRESA
MARIA GERALDA RIBEIRO DA SILVA FELICIDADE, CPF nº 063.131.136-08 (FIADORA) N/C</t>
  </si>
  <si>
    <t xml:space="preserve">MUD END JAQUELINE SALUSTIANO DA COSTA PROT:2604.8074 DINHEIRO (PEDRO) - RESIDENCIAL LAGO AZUL **CONDOMÍNIO DE CASAS** </t>
  </si>
  <si>
    <t xml:space="preserve">DINHEIRO </t>
  </si>
  <si>
    <t>ENDEREÇO NOVO: RUA ADJAR FRANÇA, 230
COMPLEMENTO: RESIDENCIAL PORTAL DO LAGO, CASA 37
CEP: 38421646
BAIRRO: RESIDENCIAL LAGO AZUL</t>
  </si>
  <si>
    <t xml:space="preserve">COMPROVANTE DE ENDEREÇO (CONTRATO DE COMPRA E VENDA) EM ANEXO
NOME NO COMPROVANTE: JAQUELINE SALUSTIANO DA COSTA (ASSINANTE)
</t>
  </si>
  <si>
    <t>MK END: PATRYCK LUAN FERREIRA SALES GIARETTA (PATRICIA/ MADRINHA) // CASA 25 - ESTÁ EM PROCESSO DE CONTRATAÇÃO CONOSCO (04/2026)
MK NOME: JBK CONSTRUÇÕES E EMPREENDIMENTOS LTDA (PROMITENTE VENDEDORA) - N/C
JAQUELINE SALUSTIANO DA COSTA ( TITULAR / PROMITENTE COMPRADORA) - POSSUI CONEXÃO CONOSCO DESDE 05/2023, ATIVA E ADIMPLENTE.
JOAO KENNEDY CAMPELO BARROS (SÓCIO DA JBK CONSTRUÇÕES E EMPREENDIMENTOS LTDA) - N/C 
WILLIAM BANDEIRA BATISTA (REPRESENTANTE DA CAIXA ECONÔMICA FEDERAL) - N/C
LUIZ SALUSTIANO DA COSTA (PAI DA TITULAR) - N/C
MARIA DE FATIMA DA COSTA (MÃE DA TITULAR)- N/C</t>
  </si>
  <si>
    <t>ENDEREÇO NOVO: RUA TUFI MAMERI, 236
COMPLEMENTO: CASA FUNDO
CEP: 38401034
BAIRRO: PRESIDENTE ROOSEVELT</t>
  </si>
  <si>
    <t>DANIELA (FILHA)</t>
  </si>
  <si>
    <t>34 99900-8536</t>
  </si>
  <si>
    <t>COMPROVANTE DE ENDEREÇO (CEMIG) EM ANEXO.
NOME NO COMPROVANTE:  WOLNEY FATIMA DA SILVA (DISSE SER O DONO DA CASA)</t>
  </si>
  <si>
    <t>MK END: N/C
MK NOME: WOLNEY FATIMA DA SILVA (DISSE SER O DONO DA CASA)  - N/C
DULCINEIA CLEDINA AMARAL DE MOURA (TITULAR) - POSSUI DOIS CADASTROS CONOSCO, UM PRÓPRIO DESDE 05/2025 E ESTE PARA A SUA FILHA DESDE 12/2025, ATIVO E ADIMPLENTE.
DANIELA AMARAL DE MOURA (FILHA) - N/C</t>
  </si>
  <si>
    <t xml:space="preserve">MUD END + ALT PLANO TULIO DE OLIVEIRA RESENDE PROT:2604.6473 ISENTO (BRUNA) - CIDADE JARDIM  //  </t>
  </si>
  <si>
    <t xml:space="preserve">ISENTO </t>
  </si>
  <si>
    <t>ENDEREÇO NOVO: ALAMEDA SERRA DOURADA, 50
COMPLEMENTO: CASA ÚNICA
CEP: 38412154
BAIRRO: CIDADE JARDIM</t>
  </si>
  <si>
    <t>PLANO ATUAL: 600 MEGA/79,90 CONTRATADO EM 06/25 COM FIDELIDADE DE 12 MESES. ROTEADOR: ONT TP-LINK XC230
PLANO OFERTADO: 600 MEGA/79,90. BENEFÍCIOS: ACESSO GRATUITO AO APP MZTV (CDNTV+)
ACESSO LIBERADO PARA SMARTPHONE OU TV SMART QUE POSSUA COMPATIBILIDADE.</t>
  </si>
  <si>
    <t>COMPROVANTE DE ENDEREÇO (DMAE) EM ANEXO
NOME NO COMPROVANTE: RAFAEL APARECIDO PACHECO (DIZ SER EX INQUILINO)</t>
  </si>
  <si>
    <t>MK END: N/C
MK NOMES:
RAFAEL APARECIDO PACHECO (EX INQUILINO): N/C
OBS:. EM ANÁLISE AO COMPROVANTE DE ENDEREÇO, CONSTA O NOME “RAFAEL APARECIDO PACHECO DOS”, PORÉM INCOMPLETO. FOI REALIZADA CONSULTA EM SISTEMA CONSIDERANDO AS VARIAÇÕES “RAFAEL APARECIDO PACHECO DOS SANTOS” E “RAFAEL APARECIDO PACHECO”, NÃO SENDO LOCALIZADOS REGISTROS CORRESPONDENTES.</t>
  </si>
  <si>
    <t xml:space="preserve">CARTAO </t>
  </si>
  <si>
    <t>ENDEREÇO NOVO: RUA IZÍDIO ANTÔNIO DA SILVA, 157
COMPLEMENTO: CASA 3 
CEP: 38401132
BAIRRO: PRESIDENTE ROOSEVELT</t>
  </si>
  <si>
    <t xml:space="preserve">COMPROVANTE DE ENDEREÇO (CONTRATO DE LOCAÇÃO) EM ANEXO
NOME NO COMPROVANTE: BARBARA APARECIDA GONCALVES RAMOS (ASSINANTE)
</t>
  </si>
  <si>
    <t>MUD END + ALT PLANO RAPHAELA FREITAS E SILVA PROT:2604.13838 PIX (ANDREZA) - NOSSA SENHORA APARECIDA **PRÉDIO SEM PRUMADA** // **(POSSUI WI-FI EXTEND)** // *RECOLHER 2 EXTEND*</t>
  </si>
  <si>
    <t>ENDEREÇO NOVO: AVENIDA MATO GROSSO, 1350
COMPLEMENTO: APTO 102
CEP: 38400724
BAIRRO: NOSSA SENHORA APARECIDA</t>
  </si>
  <si>
    <t>.&lt;b&gt;ONU = DATA // CONECTOR = VERDE.&lt;/b&gt;</t>
  </si>
  <si>
    <t>PLANO ATUAL: 600 MEGA + WI-FI EXTEND (2 ROTEADORES ADICIONAIS)/144,90 CONTRATADO EM 08/2025 COM FIDELIDADE DE 12 MESES. ROTEADOR: ZTE H199-A + ZTE H199-A +  ZTE H199-A
PLANO SOLICITADO: 600 MEGA/79,90. BENEFÍCIOS: ACESSO GRATUITO AO APP MZTV (CDNTV+)</t>
  </si>
  <si>
    <t>COMPROVANTE DE ENDEREÇO (CONTRATO DE LOCAÇÃO) EM ANEXO
NOME NO COMPROVANTE:  LUIZ GUSTAVO VIEIRA ALMEIDA (ESPOSO DA ASSINANTE)</t>
  </si>
  <si>
    <t xml:space="preserve">MK END: N/C
______________________________________________________________
MK NOMES:
-&gt; ZULMIRA NAVES ESTEVES (LOCADORA) - CPF 574.379.201-15: N/C
-&gt; IVAN NEGÓCIOS IMOBILIÁRIOS LTDA (ADMINISTRADORA/PROCURADORA) - CNPJ 20.869.012/0001-64: N/C
-&gt; IVAN GRACIANO DA COSTA FILHO (SÓCIO GERENTE) - CPF 040.246.836-83: N/C
-&gt; RICARDO GRACIANO DA COSTA (SÓCIO GERENTE) - CPF 042.613.186-01: N/C
-&gt; VICENTE PAULO FERREIRA (PROCURADOR) - CPF 435.173.826-04: N/C
-&gt; JOYCE APARECIDA DIAS (PROCURADORA) - CPF 058.367.476-36: N/C
-&gt; TAIZ LAMARA BALESTERE TEIXEIRA ALVES (PROCURADORA) - CPF 320.333.798-33: N/C
-&gt; LUIZ GUSTAVO VIEIRA ALMEIDA (LOCATÁRIO/ESPOSO DA ASSINANTE) - CPF 106.642.796-86: N/C
-&gt; RAPHAELA FREITAS E SILVA (LOCATÁRIA) - CPF 126.142.606-14: ASSINANTE DA CONEXÃO.
-&gt; NADIR LUIZ DE ALMEIDA (FIADOR/SOGRO DA ASSINANTE) - CPF 683.814.256-20: CONEXÃO CANCELADA EM 12/2022 (SEM DÉBITOS / DEVOLVEU OS EQUIPAMENTOS.)
-&gt; CLEONICE DE DEUS VIEIRA ALMEIDA (CONJUGUE DO FIADOR/SOGRA DA ASSINANTE) - CPF 001.058.516-80: N/C
</t>
  </si>
  <si>
    <t>MUD END + ALT PLANO HERICK JOSE RODRIGUES CHAVEIRO PROT:2604.16272  ISENTO (JHONATAN) - PAMPULHA  //  *FATURA EM ABERTO*</t>
  </si>
  <si>
    <t>ENDEREÇO NOVO: RUA BARÃO DE OURO PRETO, 100
COMPLEMENTO: CASA UNICA
CEP: 38408642
BAIRRO: PAMPULHA</t>
  </si>
  <si>
    <t xml:space="preserve">PLANO ATUAL: 150 MEGA/59,90 CONTRATADO EM 05/2025 COM FIDELIDADE DE 12 MESES. ROTEADOR: ONT TP-LINK XC220
PLANO OFERTADO: 150 MEGA/59,90. BENEFÍCIOS: ACESSO GRATUITO AO APP MZTV (CDNTV+)
</t>
  </si>
  <si>
    <t>COMPROVANTE DE ENDEREÇO (CEMIG) EM ANEXO
NOME NO COMPROVANTE: HUMBERTO RODRIGUES DE OLIVEIRA FILHO  (PROPRIETÁRIO DO IMOVÉL)</t>
  </si>
  <si>
    <t xml:space="preserve">MK END
N/C
MK NOME
-&gt; HUMBERTO RODRIGUES DE OLIVEIRA FILHO (PROPRIÉTARIO): N/C </t>
  </si>
  <si>
    <t>MUD END ROBSON PEREIRA BRANDAO PROT:2604.15736 PIX (JHONATAN) - SHOPPING PARK   *PODE ANTECIPAR*</t>
  </si>
  <si>
    <t>pix</t>
  </si>
  <si>
    <t>ENDEREÇO NOVO: AVENIDA BOULANGER FONSECA, 570
COMPLEMENTO: COMERCIO
CEP: 38425597
BAIRRO: SHOPPING PARK</t>
  </si>
  <si>
    <t>COMPROVANTE DE ENDEREÇO (CONTRATO DE LOCAÇÃO) EM ANEXO
NOME NO COMPROVANTE: ROBSON PEREIRA BRANDÃO (ASSINANTE)</t>
  </si>
  <si>
    <t xml:space="preserve">MK END:
-&gt; N/C
MK NOME:
-&gt; ROBSON PEREIRA BRANDÃO (LOCATÁRIO): ASSINANTE DA CONEXÃO 
-&gt; NILSON NEILSON DE LUCENA (LOCADOR): N/C </t>
  </si>
  <si>
    <t>MUD END FABRICIO DA SILVA FELIX PROT:2604.9674 (JHONATAN) GUARANI</t>
  </si>
  <si>
    <t>LARA SABRINA LUCENA DA SILVA FELIX (FILHA)</t>
  </si>
  <si>
    <t xml:space="preserve">MK END:
→ SIMONE SOMMERFELD (CASA DOS PAIS): CONEXÃO CANCELADA EM 04/04/2023 - SEM DÉBITOS - EQUIPAMENTOS DEVOLVIDO 
MK NOME:
→ JAKELYNE RODRIGUES DA SILVA (DISSE QUE É A ANTIGA INQUILINA): N/C
→ LARA SABRINA LUCENA DA SILVA FELIX (FILHA): N/C </t>
  </si>
  <si>
    <t xml:space="preserve">MUD END + ALT PLANO REJANE PIMENTEL ALVES PROT:2604.19007 ISENTO (ANDREZA) - TAIAMAN  //  </t>
  </si>
  <si>
    <t>ENDEREÇO NOVO: RUA ONAZIRA MENDES DE OLIVEIRA, 91
COMPLEMENTO: CASA ÚNICA
CEP: 38415077
BAIRRO: TAIAMAN</t>
  </si>
  <si>
    <t xml:space="preserve"> &lt;b&gt;ONT = ONT TP LINK 220 // CONECTOR = VERDE.&lt;/b&gt;</t>
  </si>
  <si>
    <t>PLANO ATUAL: 600 MEGA/79,90 CONTRATADO EM 04/2025 COM FIDELIDADE DE 12 MESES. ROTEADOR: ONT TP-LINK XC220
PLANO OFERTADO: 600 MEGA/79,90. BENEFÍCIOS: ACESSO GRATUITO AO APP MZTV (CDNTV+)</t>
  </si>
  <si>
    <t>COMPROVANTE DE ENDEREÇO (CEMIG) EM ANEXO
NOME NO COMPROVANTE: REJANE PIMENTEL ALVES (ASSINANTE)</t>
  </si>
  <si>
    <t>MK END: N/C
_______________________________________________________________
MK NOMES:
-&gt; REJANE PIMENTEL ALVES - CPF 067.055.906-70: ASSINANTE DA CONEXÃO.</t>
  </si>
  <si>
    <t>MUD END + ALT PLANO JULIANA CRISTINA DE AQUINO (MARCOS/FILHO) PROT:2604.19117 ISENTO (GABRIEL M.) - CHÁCARAS TUBALINA E QUARTEL **PRÉDIO COM PRUMADA** //  *TROCA DE EQUIPAMENTO*</t>
  </si>
  <si>
    <t>ENDEREÇO NOVO: RUA DIMAS MACHADO, 164
COMPLEMENTO: BL.04, APT. 807
CEP: 38413291
BAIRRO: CHÁCARAS TUBALINA E QUARTEL</t>
  </si>
  <si>
    <t>PLANO ATUAL: 1000 MEGA/99,90 CONTRATADO EM 01/2025 COM FIDELIDADE DE 12 MESES. ROTEADOR: ONT TP-LINK XC220
PLANO OFERTADO: 1 GIGA (1.000 MEGA) R$99,90. BENEFÍCIOS: ACESSO GRATUITO AO APP MZTV (CDNTV+) + VOD</t>
  </si>
  <si>
    <t>COMPROVANTE DE ENDEREÇO (CONTRATO DE HABITAÇÃO) EM ANEXO
NOME NO COMPROVANTE: JULIANA CRISTINA DE AQUINO (ASSINANTE)</t>
  </si>
  <si>
    <t>MK END: N/C
MK NOMES: 
PATRICIA ALVES BORGES (REP. CAIXA ECONOMICA): N/C</t>
  </si>
  <si>
    <t xml:space="preserve">MUD END FLAVIA MACHADO DANGELO PROT: 2604.8365 PIX (JHONATAN) - DANIEL FONSECA
</t>
  </si>
  <si>
    <t>ENDEREÇO NOVO: RUA TOMAZINHO REZENDE, 513
COMPLEMENTO: CASA 2
CEP: 38400326
BAIRRO: DANIEL FONSECA</t>
  </si>
  <si>
    <t xml:space="preserve"> MARIA ABADIA MACHADO DANGELO (MÃE)</t>
  </si>
  <si>
    <t>34 98878-4128</t>
  </si>
  <si>
    <t>COMPROVANTE DE ENDEREÇO (CEMIG) EM ANEXO
NOME NO COMPROVANTE: DULCE DE SOUZA VIEIRA  (DISSE QUE É A PROPRIETARIA DO IMOVÉL)</t>
  </si>
  <si>
    <t>MK END:
N/C
MK NOME:
-&gt; DULCE DE SOUZA VIEIRA (PROPRIETÁRIA): N/C -&gt; MARIA ABADIA MACHADO DANGELO (MÃE DA ASSINANTE): N/C</t>
  </si>
  <si>
    <t xml:space="preserve">MUD END MIKAELY SOUSA LIMA PROT:. 2604.19026 PIX (LAUREN) - TOCANTINS </t>
  </si>
  <si>
    <t>ENDEREÇO NOVO: RUA IZAIAS GABRIEL DOS SANTOS, 119
COMPLEMENTO: CASA 02
CEP: 38415306
BAIRRO: TOCANTINS</t>
  </si>
  <si>
    <t>COMPROVANTE DE ENDEREÇO (CEMIG) EM ANEXO
NOME NO COMPROVANTE: MAYCON NICOLAS OLIVEIRA SILVA (DIZ SER LOCADOR)</t>
  </si>
  <si>
    <t>MK END - N/C
MK NOMES -
MAYCON NICOLAS OLIVEIRA SILVA (DIZ SER LOCADOR) - CANCELADO CLIENTE
GEOVANNY SOUSA LIMA (DIZ SER IRMÃO DE MIKAELY) – PROCESSO ADESÃO CANCELADO CLIENTE</t>
  </si>
  <si>
    <t xml:space="preserve">MUD END + ALT PLANO PAULO SOUSA DE LEVA PROT:2604.17372 ISENTO (BRUNA) - JARDIM BRASÍLIA  //  *PEND VALIDAÇÃO COM TITULAR E ASSINATURA* </t>
  </si>
  <si>
    <t>3499177-1883</t>
  </si>
  <si>
    <t>ENDEREÇO NOVO: RUA NETUNO, 589
COMPLEMENTO: CASA ÚNICA
CEP: 38401424
BAIRRO: JARDIM BRASÍLIA</t>
  </si>
  <si>
    <t>PLANO ATUAL: 150 MEGA/59,90 CONTRATADO EM 10/24 COM FIDELIDADE DE 12 MESES. ROTEADOR: ONT TP-LINK XC220
PLANO OFERTADO: 150 MEGA/59,90. BENEFÍCIOS: ACESSO GRATUITO AO APP MZTV (CDNTV+)
ACESSO LIBERADO PARA SMARTPHONE OU TV SMART QUE POSSUA COMPATIBILIDADE.</t>
  </si>
  <si>
    <t xml:space="preserve">VINÍCIUS AUGUSTO DE PÁDUA RIBEIRO (CUNHADO) </t>
  </si>
  <si>
    <t>COMPROVANTE DE ENDEREÇO (DMAE) EM ANEXO
NOME NO COMPROVANTE:  LEOMAR FERNANDES DE LEVA (DIZ SER PROPRIETARIO DO IMOVEL)</t>
  </si>
  <si>
    <t>MK END: N/C
MK NOMES: 
LEOMAR FERNANDES DE LEVA (PROPRIETARIO): N/C
VINÍCIUS AUGUSTO DE PÁDUA RIBEIRO (CUNHADO DE PAULO): N/C
&gt; VINICIUS INFORMOU QUE LEOMAR, ALÉM DE SER O PROPRIETARIO DO IMOVEL É SEU SOGRO.</t>
  </si>
  <si>
    <t xml:space="preserve">MUD END + ALT PLANO DIEGO MORAIS DE PAULO PROT:2604.19655 ISENTO (JHONATAN) - LOTEAMENTO RESIDENCIAL PEQUIS  // 
</t>
  </si>
  <si>
    <t>ENDEREÇO NOVO: RUA DA JAGUATIRICA, 1091
COMPLEMENTO: CASA UNICA
CEP: 38421166
BAIRRO: LOTEAMENTO RESIDENCIAL PEQUIS</t>
  </si>
  <si>
    <t>PLANO ATUAL: 1000 MEGA/99,90 CONTRATADO EM 08/2024 COM FIDELIDADE DE 12 MESES. ROTEADOR: ONT TP-LINK XC230
PLANO OFERTADO: 1 GIGA (1.000 MEGA) R$99,90. BENEFÍCIOS: ACESSO GRATUITO AO APP MZTV (CDNTV+) + VOD</t>
  </si>
  <si>
    <t>ANA (ESPOSA)</t>
  </si>
  <si>
    <t>COMPROVANTE DE ENDEREÇO (CEMIG) EM ANEXO
NOME NO COMPROVANTE: ARETUSA FELICIO NAVES (DISSE QUE É A PROPRIETÁRIA DO IMOVÉL)</t>
  </si>
  <si>
    <t>MK END:
N/C
MK NOME 
→ ANA CLAUDIA SANTOS SILVA (ESPOSA): N/C
→ ARETUSA FELICIO NAVES (PROPRIETARIA DO IMOVÉL): N/C</t>
  </si>
  <si>
    <t xml:space="preserve">RESERVA RONALD / MUD END / VITORIA TOSTA OLIVEIRA DE ANDRADE RODRIG (STUDIO)
</t>
  </si>
  <si>
    <t>RETIRADA DA AGENDA, SOLICITOU O CANCELAMENTO DA CONEXÃO.</t>
  </si>
  <si>
    <t>ENDEREÇO NOVO: RUA ALFA, 105
COMPLEMENTO: APTO 203
CEP: 38408480
BAIRRO: SARAIVA</t>
  </si>
  <si>
    <t xml:space="preserve">MUD END REJANE DE LIMA JESUS PROT:2604.2815 PIX (PEDRO) - SANTA ROSA   </t>
  </si>
  <si>
    <t>PENDENTE MENSALIDADE
DEMAIS CONFERENCIAS OK 
REMOVIDO DA AGENDA</t>
  </si>
  <si>
    <t xml:space="preserve">MUD END CARLOS EDUARDO DA SILVA COELHO PROT:2604.18270 PIX (ANDREZA) - JARDIM DAS PALMEIRAS   </t>
  </si>
  <si>
    <t>ENDEREÇO NOVO: RUA DOS COLIBRIS, 606
COMPLEMENTO: CASA FUNDO
CEP: 38412215
BAIRRO: JARDIM DAS PALMEIRAS</t>
  </si>
  <si>
    <t>COMPROVANTE DE ENDEREÇO (CONTRATO DE LOCAÇÃO) EM ANEXO
NOME NO COMPROVANTE: MARIA DE FATIMA MORAIS DA SILVA (MAE DO ASSINANTE)</t>
  </si>
  <si>
    <t>MK NOMES: 
GERALDO DE OLIVEIRA JACINTHO (LOCADOR) N/C
MARIA DE FATIMA MORAIS DA SILVA (LOCATARIA E MÃE DO ASSINANTE) N/C
MK END: N/C</t>
  </si>
  <si>
    <t>MUD END + ALT DE PLANO ROSIRENE FERREIRA DE SOUZA PROT (VICTOR) MARTINS</t>
  </si>
  <si>
    <t>ENDEREÇO NOVO: RUA ALDO DE SOUZA, 431
COMPLEMENTO: CASA UNICA
CEP: 38400478
BAIRRO: HIGINO GUERRA</t>
  </si>
  <si>
    <t>PLANO ATUAL: 1000 MEGA/99,90 CONTRATADO EM 06/2022 COM FIDELIDADE DE 12 MESES. ROTEADOR: ONT TP-LINK X530
PLANO OFERTADO: 1 GIGA (1.000 MEGA) R$99,90. BENEFÍCIOS: ACESSO GRATUITO AO APP MZTV (CDNTV+) + VOD</t>
  </si>
  <si>
    <t>LORRANE SOUZA DA SILVA (CUNHADA) OU REINALDO MUIRIM DE SOUZA FILHO (IRMAO)</t>
  </si>
  <si>
    <t>-34992025833 | 34992047899</t>
  </si>
  <si>
    <t>COMPROVANTE DE ENDEREÇO (CEMIG) EM ANEXO
NOME NO COMPROVANTE: CHAUANA LORRANE SOUZA DA SILVA (DISSE SER SUA CUNHADA)</t>
  </si>
  <si>
    <t>MK END: N/C
MK NOME: 
CHAUANA LORRANE SOUZA DA SILVA (CUNHADA) N/C
REINALDO MUIRIM DE SOUZA FILHO (IRMAO) N/C</t>
  </si>
  <si>
    <t>MUD END WALESKA DE ARAUJO SOARES PROT:2604.18553 CARTAO (PEDRO) - TOCANTINS   *PODE ANTECIPAR*</t>
  </si>
  <si>
    <t>ENDEREÇO NOVO: RUA FRANCINO VIEIRA DE BARROS, 128
COMPLEMENTO: CASA 1 (PORTÃO GRANDE)
CEP: 38415315
BAIRRO: TOCANTINS</t>
  </si>
  <si>
    <t>COMPROVANTE DE ENDEREÇO (CEMIG) EM ANEXO
NOME NO COMPROVANTE: VINICIUS DO SANTOS SANTANA (DISSE SER O ANTIGO MORADOR)</t>
  </si>
  <si>
    <t>MK END: N/C
MK NOME: VINICIUS DO SANTOS SANTANA (DISSE SER O ANTIGO MORADOR) - N/C
WALESKA DE ARAUJO SOARES (TITULAR) - POSSUI CADASTRO CONOSCO DESDE 08/2025, ATIVA E ADIMPLENTE.</t>
  </si>
  <si>
    <t>VALIDAÇÃO OK - APENAS DIRECIONAR A MARCELLA</t>
  </si>
  <si>
    <t>ENDEREÇO NOVO: RUA ANGELINO PAVAN, 157
COMPLEMENTO: CASA 2 (FRENTE)
CEP: 38401158
BAIRRO: PRESIDENTE ROOSEVELT</t>
  </si>
  <si>
    <t>ADRIANA RIBEIRO ALMEIDA DA SILVA (ESPOSA)</t>
  </si>
  <si>
    <t>3498879-1492</t>
  </si>
  <si>
    <t>COMPROVANTE DE ENDEREÇO (CONTRATO DE LOCAÇÃO) EM ANEXO
NOME NO COMPROVANTE: VALDINEI FERNANDES RIBEIRO DE ALMEIDA (ASSINANTE)</t>
  </si>
  <si>
    <t>MK END:
LUIZA CAROLINA CALIXTO DA SILVA: FEZ A SOLICITAÇÃO DE INSTALAÇÃO, PORÉM, A FICHA FOI REPROVADA, POIS, A MESMA NÃO ENCAMINHOU O CONTRATO DE LOCAÇÃO.
VANDERSON TEIXEIRA DE SOUZA BRAGA: CLIENTE POSSUIA COEXÃO ATIVA, PORÉM, DEVIDO AS PENDENCIAS FINANCEIRAS E FALTA DE INTERAÇÃO DO MESMO O CONTRATO FOI BAIXADO.
CATIA INACIA DE LIMA: FICHA REPROVADA DEVIDO AO SCORE BAIXO.
MK NOMES:
VALDINEI FERNANDES RIBEIRO DE ALMEIDA (LOCATÁRIO/ASSINANTE): CONEXÃO ATIVA E SEM PENDENCIAS.
RUTE BASILIO DE OLIVEIRA (LOCADOR(A): N/C
DEKA MOTTA NEGÓCIOS IMOBILIÁRIOS (INTERMEDIADORA): N/C
ROMUALDO PINHEIRO DA MOTA (REPRESENTANTE DA INTERMEDIADORA) : N/C
ADRIANA RIBEIRO ALMEIDA DA SILVA (ESPOSA DE VALDINEI): N/C</t>
  </si>
  <si>
    <t>MUD END LISMAR DOS SANTOS PROT: PIX (RAMONY) - JD PALMEIRAS</t>
  </si>
  <si>
    <t>ENDEREÇO NOVO: AVENIDA PAULO FIRMINO, 100
COMPLEMENTO: CASA FUNDOS
CEP: 38412322
BAIRRO: JARDIM HOLANDA</t>
  </si>
  <si>
    <t>COMPROVANTE DE ENDEREÇO (CEMIG) EM ANEXO
NOME NO COMPROVANTE: DJANGO CANDIDO GONÇALVES (PROPRIETÁRIO DO IMOVEL)</t>
  </si>
  <si>
    <t>MK END: N/C
MK NOME: N/C
DJANGO CANDIDO GONÇALVES (PROPRIETÁRIO DO IMOVEL)</t>
  </si>
  <si>
    <t>ENDEREÇO NOVO: RUA ANTÔNIO FORTUNATO DA SILVA, 187
COMPLEMENTO: APTO 101
CEP: 38408210
BAIRRO: SANTA MÔNICA</t>
  </si>
  <si>
    <t>CHRISTIANE PEREIRA DA PRATA GONTIJO (ESPOSA)</t>
  </si>
  <si>
    <t>COMPROVANTE DE ENDEREÇO (CONTRATO DE LOCAÇÃO) EM ANEXO.
NOME NO COMPROVANTE:  ROSIVAL BORGES GONTIJO (ASSINANTE)</t>
  </si>
  <si>
    <t>ENDEREÇO NOVO: RUA DA SECRETÁRIA, 426
COMPLEMENTO: CASA 1 (FUNDO)
CEP: 38413150
BAIRRO: PLANALTO</t>
  </si>
  <si>
    <t>COMPROVANTE DE ENDEREÇO (CEMIG) EM ANEXO
NOME NO COMPROVANTE: VALDEMAR LOPES NERY (ASSINANTE)</t>
  </si>
  <si>
    <t>MK END: MARIA JOSE GOMES CARDOSO DA SILVA (LORENA GOMES CENTRO ESTETICO) - POSSUIA CONEXÃO CONOSCO DESDE 01/2023, MAS CANCELOU EM 02/2026 POIS TROCOU DE OPERADORA. CLIENTE DEVOLVOU OS EQUIPAMENTOS, MAS AINDA SEGUE COM DÉBITOS EM ABERTO.
DECIMAR JOSE DE SOUZA FILHO (COMPLEMENTO: CS 2) - SOLICITOU INSTALAÇÃO EM 01/2022 E 02/2024, MAS AMBAS FORAM NEGADAS PARA A INSTALAÇÃO GRATUITA  SOMENTE COM A INSTALAÇÃO PAGA, MAS O CLIENTE NÃO QUIS SEGUIR.
MK NOME: VALDEMAR LOPES NERY (TITULAR) - POSSUI CONEXÃO CONOSCO DESDE 01/2026, ATIVA E ADIMPLENTE.</t>
  </si>
  <si>
    <t xml:space="preserve">MUD END IVANILSON BENICIO BRANDAO PROT:2604.19350 PIX (HALYSON) - GUARANI  </t>
  </si>
  <si>
    <t>ENDEREÇO NOVO: RUA SERENATAS, 536
COMPLEMENTO: CASA
CEP: 38415420
BAIRRO: GUARANI</t>
  </si>
  <si>
    <t>ALDENOURA (ESPOSA  DE IVANILSON)</t>
  </si>
  <si>
    <t>COMPROVANTE DE ENDEREÇO (DMAE) EM ANEXO.
NOME NO COMPROVANTE:  MARIA SANTOS CARNEIRO BARBA (PROPRIETARIA DO IMOVEL)</t>
  </si>
  <si>
    <t>MK END: N/C
MK NOMES
- MARIA SANTOS CARNEIRO BARBA (PROPRIETARIA DO IMOVEL): N/C
- IVANILSON BENICIO BRANDAO (ASSINANTE): POSSUI 2 CONEXÕES ATIVAS
 * IVANILSON BENICIO BRANDAO: CONEXÃO ATIVA E ADIMPLENTE
 * IVANILSON BENICIO BRANDAO (AUTO MECANICA NILCAR): ATIVA COM FATURA 15/04/2026 EM ABERTO NO VALOR DE R$ 79,90.
- ALDENORA RODRIGUES BRANDAO (ESPOSA DO ASSINANTE): N/C</t>
  </si>
  <si>
    <t>ENDEREÇO NOVO: RUA DO JARDINEIRO, 72
COMPLEMENTO: CASA FRENTE
CEP: 38413219
BAIRRO: PLANALTO</t>
  </si>
  <si>
    <t>COMPROVANTE DE ENDEREÇO (CEMIG) EM ANEXO
NOME NO COMPROVANTE: FLAVIO HENRIQUE DA SILVA (ANTIGO MORADOR )</t>
  </si>
  <si>
    <t>MK END 
N/C
MK NOME 
→ FLAVIO HENRIQUE DA SILVA (ANTIGO MORADOR): N/C</t>
  </si>
  <si>
    <t xml:space="preserve">MUD END PEDRO HENRIQUE DE FAVERI ALVES PROT:2604.18788 PIX (VICTOR H.) - LAGOINHA   </t>
  </si>
  <si>
    <t>ENDEREÇO NOVO: RUA PIO XII, 32
COMPLEMENTO: CASA FUNDO
CEP: 38408484
BAIRRO: LAGOINHA</t>
  </si>
  <si>
    <t>COMPROVANTE DE ENDEREÇO (CEMIG) EM ANEXO
NOME NO COMPROVANTE: MARCIA APARECIDA DE FAVERI (MÃE DE PEDRO)</t>
  </si>
  <si>
    <t>MK END: N/C 
MK NOMES : MARCIA APARECIDA DE FAVERI (MÃE DE PEDRO)
RESIDE NO MESMO ENDEREÇO (CASA FRENTE) 
CONTRATOU EM 08/2025 , CONEXÃO ATIVA E ADIMPLENTE</t>
  </si>
  <si>
    <t>PENDENTE COMPROVANTE DE RESIDENCIA
REMOVIDO DA AGENDA</t>
  </si>
  <si>
    <t>ENDEREÇO NOVO: RUA TAPUIOS, 1334
COMPLEMENTO: CASA FRENTE
CEP: 38408416
BAIRRO: SARAIVA</t>
  </si>
  <si>
    <t xml:space="preserve">MUD END JOSÉ AUGUSTO BARBOSA NETO PROT:2604.19693 PIX (JOSÉ Jr) - PLANALTO   </t>
  </si>
  <si>
    <t>ENDEREÇO NOVO: RUA DO MECÂNICO, 883
COMPLEMENTO: CASA UNICA
CEP: 38413162
BAIRRO: PLANALTO</t>
  </si>
  <si>
    <t>COMPROVANTE DE ENDEREÇO (CEMIG) EM ANEXO
NOME NO COMPROVANTE: CLEIDE MARGARIDA COUTINHO (ESPOSA)</t>
  </si>
  <si>
    <t>MK END:N/C
MK NOMES:
   CLEIDE MARGARIDA COUTINHO CPF:075.6**.***-** (CLIENTE DIZ QUE É A SUA ESPOSA)N/C</t>
  </si>
  <si>
    <t>MUD END ANA FLAVIA MACHADO DANGELO PROT: 2604.8122 PIX (JHONATAN) - JARDIM EUROPA</t>
  </si>
  <si>
    <t xml:space="preserve">VALIDAÇÃO OK </t>
  </si>
  <si>
    <t>ENDEREÇO NOVO: RUA REGINALDO FRANCISCO ALVES, 71
COMPLEMENTO: CASA FUNDO
CEP: 38414636
BAIRRO: JARDIM EUROPA</t>
  </si>
  <si>
    <t>PEDRO CUNHA DA SILVA  (ESPOSO)</t>
  </si>
  <si>
    <t>34 991226956</t>
  </si>
  <si>
    <t>COMPROVANTE DE ENDEREÇO (CEMIG) EM ANEXO
NOME NO COMPROVANTE:  GEANE DOS REIS CUNHA (DISSE QUE É A PROPRIETARIA DO IMOVÉL)</t>
  </si>
  <si>
    <t>MK END:
-&gt; PEDRO CUNHA DA SILVA: CONEXÃO CANCELADA POR INADIMPLÊNCIA EM 09/2024 - DÉBITO EM ABERTO R$ 898,70 - EQUIPAMENTOS NÃO DEVOLVIDOS
-&gt; BARBARA CRISTINA FERNANDES CUNHA: ESPOSA DE PEDRO CUNHA DA SILVA
-&gt; ADRIANO MEDEIROS BORGES: FICHA DE ADESÃO APROVADA EM 03/2023 - ADIMPLENTE (ESPOSO DE GEANE DOS REIS CUNHA) - CASA 1
MK NOME:
-&gt; GEANE DOS REIS CUNHA (PROPRIETÁRIA): N/C</t>
  </si>
  <si>
    <t xml:space="preserve">MUD END GUILHERME TAVARES RIGONATO PROT:2604.19675 PIX (BRUNA) - PATRIMÔNIO **PRÉDIO SEM PRUMADA ** // </t>
  </si>
  <si>
    <t>ENDEREÇO NOVO: RUA VINTE E NOVE DE OUTUBRO, 654
COMPLEMENTO: ED. SERRA AZUL AP 101
CEP: 38411068
BAIRRO: PATRIMÔNIO</t>
  </si>
  <si>
    <t>AUTORIZADO SEGUIR SEM COMPROVANTE POR LEANDRO</t>
  </si>
  <si>
    <t>MK END: N/C</t>
  </si>
  <si>
    <t xml:space="preserve">MUD END CLEDIANE LIMA BARBOSA (CESTAS E PRESENTES C&amp;M) PROT:2604.20118 PIX (RONALD) - PAMPULHA   </t>
  </si>
  <si>
    <t>ENDEREÇO NOVO: RUA BARÃO DE OURO PRETO, 867
COMPLEMENTO: COMERCIO
CEP: 38408642
BAIRRO: PAMPULHA</t>
  </si>
  <si>
    <t>COMPROVANTE DE ENDEREÇO (CEMIG) EM ANEXO
NOME NO COMPROVANTE: CLEBER RODRIGUES SOARES (PROPRIETÁRIO (LOCADOR))</t>
  </si>
  <si>
    <t>MK END;
N/C
MK NOME;
CLEDIANE LIMA BARBOSA 019.474.836-76 (ASSINANTE)
CLIENTE COM DUAS CONEXÕES ATIVA, RESIDENCIAL E EMPRESARIAL CLIENTE ADIMPLENTE EM AMBAS CONEXÕES.
CLEBER RODRIGUES SOARES 054.3**.***-** (PROPRIETÁRIO (LOCADOR))
N/C</t>
  </si>
  <si>
    <t>MUD END JOAQUIM DANIEL ROCHA BARRETO PROT:2604.20266 DINHEIRO (RONALD) - SANTA MÔNICA</t>
  </si>
  <si>
    <t>ENDEREÇO NOVO: AVENIDA DOUTOR MISAEL RODRIGUES DE CASTRO, 1051
COMPLEMENTO: APT.102
CEP: 38408184
BAIRRO: SANTA MÔNICA</t>
  </si>
  <si>
    <t>COMPROVANTE DE ENDEREÇO (CEMIG) EM ANEXO
NOME NO COMPROVANTE: IONARA ALVES DA CRUZ (NAMORADA DE JOAQUIM)</t>
  </si>
  <si>
    <t>MK END;
N/C
MK NOME;
JOAQUIM DANIEL ROCHA BARRETO 123.892.526-05 (ASSINANTE)
CONEXÃO ATIVA E ADIMPLENTE
IONARA ALVES DA CRUZ 143.1**.***-** (NAMORADA DE JOAQUIM)
N/C</t>
  </si>
  <si>
    <t xml:space="preserve">MUD END MARIA EDUARDA HILARINDO OLIVEIRA PROT:2603.16301 CARTAO (JOSÉ Jr) - MORUMBI   </t>
  </si>
  <si>
    <t>ENDEREÇO NOVO: RUA SERRARIA, 28
COMPLEMENTO: CASA UNICA
CEP: 38407300
BAIRRO: MORUMBI</t>
  </si>
  <si>
    <t>COMPROVANTE DE ENDEREÇO (CONTRATO DE LOCAÇÃO) EM ANEXO
NOME NO COMPROVANTE: JOAO LUCAS MARQUES FERREIRA (ESPOSO)</t>
  </si>
  <si>
    <t>MK END:N/C
NK NOMES:
      WANDELINO RIBEIRO CPF:211.276.896-49(LOCADOR) N/C
      JOÃO LUCAS MARQUES FERREIRA CPF:704.535.896-26 (LOCATARIO) CLIENTE DIZ QUE É SEU ESPOSO N/C</t>
  </si>
  <si>
    <t>MUD END + ALT PLANO VALDISON JOSE DAVI RAMOS PROT:2604.20386 ISENTO (RONALD) - JARDIM PATRÍCIA **PRÉDIO COM PRUMADA** //  *TROCA DE EQUIPAMENTO*</t>
  </si>
  <si>
    <t xml:space="preserve">VALIDAÇÃO OK 
COBRAR ASSINATURA </t>
  </si>
  <si>
    <t>ENDEREÇO NOVO: RUA JOÃO RODRIGUES DE CASTRO, 105
COMPLEMENTO: COND. TRILHAS DO SOL, BL.16, APT. 303
CEP: 38414122
BAIRRO: JARDIM PATRÍCIA</t>
  </si>
  <si>
    <t>PLANO ATUAL: 1000 MEGA/99,90 CONTRATADO EM 04/2022 COM FIDELIDADE DE 12 MESES. ROTEADOR: ZTE H199-A
PLANO OFERTADO: 1 GIGA (1.000 MEGA) R$99,90. BENEFÍCIOS: ACESSO GRATUITO AO APP MZTV (CDNTV+) + VOD</t>
  </si>
  <si>
    <t>COMPROVANTE DE ENDEREÇO (TAXA DE CONDOMINIO) EM ANEXO
NOME NO COMPROVANTE: GILBERTO DE OLIVEIRA SILVA (ANTIGO PROPRIETARIO)</t>
  </si>
  <si>
    <t xml:space="preserve">MK END;
N/C
MK NOME;
VALDISON JOSE DAVI RAMOS 966.310.076-15 (ASSINANTE)
CLIENTE COM CONEXÃO ATIVA E ADIMPLENTE. 
GILBERTO DE OLIVEIRA SILVA 133.228.224-51 (ANTIGO PROPRIETARIO)
CLIENTE COM CONEXÃO ATIVA EM OUTRO ENDEREÇO (R. ALFREDO MELO DE ABREU Nº119 B. LUIZOTE DE FREITAS) CLIENTE ADIMPLENTE. </t>
  </si>
  <si>
    <t>MUD END + ALT PLANO GABRIELA DA SILVA RIBEIRO (EUROPA DOCES) PROT:2604.17076 PIX (HALYSON) - JARDIM EUROPA **PRÉDIO COM PRUMADA** //  *TROCA DE EQUIPAMENTO*</t>
  </si>
  <si>
    <t xml:space="preserve">VALIDAÇÃO OK
COBRAR ASSINATURA </t>
  </si>
  <si>
    <t>(11) 99311-4245</t>
  </si>
  <si>
    <t>ENDEREÇO NOVO: RUA OLIVIA RIBEIRO DE SÁ, 1150
COMPLEMENTO: BL 1 APTO 1202
CEP: 38414625
BAIRRO: JARDIM EUROPA</t>
  </si>
  <si>
    <t>PLANO ATUAL: 150 MEGA/59,90 CONTRATADO EM 12/2025 COM FIDELIDADE DE 12 MESES. ROTEADOR: TP LINK C-5
PLANO SOLICITADO: 600 MEGA/79,90. BENEFÍCIOS: ACESSO GRATUITO AO APP MZTV (CDNTV+)</t>
  </si>
  <si>
    <t>COMPROVANTE DE ENDEREÇO (CEMIG) EM ANEXO
NOME NO COMPROVANTE:  DANIEL JUNIOR DE OLIVEIRA SILVA (ESPOSO DA ASSINANTE)</t>
  </si>
  <si>
    <t>MK END: N/C
MK NOMES:
- GABRIELA DA SILVA RIBEIRO (EUROPA DOCES): POSSUI CONEXÃO ATIVA E ADIMPLENTE
- DANIEL JUNIOR DE OLIVEIRA SILVA (ESPOSO DA ASSINANTE): N/C</t>
  </si>
  <si>
    <t xml:space="preserve">
VALIDAÇÃO OK
POSSUI DEBITOS NA CONEXÃO DO FILHO APROVADO PARA IARA DÉBITOS EM R$1.735,39</t>
  </si>
  <si>
    <t xml:space="preserve">ENDEREÇO NOVO: RUA OLIVIA RIBEIRO DE SÁ, 1150
COMPLEMENTO: BLOCO 1 AP 1101
CEP: 38414688
BAIRRO: JARDIM EUROPA
</t>
  </si>
  <si>
    <t>COMPROVANTE DE ENDEREÇO (BOLETO CONDOMÍNIO) EM ANEXO
NOME NO COMPROVANTE: ALEXANDER YURI LIMA PEREIRA (PROPRIETARIO DO IMOVEL)</t>
  </si>
  <si>
    <t>MUD END + ALT PLANO VANEJANE AMANCIO DA SILVA PROT:2604.18869 ISENTO (PEDRO) - RESIDENCIAL FRUTA DO CONDE  //</t>
  </si>
  <si>
    <t>isento</t>
  </si>
  <si>
    <t>ENDEREÇO NOVO: RUA EVANDRO JOSÉ BRAGA, 43
COMPLEMENTO: CASA 1 
CEP: 38418598
BAIRRO: RESIDENCIAL FRUTA DO CONDE</t>
  </si>
  <si>
    <t>PLANO ATUAL: 600 MEGA/79,90 CONTRATADO EM 02/2025 COM FIDELIDADE DE 12 MESES. ROTEADOR: ONT TP-LINK XC230
PLANO OFERTADO: 600 MEGA/79,90. BENEFÍCIOS: ACESSO GRATUITO AO APP MZTV (CDNTV+)</t>
  </si>
  <si>
    <t>COMPROVANTE DE ENDEREÇO (CEMIG) EM ANEXO
NOME NO COMPROVANTE: VANEJANE AMANCIO DA SILVA (ASSINANTE)</t>
  </si>
  <si>
    <t>MK END: WEINY MARTINS PEREIRA (CASA 2) - POSSUI CONEXÃO CONOSCO DESDE 10/2025, ATIVA E ADIMPLENTE.
MK NOME: VANEJANE AMANCIO DA SILVA (TITULAR) - POSSUI CONEXÃO CONOSCO DESDE 02/2025 ATIVA E ADIMPLENTE.</t>
  </si>
  <si>
    <t>MUD END ADRIANY ALVES DOS SANTOS LEITE PROT:2604.20683 PIX (ANDREZA) - TOCANTINS</t>
  </si>
  <si>
    <t>ENDEREÇO NOVO: RUA LÁZARO HERCULANO FRANCA, 205
COMPLEMENTO: CASA FUNDO
CEP: 38415264
BAIRRO: TOCANTINS</t>
  </si>
  <si>
    <t>COMPROVANTE DE ENDEREÇO (CEMIG) EM ANEXO
NOME NO COMPROVANTE: MARIA DO SOCORRO BENTA BATISTA (DISSE QUE É A PROPRIETÁRIA DO IMÓVEL)</t>
  </si>
  <si>
    <t>MK END:
-&gt; KELLY ALVES DOS SANTOS - CPF 090.053.356-02: SOLICITAÇÃO DE ADESÃO EM 10/2025 REPROVADA.
________________________________________
MK NOMES:
-&gt; MARIA DO SOCORRO BENTA BATISTA (DISSE QUE É A PROPRIETÁRIA DO IMÓVEL) - CPF 022.1**.***-**: N/C</t>
  </si>
  <si>
    <t>PLANO ATUAL: 150 MEGA/59,90 CONTRATADO EM 10/24 COM FIDELIDADE DE 12 MESES. ROTEADOR: ONT TP-LINK XC220
PLANO OFERTADO: 150 MEGA/59,90. BENEFÍCIOS: ACESSO GRATUITO AO APP MZTV (CDNTV+)</t>
  </si>
  <si>
    <t xml:space="preserve"> VINÍCIUS AUGUSTO DE PÁDUA RIBEIRO (CUNHADO) </t>
  </si>
  <si>
    <t xml:space="preserve">RESERVA JHONATAN - MUD END + ALT PLANO DANIEL SILVA DE ARAUJO PROT:2604.20658 ISENTO (JHONATAN) - MARAVILHA  //  
</t>
  </si>
  <si>
    <t xml:space="preserve">VALIDAÇÃO OK
</t>
  </si>
  <si>
    <t>(34) 98424-4223</t>
  </si>
  <si>
    <t>ENDEREÇO NOVO: RUA HELENA VILAS BOAS, 28 
COMPLEMENTO: CASA ÚNICA
CEP: 38401470
BAIRRO: MARAVILHA</t>
  </si>
  <si>
    <t>PLANO ATUAL: 150 MEGA/59,90 CONTRATADO EM 06/2025 COM FIDELIDADE DE 12 MESES. ROTEADOR: ZTE H199-A
PLANO OFERTADO: 150 MEGA/59,90. BENEFÍCIOS: ACESSO GRATUITO AO APP MZTV (CDNTV+)</t>
  </si>
  <si>
    <t>PRSCILA RODRIGUES DE SOUZA (ESPOSA)</t>
  </si>
  <si>
    <t>COMPROVANTE DE ENDEREÇO (CONTRATO DE LOCAÇÃO) EM ANEXO
NOME NO COMPROVANTE: DANIEL SILVA DE ARAUJO (ASSINANTE)
COMPROVANTE DE ENDEREÇO (CEMIG) EM ANEXO
NOME NO COMPROVANTE:  SOMILDA BENEDITA PEDROS (DIZ SER EX INQUILINA)</t>
  </si>
  <si>
    <t xml:space="preserve">MUD END ERIKA DAYANE RAMOS DA SILVA PROT:2604.20664 CARTAO (ANDREZA) - MARAVILHA   </t>
  </si>
  <si>
    <t>ENDEREÇO NOVO: RUA TIAGO, 40
COMPLEMENTO: CASA FRENTE
CEP: 38401456
BAIRRO: MARAVILHA</t>
  </si>
  <si>
    <t>COMPROVANTE DE ENDEREÇO (CONTRATO DE LOCAÇÃO) EM ANEXO
NOME NO COMPROVANTE: ERIKA DAYANE RAMOS DA SILVA (ASSINANTE)</t>
  </si>
  <si>
    <t>MK END:
-&gt; MICAELLA ALVES PAULINO - CPF 015.412.656-02: SOLICITAÇÃO DE ADESÃO EM 02/2025 REPROVADA.
_______________________________________________________________________________________
MK NOMES:
-&gt; CARLOS ANTONIO PAULINO (LOCADOR) - CPF 036.799.686-39: N/C
-&gt; ERIKA DAYANE RAMOS DA SILVA (LOCATÁRIA) - CPF 111.348.846-80: ASSINANTE DA CONEXÃO.</t>
  </si>
  <si>
    <t>MUD END RAPHAELLA MARQUES BESSA (ROSANA/MAE) PROT. 2604.20780 CARTÃO (VICTOR) MANSOUR</t>
  </si>
  <si>
    <t>ENDEREÇO NOVO: RUA RIO JEQUITINHONHA, 128
COMPLEMENTO: CASA UNICA
CEP: 38414490
BAIRRO: MANSOUR</t>
  </si>
  <si>
    <t>ROSANA MARQUES BESSA (MAE)</t>
  </si>
  <si>
    <t>34 99184 2902</t>
  </si>
  <si>
    <t xml:space="preserve">COMPROVANTE DE ENDEREÇO (DMAE) EM ANEXO
NOME NO COMPROVANTE: ROSANA PEREIRA MARQUES (DISSE SER PROPRIETÁRIA DO IMÓVEL) </t>
  </si>
  <si>
    <t>MK END: N/C 
MK NOME:
ROSANA MARQUES BESSA (MAE DA ASSINANTE) N/C
ROSANA PEREIRA MARQUES (DISSE SER PROPRIETÁRIA DO IMÓVEL) N/C</t>
  </si>
  <si>
    <t xml:space="preserve">MUD END JOAO VITOR FERNANDES PINTO PROT:2604.21244 CARTAO (ANDREZA) - CENTRO **PRÉDIO SEM PRUMADA - ENVIAR TÉCNICO DUPLADO** </t>
  </si>
  <si>
    <t>ENDEREÇO NOVO: RUA GOIÁS, 88
COMPLEMENTO: COND. AMERICO ZARDO - APTO 802
CEP: 38400064
BAIRRO: CENTRO</t>
  </si>
  <si>
    <t>COMPROVANTE DE ENDEREÇO (CONTRATO DE LOCAÇÃO) EM ANEXO.
NOME NO COMPROVANTE:  LEONARDO ALMEIDA MERUSSI NEIVA (DISSE QUE É SEU COLEGA DE APARTAMENTO)</t>
  </si>
  <si>
    <t>MK END: N/C
________________________________________
MK NOMES:
-&gt; VANDERLI ANACLETO DE CAMPOS (LOCADOR) - CPF 057.283.126-91: N/C
-&gt; IRIS MOREIRA CAMPOS (LOCADORA) - CPF 038.067.726-14: N/C
-&gt; MULTI CONSULTORIA DE IMÓVEIS LTDA (ADMINISTRADORA) - CNPJ 17.656.356/0001-80: N/C
-&gt; CICERO HERALDO OLIVEIRA NOVAES (SÓCIO DIRETOR) - CPF 254.982.746-53: N/C
-&gt; LEONARDO ALMEIDA MERUSSI NEIVA (LOCATÁRIO/DISSE QUE É SEU COLEGA DE APARTAMENTO) - CPF 488.681.078-05: N/C</t>
  </si>
  <si>
    <t>VER COM KAROL SOBRE SITUAÇÃO DO TITULAR QUE ESTÁ RECLUSO
REMOVIDO DA AGENDA .. SOMENTE REAGENDAR QUANDO ESPOSA TIVER A PROCURAÇÃO E SOLICITAR ANALISE</t>
  </si>
  <si>
    <t>ENDEREÇO NOVO: AVENIDA MATO GROSSO, 1538
COMPLEMENTO: MIRAGGIO, AP.903
CEP: 38400724
BAIRRO: NOSSA SENHORA APARECIDA</t>
  </si>
  <si>
    <t>VERÔNICA (ESPOSA DO DIOGO)</t>
  </si>
  <si>
    <t>COMPROVANTE DE ENDEREÇO (CEMIG) EM ANEXO
NOME NO COMPROVANTE:  LILIAN CRISTINA GUIMARÃES DE LIMA (DISSE SER A ANTIGA MORADORA)</t>
  </si>
  <si>
    <t>MK END: N/C
MK NOME: LILIAN CRISTINA GUIMARÃES DE LIMA (DISSE SER A ANTIGA MORADORA) - N/C
DIOGO FELIPE FARIA DE MELO (TITULAR) - POSSUI CONEXÃO CONOSCO DESDE 08/2025, ATIVA E ADIMPLENTE.</t>
  </si>
  <si>
    <t xml:space="preserve">MUD END + ALT PLANO JAQUELINE ALVES DE MELO PROT:2604.20653 ISENTO (BRUNA) - JARDIM BRASÍLIA  // </t>
  </si>
  <si>
    <t>ENDEREÇO NOVO: RUA VÊNUS, 821
COMPLEMENTO: CASA TERREO
CEP: 38401382
BAIRRO: JARDIM BRASÍLIA</t>
  </si>
  <si>
    <t>PLANO ATUAL: 600 MEGA/79,90 CONTRATADO EM 04/25 COM FIDELIDADE DE 12 MESES. ROTEADOR: ONT TP-LINK XC230
PLANO OFERTADO: 600 MEGA/79,90. BENEFÍCIOS: ACESSO GRATUITO AO APP MZTV (CDNTV+)</t>
  </si>
  <si>
    <t>COMPROVANTE DE ENDEREÇO (DMAE) EM ANEXO
NOME NO COMPROVANTE: JOSE DOS REIS DE SOUZA ESPOLI (DIZ SER O PROPRIETARIO DO IMOVEL)</t>
  </si>
  <si>
    <t>MK END: N/C
MK NOMES:
JOSE DOS REIS DE SOUZA ESPOLI (PROPRIETARIO DO IMOVEL): N/C</t>
  </si>
  <si>
    <t xml:space="preserve">MUD END VALERIO HUMBERTO DE ALMEIDA (FERNANDA/FILHA) PROT:2604.14114 DINHEIRO (BRUNA) - ALTO UMUARAMA  </t>
  </si>
  <si>
    <t>ENDEREÇO NOVO: RUA DAVID CANABARRO, 1221
COMPLEMENTO: CASA ÚNICA
CEP: 38405369
BAIRRO: ALTO UMUARAMA</t>
  </si>
  <si>
    <t>MÁRCIA CANDIDA DA SILVA (ESPOSA)</t>
  </si>
  <si>
    <t>COMPROVANTE DE ENDEREÇO (DMAE) EM ANEXO
NOME NO COMPROVANTE:  VALERIO HUMBERTO DE ALMEIDA (ASSINANTE)</t>
  </si>
  <si>
    <t>MK END: N/C
MK NOMES:
MARCIA CANDIDA DA SILVA (ESPOSA DE VALERIO): N/C
VALERIO HUMBERTO DE ALMEIDA (ASSINANTE): CONEXÃO ATIVA, SEM PENDENCIAS.</t>
  </si>
  <si>
    <t>MUD END + ALT PLANO ROSIANE OLIVEIRA DA SILVA (V BATERIAS) PROT:.2604.22475 ISENTO (LAUREN) - MINAS GERAIS  //  *TROCA DE EQUIPAMENTO*</t>
  </si>
  <si>
    <t>ENDEREÇO NOVO: AVENIDA COMENDADOR ALEXANDRINO GARCIA, 3134
COMPLEMENTO: COMERCIO
CEP: 38402288
BAIRRO: MINAS GERAIS</t>
  </si>
  <si>
    <t>PLANO ATUAL: 1000 MEGA/99,90 CONTRATADO EM 12/2024 COM FIDELIDADE DE 12 MESES. ROTEADOR: ZTE H199-A
PLANO OFERTADO: 1 GIGA (1.000 MEGA) R$99,90. BENEFÍCIOS: ACESSO GRATUITO AO APP MZTV (CDNTV+) + VOD</t>
  </si>
  <si>
    <t>COMPROVANTE DE ENDEREÇO (CONTRATO DE LOCAÇÃO) EM ANEXO
NOME NO COMPROVANTE: VINICIUS JOSE MESSIAS (ESPOSO DE ROSIANE)</t>
  </si>
  <si>
    <t>MK END -
AV. COMENDADOR ALEXANDRINO GARCIA 3134 - N/C
RUA MONTEIRO LOBATO - 320 - N/C
MK NOMES -
CLAUDIO HUMBERTO LEMES MATIAS (LOCADOR) - N/C
ROSIANE OLIVEIRA DA SILVA (ESPOSA DE VINICIUS) - PROCESSO DE ADESÃO APROVADO PARA VINICIUS.
VINICIUS JOSE MESSIAS (ESPOSO DE ROSIANE) - CONEXÃO ATIVA E ADIMPLENTE</t>
  </si>
  <si>
    <t>MUD END JEFFERSON FERREIRA GOMES PROT:2604.21402 DINHEIRO (VICTOR H.) - TOCANTINS   / PENDENTE COMPROVANTE DE ENDEREÇO</t>
  </si>
  <si>
    <t>ENDEREÇO NOVO: RUA OLINTO SOARES, 512
COMPLEMENTO: CASA UNICA
CEP: 38415360
BAIRRO: TOCANTINS</t>
  </si>
  <si>
    <t>COMPROVANTE DE ENDEREÇO (CONTRATO DE HABITAÇÃO) EM ANEXO
NOME NO COMPROVANTE: JEFFERSON FERREIRA GOMES (ASSINANTE)</t>
  </si>
  <si>
    <t>MK NOMES: 
LUCIMARA DE VASCONCELOS SILVESTRE (VENDEDORA)  - N/C
NELIA MARTINS DE SOUSA (MÃE DA VENDEDORA) - N/C
JOSÉ DOS REIS SILVESTRE (PAI DA VENDEDORA)  - N/C
JEFFERSON FERREIRA GOMES (COMPRADOR) 
ASSINANTE, CONTRATOU EM 10/2025, CONEXÃO ATIVA E ADIMPLENTE
MARIA DOS REIS LOPES GOMES (MÃE DO COMPRADOR) - N/C
CELSO FERREIRA GOMES (PAI DO COMPRADOR)  - N/C
MARCIO BATISTA PEREIRA (REPRESENTANTE DA CAIXA) - N/C
MK END: N/C</t>
  </si>
  <si>
    <t xml:space="preserve">MUD END + ALT PLANO ARNALDO MARQUES PROT:2604.20952  ISENTO (VITOR M.) - MARAVILHA  </t>
  </si>
  <si>
    <t>ENDEREÇO NOVO: RUA LUÍZA PEREIRA, 27
COMPLEMENTO: CASA 1
CEP: 38401472
BAIRRO: MARAVILHA</t>
  </si>
  <si>
    <t>PLANO ATUAL: 1000 MEGA/99,90 CONTRATADO EM 07/2023 COM FIDELIDADE DE 12 MESES. ROTEADOR: ONT ZTE F 670-L
PLANO OFERTADO: 1 GIGA (1.000 MEGA) R$99,90. BENEFÍCIOS: ACESSO GRATUITO AO APP MZTV (CDNTV+) + VOD</t>
  </si>
  <si>
    <t>COMPROVANTE DE ENDEREÇO (CONTRATO DE LOCAÇÃO) EM ANEXO
NOME NO COMPROVANTE: SILVIA APARECIDA COELHO (ASSINANTE DISSE SER ESPOSA DELE)</t>
  </si>
  <si>
    <t xml:space="preserve">MUD END + ALT PLANO JOSE MUNIZ JUNIOR (RAFAELA/FILHA) PROT:2604.22492 ISENTO (RONALD) - CENTRO **PRÉDIO COM PRUMADA** //  </t>
  </si>
  <si>
    <t>ENDEREÇO NOVO: AV. JOAO PINHEIRO, 320
COMPLEMENTO: COND ARMANTES CARNEIRO  APT.502
CEP: 38400057
BAIRRO: CENTRO</t>
  </si>
  <si>
    <t>RAFAELA ARANTES MUNIS RIZZA (FILHA)</t>
  </si>
  <si>
    <t>COMPROVANTE DE ENDEREÇO (CONTA DE LUZ PLACA SOLAR (FAZENDA SOL/CEMIG) EM ANEXO
NOME NO COMPROVANTE: GILBERTO DA CUNHA MACHADO NETO (PROPRIETÁRIO/LOCADOR)</t>
  </si>
  <si>
    <t>MK END;
N/C
MK NOME;
JOSE MUNIZ JUNIOR 447.845.706-91 (ASSINANTE)
CONEXÃO ATIVA PARA SUA FILHA RAFAELA, CLIENTE ADIMPLENTE 
HUDSON ALVES RIZZA 099.035.356-78 (GENRO DE JOSE) 
SOLICITOU INSTALAÇÃO EM 06/2025 PORÉM FOI APROVADO NO NOME DE SEU SOGRO. 
RAFAELA ARANTES MUNIS RIZZA (FILHA DE JOSE) 
N/C
GILBERTO DA CUNHA MACHADO NETO 539.629.316-00 (PROPRIETÁRIO/LOCADOR)
N/C</t>
  </si>
  <si>
    <t xml:space="preserve">MUD END JEANDERSON BEZERRA SILVA PROT:2604.22615 PIX (RONALD) - JARDIM BRASÍLIA **PRÉDIO COM PRUMADA** </t>
  </si>
  <si>
    <t>ENDEREÇO NOVO: AVENIDA RURAL, 68
COMPLEMENTO: COND. BOULEVARD NORTH, BL. 5, APT. 405
CEP: 38401410
BAIRRO: JARDIM BRASÍLIA</t>
  </si>
  <si>
    <t>COMPROVANTE DE ENDEREÇO (COMPRA E VENDA) EM ANEXO
NOME NO COMPROVANTE: JEANDERSON BEZERRA SILVA (ASSINANTE)</t>
  </si>
  <si>
    <t xml:space="preserve">CONFERENCIAS NÃO REALIZADAS
WESILEY GERALDO MARTINS
JEANDERSON BEZERRA SILVA
MARIA ANDRÊZA DA SILVA
SOUZA
</t>
  </si>
  <si>
    <t>MUD END DIENNY NUNES DA SILVA PROT:2604.21574 PIX (JOSÉ Jr) - NOSSA SRA. DAS GRAÇAS</t>
  </si>
  <si>
    <t>ENDEREÇO NOVO: RUA ACRE, 1235
COMPLEMENTO: CASA 1
CEP: 38402045
BAIRRO:NOSSA SRA. DAS GRAÇAS</t>
  </si>
  <si>
    <t>COMPROVANTE DE ENDEREÇO (CONTRATO DE LOCAÇÃO) EM ANEXO
NOME NO COMPROVANTE: RAUL ANTONIO DE JESUS FUENMAYOR VASQUEZ (CLIENTE DIZ QUE É O NAMORADO)</t>
  </si>
  <si>
    <t>MK END:
  IGOR PEREIRA DOS SANTOS CPF:107.835.686-65  CLIENTE INADIMPLENTE, COM 3 MENSALIDADES EM ABERTO E EQUIPAMENTOS NÃO DEVOLVIDOS, TOTALIZANDO R$ 1.352,70.
REZENDE IMOVEIS LTDA CNPJ:01.271.999/0001-76(LOCADOR)N/C		
MARIANGELICA REZENDE SILVA CPF:051.646.686-02(REPRESENTANTE DA EMPRESA REZENDE IMOVEIS ) N/C
RAUL ANTONIO DE JESUS FUENMAYOR VASQUEZ CPF:045.836.126-72(LOCATARIO)CLIENTE DIZ QUE É SEU NAMORADO.N/C
GRISELDA ROSA VASQUEZ SERRANO (FILIAÇÃO DE RAUL ANTONIO DE JESUS FUENMAYOR VASQUEZ)N/C
RAUL ANTONIO FUENMAYOR MANRRIQUEZ(FILIAÇÃO DE RAUL ANTONIO DE JESUS FUENMAYOR VASQUEZ)N/C
DIENNY NUNES DA SILVA CPF:704.734.501-94(LOCATARIO)TITULAR DA CONEXÃO
CASSIA HELENA NUNES (FILIAÇÃO DE DIENNY NUNES DA SILVA)N/C
APARECIDO JERONIMO DA SILVA(FILIAÇÃO DE DIENNY NUNES DA SILVA)N/C</t>
  </si>
  <si>
    <t xml:space="preserve">MUD END + ALT PLANO ROBSON CARLOS DA SILVA PROT:2604.21727 ISENTO (HALYSON) - SHOPPING PARK  //  </t>
  </si>
  <si>
    <t xml:space="preserve">
DEMAIS INFORMAÇÕES VALIDADAS</t>
  </si>
  <si>
    <t>ENDEREÇO NOVO: RUA LAYRTON BORGES MIRANDA, 37
COMPLEMENTO: CASA 2
CEP: 38425548
BAIRRO: SHOPPING PARK</t>
  </si>
  <si>
    <t xml:space="preserve"> ADRIELLE CRISTINA SILVA CLEMENTE (ESPOSA)</t>
  </si>
  <si>
    <t>(34) 99951-2266</t>
  </si>
  <si>
    <t>COMPROVANTE DE ENDEREÇO (CEMIG) EM ANEXO.
NOME NO COMPROVANTE:  PAMELA ALVES COSTA (ANTIGO PROPRIETÁRIO)</t>
  </si>
  <si>
    <t>MK END: N/C
MK NOMES: 
- ROBSON CARLOS DA SILVA (ASSINANTE): POSSUI CONEXÃO ATIVA E ADIMPLENTE
 * ROBSON CARLOS DA SILVA (NOVA SOLICITAÇÃO) : REPROVADO
 PARECER DA ANÁLISE:
 ROBSON CARLOS DA SILVA
O SISTEMA NÃO LIBERA 2 CONTRATOS PARA O MESMO CPF QUANDO CONSTA RESTRIÇÕES SPC/SERASA E NÃO POSSUI 1 ANO DE CONTRATO O CORRETO É ELE SEGUIR COM A MUD END E O PAI DELE FAZER A SOLICITAÇÃO PARA A RESIDENCIA DELE
- JOSE BARBOSA DA SILVA (PAI DO ASSINANTE) POSSUI CONEXÃO ATIVA COM FATURA DE 15/04/2026 EM ABERTO NO VALOR DE R$ 99,90
- ADRIELLE CRISTINA SILVA CLEMENTE (ESPOSA DO ASSINANTE): N/C
- PAMELA ALVES COSTA (ANTIGO PROPRIETÁRIO): N/C</t>
  </si>
  <si>
    <t xml:space="preserve">MUD END + ALT PLANO MARIA EDUARDA PATROCINIO GONCALVES (ALFALY STORE) PROT:2604.21610 ISENTO (HALYSON) - PANORAMA  //  </t>
  </si>
  <si>
    <t xml:space="preserve">VALIDAÇÃO OK, APENAS VERIFICAR SOBRE TROCA DE LOJA PARA RESIDENCIA, INFORMARAM QUE JÁ POSSUEM OUTRA INTERNET NA LOJA .. POREM NÃO POSSUI ESSA INFORMAÇÃO NA OS DE INSTALAÇÃO. </t>
  </si>
  <si>
    <t>ENDEREÇO NOVO: AVENIDA DAS MUSSAENDRAS, 735
COMPLEMENTO: CASA 3 
CEP: 38413655
BAIRRO: PANORAMA</t>
  </si>
  <si>
    <t xml:space="preserve">PLANO ATUAL: 300 MEGA/69,90 CONTRATADO EM 11/2024 COM FIDELIDADE DE 12 MESES. ROTEADOR: ONT TP-LINK XC220
PLANO OFERTADO: 300 MEGA/69,90. BENEFÍCIOS: ACESSO GRATUITO AO APP MZTV (CDNTV+)
</t>
  </si>
  <si>
    <t>GUILHERME (ESPOSO DE MARIA)</t>
  </si>
  <si>
    <t>COMPROVANTE DE ENDEREÇO (DMAE) EM ANEXO
NOME NO COMPROVANTE:  GUILHERME ALVES DE PAULA (ESPOSO DA TITULAR)</t>
  </si>
  <si>
    <t>MK END: N/C
MK NOMES
- GUILHERME ALVES DE PAULA (ESPOSO DA ASSINANTE): N/C
- MARIA EDUARDA PATROCINIO GONCALVES (ALFALY STORE): POSSUI CONEXÃO ATIVA E ADIMPLENTE
- MARIA EDUARDA PATROCINIO GONCALVES: CONEXÃO CANCELADA RUA RIO URUGUAI N 321 MANSOUR - UBERLANDIA 18/08/2025 SEM DÉBITOS</t>
  </si>
  <si>
    <t>ENDEREÇO NOVO: RUA DO POLICIAL, 70
COMPLEMENTO: CASA ÚNICA
CEP: 38412340
BAIRRO: JARDIM DAS PALMEIRAS</t>
  </si>
  <si>
    <t>COMPROVANTE DE ENDEREÇO (CEMIG) EM ANEXO
NOME NO COMPROVANTE: MARIA APARECIDA DE JESUS (DIZ SER DONA DO IMÓVEL E MÃE DO ASSINANTE)</t>
  </si>
  <si>
    <t>MK END - N/C
MK NOMES - MARIA APARECIDA DE JESUS (DIZ SER DONA DO IMÓVEL E MÃE DO ASSINANTE)- N/C</t>
  </si>
  <si>
    <t xml:space="preserve">MUD END + ALT PLANO MARCIO MOMENTE SILVA PROT:2604.23368 ISENTO (GABRIEL M.) - MARAVILHA  //  </t>
  </si>
  <si>
    <t>ENDEREÇO NOVO: RUA ANDRÉ, 36
COMPLEMENTO: CASA UNICA
CEP: 38401450
BAIRRO: MARAVILHA</t>
  </si>
  <si>
    <t>COMPROVANTE DE ENDEREÇO (CEMIG) EM ANEXO
NOME NO COMPROVANTE: JOAO BATISTA SILVA MACHADO (LOCADOR)</t>
  </si>
  <si>
    <t>MK END: N/C
MK NOMES:
 JOAO BATISTA SILVA MACHADO (LOCADOR) - N/C</t>
  </si>
  <si>
    <t>MUD END + ALT PLANO PATRICIA ALVES DE OLIVEIRA PROT:2604.23786 ISENTO (VICTOR H.) - MARTINS **PRÉDIO SEM PRUMADA - ENVIAR TÉCNICO DUPLADO** //   PENDENTE COMPROVANTE DE ENDEREÇO</t>
  </si>
  <si>
    <t>ENDEREÇO NOVO: AVENIDA JOÃO PESSOA, 794
COMPLEMENTO: APTO 403
CEP: 38400338
BAIRRO: MARTINS</t>
  </si>
  <si>
    <t>PLANO ATUAL: 600 MEGA/79,90 CONTRATADO EM 04/2025 COM FIDELIDADE DE 12 MESES. ROTEADOR: ZTE H199-A
PLANO OFERTADO: 600 MEGA/79,90. BENEFÍCIOS: ACESSO GRATUITO AO APP MZTV (CDNTV+)</t>
  </si>
  <si>
    <t>COMPROVANTE DE ENDEREÇO (APLICATIVO CEMIG) EM ANEXO
NOME NO COMPROVANTE: MARLUCE SEVERINA DE OLIVEIRA (DISSE SER SUA MÃE)</t>
  </si>
  <si>
    <t>MK END: N/C 
MK NOMES MARLUCE SEVERINA DE OLIVEIRA (DISSE SER SUA MÃE) N/C</t>
  </si>
  <si>
    <t>MUD END GEOVANA GOMES FONSECA PROT 2604.23764 CARTÃO (VICTOR) PRESIDENTE ROOSEVELT</t>
  </si>
  <si>
    <t>ENDEREÇO NOVO: RUA FERNANDO ALVES REZENDE, 274
COMPLEMENTO: COND. PORTINARI - BLOCO A, APTO 404
CEP: 38401186
BAIRRO: PRESIDENTE ROOSEVELT</t>
  </si>
  <si>
    <t>COMPROVANTE DE ENDEREÇO (CERTIDÃO DE REGISTRO DE IMÓVEL) EM ANEXO
NOME NO COMPROVANTE: GEOVANA GOMES FONSECA (ASSINANTE)</t>
  </si>
  <si>
    <t>MK END: N/C
___________________________________________________________
MK NOMES:
-&gt; AS-BUILT INCORPORADORA LTDA (VENDEDORA/TRANSMITENTE) - CNPJ 09.656.614/0001-09: N/C
-&gt; ANDRÉA FARIA DE OLIVEIRA (SÓCIA DA INCORPORADORA) - CPF 054.121.086-60: N/C
-&gt; CESAR HENRIQUE DE FARIA (SÓCIO DA INCORPORADORA) - CPF 069.065.556-85: N/C
-&gt; TIAGO BARSANULFO DE FARIA (SÓCIO DA INCORPORADORA) - CPF 058.694.706-09: N/C
-&gt; ROSA CLELIA RODRIGUES DA ROCHA (TRANSMITENTE/EX-PROPRIETÁRIA) - CPF 587.817.576-20: N/C
-&gt; MOZART PINTO DA ROCHA (TRANSMITENTE/EX-PROPRIETÁRIO) - CPF 182.253.576-04: N/C
-&gt; GEOVANA GOMES FONSECA (ADQUIRENTE/DEVEDORA) - CPF 114.854.436-44: ASSINANTE DA CONEXÃO.
-&gt; CAIXA ECONÔMICA FEDERAL (CREDORA FIDUCIÁRIA) - CNPJ 00.360.305/0001-04: N/C
-&gt; SANGISLENE TOMAZ FERREIRA (PROCURADORA DA CAIXA NO REGISTRO DE 2010) - CPF 628.458.296-04: N/C
-&gt; PRISCILLA STEPHANY ROSA OLIVEIRA (ESCREVENTE QUE ASSINOU A CERTIDÃO): N/C
-&gt; LUIZ EUGÊNIO DA FONSECA (REGISTRADOR DO CARTÓRIO): N/C</t>
  </si>
  <si>
    <t xml:space="preserve">MUD END + ALT PLANO GIOVANNA MARTINS DOS SANTOS PROT:2604.23611 ISENTO (BRUNA) - CIDADE JARDIM  //  </t>
  </si>
  <si>
    <t>ENDEREÇO NOVO: RUA DOS MIOSÓTIS, 291
COMPLEMENTO: CASA ÚNICA
CEP: 38412174
BAIRRO: CIDADE JARDIM</t>
  </si>
  <si>
    <t>PLANO ATUAL: 150 MEGA/59,90 CONTRATADO EM 07/25 COM FIDELIDADE DE 12 MESES. ROTEADOR: TP LINK C-5
PLANO OFERTADO: 150 MEGA/59,90. BENEFÍCIOS: ACESSO GRATUITO AO APP MZTV (CDNTV+)</t>
  </si>
  <si>
    <t>COMPROVANTE DE ENDEREÇO (CEMIG) EM ANEXO
NOME NO COMPROVANTE: SONIA APARECIDA ALVES SANTOS (DIZ SER ANTIGA INQUILINA)</t>
  </si>
  <si>
    <t>MK END: N/C
MK NOMES: 
SONIA APARECIDA ALVES SANTOS ( ANTIGA INQUILINA): SOLICITOU INSTALAÇÃO DA CONEXÃO EM 29/11/2022, PORÉM, EM 30/11/2022 DESISTIU DA ADESÃO, POIS RELATOU QUE NÃO CONSEGUIU ALUGAR O IMÓVEL NO QUAL HAVIA REALIZADO A SOLICITAÇÃO.
PEDRO PEREIRA DOS SANTOS (PAI DE GIOVANNA): N/C</t>
  </si>
  <si>
    <t xml:space="preserve">MUD END ELISABET ALMEIDA NUNES PROT:2604.24257 CARTAO (ANDREZA) - LOTEAMENTO MONTE HEBRON   </t>
  </si>
  <si>
    <t>ENDEREÇO NOVO: RUA EDMUNDA ALVES BORGES, 156
COMPLEMENTO: CASA FRENTE
CEP: 38421596
BAIRRO: LOTEAMENTO MONTE HEBRON</t>
  </si>
  <si>
    <t>COMPROVANTE DE ENDEREÇO (DMAE) EM ANEXO
NOME NO COMPROVANTE: LILIAN REJANE PEREIRA SILVA (DISSE QUE É A ANTIGA DONA DO IMÓVEL)</t>
  </si>
  <si>
    <t>MK END: N/C
_____________________________________________________________________
MK NOMES:
-&gt; LILIAN REJANE PEREIRA SILVA (DISSE QUE É A ANTIGA DONA DO IMÓVEL): N/C</t>
  </si>
  <si>
    <t>ENDEREÇO NOVO: RUA LUCIA FONSECA ATTIÊ, 151
COMPLEMENTO: COND. ANDIROBA BL 9 AP 206
CEP: 38414501
BAIRRO: MANSOUR</t>
  </si>
  <si>
    <t xml:space="preserve">
PLANO ATUAL: 600 MEGA/79,90 CONTRATADO EM 04/25 COM FIDELIDADE DE 12 MESES. ROTEADOR: ONT TP-LINK XC220
PLANO OFERTADO: 600 MEGA/79,90. BENEFÍCIOS: ACESSO GRATUITO AO APP MZTV (CDNTV+)</t>
  </si>
  <si>
    <t>COMPROVANTE DE ENDEREÇO (PREVIDENCIA SOCIAL) EM ANEXO
NOME NO COMPROVANTE:  DEYSE PRISCILA DE SOUZA GOMES(ASSINANTE)</t>
  </si>
  <si>
    <t>MK END: N/C
MK NOMES: 
PRISCILA CANDIDA LIMA SOBRAL (NOME MENCIONADO NO PRIMEIRO COMPROVANTE DE ENDEREÇO QUE A MESMA ENCAMINHOU): SOLICITOU INSTALAÇÃO EM 22/05/2024, PORÉM, A FICHA FOI APROVADA EM NOME DE DEYSE PRISCILA DE SOUZA GOMES (ESPOSA).
DEYSE PRISCILA DE SOUZA GOMES (TITULAR): CONEXÃO ATIVA E SEM PENDENCIAS.</t>
  </si>
  <si>
    <t>ENDEREÇO NOVO: AVENIDA GODEVINO ALVES DA ROCHA, 777
COMPLEMENTO: CASA 2
CEP: 38414098
BAIRRO: JARDIM PATRÍCIA</t>
  </si>
  <si>
    <t>COMPROVANTE DE ENDEREÇO (CEMIG) EM ANEXO
NOME NO COMPROVANTE: JOSÉ AMADEU PARTATA NEVES (ROPRIETÁRIO)</t>
  </si>
  <si>
    <t>MK END:
N/C
MK NOMES:
	-&gt; LOCATÁRIOS:
AGNALDO VASCONCELOS SILVA (IRMÃO DA ASSINANTE): N/C
ELISABETH VASCONCELOS SILVA: ASSINANTE DA CONEXÃO
	-&gt; LOCADOR:
JOSÉ AMADEU PARTATA NEVES (PROPRIETÁRIO): N/C</t>
  </si>
  <si>
    <t>ENDEREÇO NOVO: RUA VERIDIANO TEODORO DOS SANTOS, 991
COMPLEMENTO: APTO 302
CEP: 38414315
BAIRRO: LUIZOTE DE FREITAS</t>
  </si>
  <si>
    <t>COMPROVANTE DE ENDEREÇO (CEMIG) EM ANEXO
NOME NO COMPROVANTE: VINICIUS MARTINS PEREIRA DA CUNHA (DISSE SER SEU ESPOSO)</t>
  </si>
  <si>
    <t>MK END E MK NOMES: 
VINICIUS MARTINS PEREIRA DA CUNHA (DISSE SER SEU ESPOSO) 
SOLICITOU CANCELAMENTO EM 23/04/2026 COM SETOR FINANCEIRO 
NÃO POSSUI DÉBITOS COM A EMPRESA</t>
  </si>
  <si>
    <t xml:space="preserve">MUD END WARLLA FERNANDES DE OLIVEIRA PROT:2604.25157 PIX (ANDREZA) - MARAVILHA   **(POSSUI WI-FI EXTEND)** </t>
  </si>
  <si>
    <t>ENDEREÇO NOVO: RUA LEBEU, 70
COMPLEMENTO: CASA ÚNICA
CEP: 38401446
BAIRRO: MARAVILHA</t>
  </si>
  <si>
    <t>FABIANA ROSARIO FERNANDES (MÃE)</t>
  </si>
  <si>
    <t>34 99632-7151</t>
  </si>
  <si>
    <t>COMPROVANTE DE ENDEREÇO (CONTRATO DE LOCAÇÃO) EM ANEXO
NOME NO COMPROVANTE:  HELI OLIVEIRA DA SILVA (ASSINANTE DISSE QUE É SEU PADRASTO)</t>
  </si>
  <si>
    <t>MK END:
-&gt; EUGENIA SUELY DA COSTA OLIVEIRA - CPF 031.275.827-81: SOLICITAÇÃO DE ADESÃO EM 01/2022 CANCELADA PELA CLIENTE.
_________________________________________________________________________
MK NOMES:
-&gt; FABIANA ROSARIO FERNANDES (MÃE DA ASSINANTE): N/C
-&gt; EMPRESA IMOBILIÁRIA NOVO HORIZONTE (LOCADOR) - CNPJ 25.644.352/0001-00: N/C
-&gt; ROTINA ADMINISTRAÇÃO DE RECEBÍVEIS LTDA (REPRESENTANTE DO LOCADOR) - CNPJ 27.385.041/0001-08: N/C
-&gt; JOSÉ NOGUEIRA COIMBRA NETO (PROCURADOR) - CPF 076.257.396-19: N/C
-&gt; HELI OLIVEIRA DA SILVA (LOCATÁRIO/ASSINANTE DISSE QUE É SEU PADRASTO) - CPF 104.049.836-18: N/C
-&gt; DANIEL OLIVEIRA DA SILVA (FIADOR) - CPF 089.409.106-99: N/C
-&gt; MACIELENE DE SOUZA OLIVEIRA (FIADOR) - CPF 089.756.276-32: N/C</t>
  </si>
  <si>
    <t xml:space="preserve">MUD END ANDRE FABRICIO CARDOSO SILVA PROT:2604.23981 CARTÃO (RONALD) - SANTA MÔNICA **PRÉDIO COM PRUMADA** </t>
  </si>
  <si>
    <t>ENDEREÇO NOVO: RUA PROFESSOR EULER LANNES BERNARDES, 428
COMPLEMENTO: APT 504
CEP: 38408200
BAIRRO: SANTA MÔNICA</t>
  </si>
  <si>
    <t>ANA LUISA CARDOSO MATOS  (FILHA )</t>
  </si>
  <si>
    <t>62 982070179</t>
  </si>
  <si>
    <t>COMPROVANTE DE ENDEREÇO (CONTRATO DE LOCAÇÃO) EM ANEXO
NOME NO COMPROVANTE:  ANA LUISA CARDOSO MATOS  (FILHA DE ANDRE)</t>
  </si>
  <si>
    <t>MK END;
N/C
MK NOME;
ANDRE FABRICIO CARDOSO SILVA 700.749.505-25 (ASSINANTE) 
CLIENTE COM CONEXÃO ATIVA E ADIMPLENTE
ANA LUISA CARDOSO DE MATOS 080.150.251-92 (FILHA DE ANDRE / LOCATÁRIA)
N/C
JULIANA MATOS DE SOUZA 795.298.361-04 (FIADOR)
N/C
LIVIA HELENA DE AQUINO 086.301.796-78 (LOCADORA) 
N/C
ROBERTO CUSTODIO DE AQUINO 020.687.128-73 (TESTEMUNHA) 
N/C
VALERIA EMILIA DE AQUINO 090.455.326-46 (TESTEMUNHA)  
N/C</t>
  </si>
  <si>
    <t xml:space="preserve">MUD END + ALT PLANO GABRIEL CARMO E SILVA PROT:2604.4318 ISENTO (RONALD) - SANTA MÔNICA **PRÉDIO COM PRUMADA** //  </t>
  </si>
  <si>
    <t>ENDEREÇO NOVO: RUA WALDOMIRA REZENDE, 134
COMPLEMENTO: SOLAR DOS NOBRES - BLOCO A, APTO 501
CEP: 38408078
BAIRRO: SANTA MÔNICA</t>
  </si>
  <si>
    <t>PLANO ATUAL: 1000 MEGA/99,90 CONTRATADO EM 02/2025 COM FIDELIDADE DE 12 MESES. ROTEADOR: ONT ZTE F 670-L
PLANO OFERTADO: 1 GIGA (1.000 MEGA) R$99,90. BENEFÍCIOS: ACESSO GRATUITO AO APP MZTV (CDNTV+) + VOD</t>
  </si>
  <si>
    <t>COMPROVANTE DE ENDEREÇO (CEMIG) EM ANEXO
NOME NO COMPROVANTE: GABRIEL CARMO E SILVA (ASSINANTE)</t>
  </si>
  <si>
    <t>MK END;
N/C
MK NOME;
GABRIEL CARMO E SILVA (ASSINANTE)
CONEXÃO ATIVA E CLIENTE ADIMPLENTE</t>
  </si>
  <si>
    <t xml:space="preserve">MUD END VICTORIA FARIAS MARQUES PROT:2604.26593 CARTAO (VICTOR H.) - LAGOINHA   </t>
  </si>
  <si>
    <t>ENDEREÇO NOVO: RUA SÃO BERNARDO, 923
COMPLEMENTO: CASA 3
CEP: 38408524
BAIRRO: LAGOINHA</t>
  </si>
  <si>
    <t>COMPROVANTE DE ENDEREÇO (CONTRATO DE LOCAÇÃO) EM ANEXO
NOME NO COMPROVANTE: VICTORIA FARIAS MARQUES (ASSINANTE)</t>
  </si>
  <si>
    <t xml:space="preserve">MK END : N/C 
MK NOMES:
PEDRO HENRIQUE BARBOSA DE SOUZA CARVALHO CPF 062.827.126-37 (LOCADOR) N/C
IVAN GRACIANO DA COSTA FILHO CPF 040.246.836-83 (ADMINISTRADORA / REPRESENTANTE)  N/C
RICARDO GRACIANO DA COSTA CPF 042.613.186-01 (ADMINISTRADORA / REPRESENTANTE)  N/C
VICENTE PAULO FERREIRA CPF 435.173.826-04 (PROCURADOR) N/C
JOYCE APARECIDA DIAS CPF 058.367.476-36 (PROCURADORA)  N/C
TAIZ LAMARA BALESTERE TEIXEIRA ALVES CPF 320.333.798-33 (PROCURADORA)  N/C
VICTÓRIA FARIAS MARQUES CPF 076.147.005-03 (LOCATÁRIA) 
ASSINANTE, CONEXÃO ATIVA E ADIMPLENTE </t>
  </si>
  <si>
    <t xml:space="preserve">MUD END + ALT PLANO JOAO LUCAS SANTOS DE OLIVEIRA PROT:2604.11344 ISENTO (RONALD) - PACAEMBU  //  </t>
  </si>
  <si>
    <t xml:space="preserve">VALIDAÇÃO OK 
APARENTEMENTE APENAS UMA CASA ...NÃO IDENTIFIQUEI 2 PADRÕES DE ENERGIA </t>
  </si>
  <si>
    <t>ENDEREÇO NOVO: RUA ANTÔNIO DE OLIVEIRA SILVA, 284
COMPLEMENTO: CASA ÚNICA
CEP: 38401498
BAIRRO: PACAEMBU</t>
  </si>
  <si>
    <t>PLANO ATUAL: 1000 MEGA/99,90 CONTRATADO EM 07/2025 COM FIDELIDADE DE 12 MESES. ROTEADOR: ONT TP-LINK XC230
PLANO OFERTADO: 1 GIGA (1.000 MEGA) R$99,90. BENEFÍCIOS: ACESSO GRATUITO AO APP MZTV (CDNTV+) + VOD</t>
  </si>
  <si>
    <t>COMPROVANTE DE ENDEREÇO (CEMIG) EM ANEXO
NOME NO COMPROVANTE: MARIA GONÇALVES DOS SANTOS (MÃE DE JOÃO)</t>
  </si>
  <si>
    <t>MK END;
N/C
MK NOME;
JOAO LUCAS SANTOS DE OLIVEIRA 126.755.276-02
CLIENTE COM CONEXÃO ATIVA E ADIMPLENTE
MARIA GONÇALVES DOS SANTOS 754.6**.***-** (MÃE DE JOÃO)
N/C</t>
  </si>
  <si>
    <t xml:space="preserve">MUD END WEXLEY MIGUEL DOS ANJOS MARQUES PROT:2604.24826 DINHEIRO (HALYSON) - JARDIM EUROPA **PRÉDIO COM PRUMADA** </t>
  </si>
  <si>
    <t xml:space="preserve">ESPOSA DO ASSINANTE DEVE A MZ: TOTAL: R$ 1.362,95
NOME DA CONEXÃO: KEROLAINNE APARECIDA RODRIGUES PARREIRA (ESTUDIO KEROLAINNE RODRIGUES ) - CANCELADO POR INADIMPLENCIA </t>
  </si>
  <si>
    <t>ENDEREÇO NOVO: AVENIDA TONICO REZENDE, 37
COMPLEMENTO: BLOCO A / AP 802
CEP: 38414676
BAIRRO: JARDIM EUROPA</t>
  </si>
  <si>
    <t>&lt;b&gt;ONU = ZTE // CONECTOR = VERDE.&lt;/b&gt;</t>
  </si>
  <si>
    <t>COMPROVANTE DE ENDEREÇO (CONTRATO DE LOCAÇÃO) EM ANEXO
NOME NO COMPROVANTE: WEXLEY MIGUEL DOS ANJOS MARQUES (ASSINANTE)</t>
  </si>
  <si>
    <t>MK END: N/C
MK NOMES
- BRUNA ALVES DE OLIVEIRA 096.624.706-03 (LOCADORA): N/C
- KEROLAINNE APARECIDA RODRIGUES PARREIRA 021.357.736-46 (ESPOSA DO ASSINANTE):
* KEROLAINNE APARECIDA RODRIGUES PARREIRA (ESTUDIO KEROLAINNE RODRIGUES): CONEXÃO CANCELADA  
  ENDEREÇO: RUA RIO JEQUITINHONHA 305 COMERCIO - MANSOUR - UBERLANDIA
  COM DÉBITOS EM ABERTO
  R$  79,90 FATURA 15/11/2023
  R$  79,90 FATURA 15/11/2023
  R$  79,90 FATURA 15/11/2023
  R$ 599,00 NÃO DEVOLUÇÃO DE EQUIPAMENTOS (ONT ZTE)
  R$ 524,25 MULTA CONTRATUAL
TOTAL: R$ 1.362,95
- WEXLEY MIGUEL DOS ANJOS MARQUES 112.610.686-02 (ASSINANTE): CONEXÃO ATIVA E ADIMPLENTE NO ENDEREÇO:
- WEXLEY MIGUEL DOS ANJOS MARQUES (ASGARD PIZZARIA): PROCESSO DE ADESÃO REPROVADO DEVIDO A DEBITOS EM ABERTO DE KEROLAINNE APARECIDA RODRIGUES PARREIRA (ESPOSA DO   ASSINANTE)
 26/07/2024 ENDEREÇO: Avenida Antônio Matias Montana número 7  Jardim Europa - Uberlândia</t>
  </si>
  <si>
    <t xml:space="preserve">MUD END SILVANIA CAMPOS NEIVA (LOJA DE ROUPAS FEMININAS) PROT:2604.27111 PIX (RONALD) - GUARANI   </t>
  </si>
  <si>
    <t>PENDENTE COMPROVANTE
REMOVIDA DA AGENDA</t>
  </si>
  <si>
    <t>ENDEREÇO NOVO: RUA BOLERO, 55
COMPLEMENTO: CASA FUNDO
CEP: 38415444
BAIRRO: GUARANI</t>
  </si>
  <si>
    <t>VALIDAÇÃO OK 
POSSUI CLIENTE COM COMPLEMENTO APENAS COMO CASA FUNDO ATIVO E ADIMPLENTE</t>
  </si>
  <si>
    <t>ENDEREÇO NOVO: RUA MARIA DIAS CARDOSO, 215
COMPLEMENTO: CASA 3 
CEP: 38415282
BAIRRO: TOCANTINS</t>
  </si>
  <si>
    <t>PLANO ATUAL: 1000 MEGA/99,90 CONTRATADO EM 06/2023 COM FIDELIDADE DE 12 MESES. ROTEADOR: ZTE H199-A
PLANO OFERTADO: 1 GIGA (1.000 MEGA) R$99,90. BENEFÍCIOS: ACESSO GRATUITO AO APP MZTV (CDNTV+) + VOD</t>
  </si>
  <si>
    <t>COMPROVANTE DE ENDEREÇO (CEMIG) EM ANEXO
NOME NO COMPROVANTE: ASSENILDA DA SILVA NUNES (DISSE SER SUA TIA)</t>
  </si>
  <si>
    <t xml:space="preserve">MK NOMES: 
 ASSENILDA DA SILVA NUNES (DISSE SER SUA TIA) N/C 
 MK END: 
 CASA 3 N/C 
 EXISTEM CLIENTES NO MESMO ENDEREÇO 
 HEIDER JUNIOR RODRIGUES ESTRELA
 CASA FUNDO 
 CONEXÃO ATIVA E ADIMPLENTE, CONTRATOU EM 09/2019 
 JOSE GOMES CARDOSO DE PAULA
 CASA 2
 PROTOCOLO DE ADESÃO 2505.5625
 APROVADO COM TAVA DE INSTALAÇÃO, CLIENTE NÃO QUIS PROSSEGUIR  </t>
  </si>
  <si>
    <t xml:space="preserve">MUD END MARLI ROCHA PROT:2604.25031 DINHEIRO (HALYSON) - MARTINS  </t>
  </si>
  <si>
    <t>ENDEREÇO NOVO: AVENIDA FERNANDO VILELA, 1239 
COMPLEMENTO: CASA 2 
CEP: 38400456
BAIRRO: MARTINS</t>
  </si>
  <si>
    <t>PLANO ATUAL: 300 MEGA/69,90 CONTRATADO EM 10/2024 COM FIDELIDADE DE 12 MESES. ROTEADOR: ONT TP-LINK XC220
PLANO OFERTADO: 300 MEGA/69,90. BENEFÍCIOS: ACESSO GRATUITO AO APP MZTV (CDNTV+)</t>
  </si>
  <si>
    <t>KAMILA (FILHA DE MARLI)</t>
  </si>
  <si>
    <t>COMPROVANTE DE ENDEREÇO (CONTRATO DE LOCAÇÃO) EM ANEXO
NOME NO COMPROVANTE: KAMILA MARCELA ROCHA COSTA (LOCATÁRIA E FILHA DA ASSINANTE)</t>
  </si>
  <si>
    <t>MK END: 
- CLEIDIANE SOUZA ARRAES 041.686.225-09: CONEXÃO CANCELADA SEM DÉBITOS.
MK NOMES:
- ANDRE LUIS SANTANA 483.155.836-20 (LOCADOR): N/C
- FERNANDO OLIVEIRA BORGES 092.533.346-81 (LOCATÁRIO E GENRO DA ASSINANTE): PROCESSO DE ADESÃO APROVANDO PARA SOGRA MARLI ROCHA EM 16/10/2024 ENDEREÇO: Avenida João Pinheiro número 2077 AP 1 Nossa Senhora Aparecida - Uberlândia
- KAMILA MARCELA ROCHA COSTA 125.329.556-51 (LOCATÁRIA E FILHA DA ASSINANTE): N/C
- BELIZARIO DE JESUS MARIANO 084.813.002-25 (FIADOR): N/C</t>
  </si>
  <si>
    <t>ENDEREÇO NOVO: RUA GENY CUSTÓDIO SPINI, 80
COMPLEMENTO: BLOCO 1B APARTAMENTO 308 
CEP: 38415143
BAIRRO: TAIAMAN</t>
  </si>
  <si>
    <t>COMPROVANTE DE ENDEREÇO (CONTRATO DE LOCAÇÃO) EM ANEXO
NOME NO COMPROVANTE: LUCIA HELENA PEREIRA TEODORO (ASSINANTE)</t>
  </si>
  <si>
    <t>MK END:
   ROMULO FABIANO MENDES RIBEIRO CPF:062.134.386-29  CONEXÃO ENCERRADA EM 03/2025. EQUIPAMENTOS RECOLHIDOS E CLIENTE ADIMPLENTE.
MK NOMES:
   ROMULO FABIANO MENDES RIBEIRO CPF:062.134.386-29(LOCADOR) INFORMAÇÃO ESCRITA NO MK END.
   LUCIA HELENA PEREIRA TEODORO CPF:537.625.091-15(LOCATÁRIO) TITULAR DA CONEXÃO</t>
  </si>
  <si>
    <t>ENDEREÇO NOVO: AVENIDA GARCIA LORCA, 370
COMPLEMENTO: CASA FRENTE
CEP: 38402298
BAIRRO: MARTA HELENA</t>
  </si>
  <si>
    <t>PLANO ATUAL: 600 MEGA/79,90 CONTRATADO EM 09/24 COM FIDELIDADE DE 12 MESES. ROTEADOR: ONT TP-LINK XC220
PLANO OFERTADO: 600 MEGA/79,90. BENEFÍCIOS: ACESSO GRATUITO AO APP MZTV (CDNTV+)</t>
  </si>
  <si>
    <t>COMPROVANTE DE ENDEREÇO (CEMIG) EM ANEXO
NOME NO COMPROVANTE: PATRICIA OLIVEIRA REIS (DIZ SER EX INQUILINO)</t>
  </si>
  <si>
    <t>MK END: N/C
MK NOMES:
PATRICIA OLIVEIRA REIS (ANTIGA INQUILINA): N/C</t>
  </si>
  <si>
    <t xml:space="preserve">MUD END + ALT PLANO JOSE MACIEL SILVA DOS SANTOS PROT:2604.27365 ISENTO (JOSÉ Jr) - RESIDENCIAL LAGO AZUL  //  </t>
  </si>
  <si>
    <t>ENDEREÇO NOVO: RUA ADJAR FRANÇA, 230
COMPLEMENTO: RESIDENCIAL PORTAL DO LAGO CASA 1
CEP: 38421646
BAIRRO: RESIDENCIAL LAGO AZUL</t>
  </si>
  <si>
    <t>PLANO ATUAL: 600 MEGA/79,90 CONTRATADO EM 02/2025 COM FIDELIDADE DE 12 MESES. ROTEADOR: ONT TP-LINK XC220
PLANO OFERTADO: 600 MEGA/79,90. BENEFÍCIOS: ACESSO GRATUITO AO APP MZTV (CDNTV+)</t>
  </si>
  <si>
    <t>COMPROVANTE DE ENDEREÇO (TAXA DE COLETA DE LIXO) EM ANEXO
NOME NO COMPROVANTE: JBK CONSTRUÇOES E EMPREEMDIMENTOS LTDA (CONSTRUTORA)</t>
  </si>
  <si>
    <t>MK END:N/C
MK NOMES:
    JBK CONSTRUÇOES E EMPREENDIMENTOS LTDA (CONSTRUTORA)N/C</t>
  </si>
  <si>
    <t xml:space="preserve">MUD END + ALT PLANO BRUNA FERNANDA BORGES PEREIRA DA SILVA PROT:2604.28131 ISENTO (JHONATAN) - JARDIM HOLANDA **PRÉDIO COM PRUMADA** //  </t>
  </si>
  <si>
    <t>ENDEREÇO NOVO: ALAMEDA JOSÉ DE OLIVEIRA GUIMARÃES, 700 
COMPLEMENTO: CONDOMÍNIO UNITED KINGDOM - BL 20 - APTO 201
CEP: 38412324
BAIRRO: JARDIM HOLANDA</t>
  </si>
  <si>
    <t>COMPROVANTE DE ENDEREÇO (CONTRATO DE LOCAÇÃO) EM ANEXO
NOME NO COMPROVANTE: BRUNA FERNANDA BORGES PEREIRA DA SILVA (ASSINANTE)</t>
  </si>
  <si>
    <t>MK END
N/C
MK NOME
→ BRUNA FERNANDA BORGES PEREIRA DA SILVA (LOCATÁRIA): ASSINANTE DA CONEXÃO
→ PEDRO HENRIQUE SILVA LEMOS (LOCADOR): 
	:. SOLICITAÇÃO DE CONEXÃO EM 05/2023 - CANCELADA
	:. PEDRO HENRIQUE SILVA LEMOS (JPA ESTRUTURAL SERRALHERIA): CONEXÃO ATIVA DESDE 05/2022 - FATURA DO MÊS 04/2026 EM ABERTO
→ DANIELLE R. BARBOSA (TESTEMUNHA 1): N/C
→ VITÓRIA MARIA EVARISTO (TESTEMUNHA 2): N/C</t>
  </si>
  <si>
    <t xml:space="preserve">MUD END + ALT PLANO ALESSA LEITE MARCAL (SALAO BELISSIMA) PROT:2604.27444 ISENTO (JHONATAN) - JARDIM EUROPA **SOBRADO** //  </t>
  </si>
  <si>
    <t>ENDEREÇO NOVO: AVENIDA AMSTERDÃ, 581 
COMPLEMENTO: AP
CEP: 38414602
BAIRRO: JARDIM EUROPA</t>
  </si>
  <si>
    <t>PLANO ATUAL: 600 MEGA/79,90 CONTRATADO EM 05/2025 COM FIDELIDADE DE 12 MESES. ROTEADOR: ONT TP-LINK XC220
PLANO OFERTADO: 600 MEGA/79,90. BENEFÍCIOS: ACESSO GRATUITO AO APP MZTV (CDNTV+)</t>
  </si>
  <si>
    <t>COMPROVANTE DE ENDEREÇO (CEMIG) EM ANEXO
NOME NO COMPROVANTE: ROSANGELA FARNEZI SOUZA (DISSE QUE É A PROPRIETÁRIA)</t>
  </si>
  <si>
    <t>MK END: 
N/C 
MK NOMES:
-&gt; ROSANGELA FARNEZI SOUZA (DISSE QUE É A PROPRIETÁRIA): N/C</t>
  </si>
  <si>
    <t>MUD END GUILHERME DEFENSOR ALVIM (JOAO/PAI) PROT:2604.27922 PIX (RAMONY) - LOTEAMENTO RESIDENCIAL PEQUIS</t>
  </si>
  <si>
    <t>ENDEREÇO NOVO: RUA MATRINXA, 470
COMPLEMENTO: CASA ÚNICA
CEP: 38421106
BAIRRO: LOTEAMENTO RESIDENCIAL PEQUIS</t>
  </si>
  <si>
    <t>COMPROVANTE DE ENDEREÇO (CEMIG) EM ANEXO
NOME NO COMPROVANTE: RENATA LUIZA CELESTE VALLADAO ALVIM (ESPOSA)</t>
  </si>
  <si>
    <t xml:space="preserve">MUD END + ALT PLANO NICOLAS MATEUS DIAS MELO (DARK INSULFILM S E ACESSORIOS) PROT:2604.28762 ISENTO (PEDRO) - GRANADA  //  </t>
  </si>
  <si>
    <t>VALIDAÇÃO OK 
CLIENTE COM CNPJ POREM SEMPRE DEIXOU A INTERNET NA RESIDENCIA</t>
  </si>
  <si>
    <t>ENDEREÇO NOVO: RUA DO AÇUDE, 72
COMPLEMENTO: CASA ÚNICA
CEP: 38410570
BAIRRO: GRANADA</t>
  </si>
  <si>
    <t>PLANO ATUAL: 600 MEGA/79,90 CONTRATADO EM 02/2025 COM FIDELIDADE DE 12 MESES. ROTEADOR: ZTE H199-A
PLANO OFERTADO: 600 MEGA/79,90. BENEFÍCIOS: ACESSO GRATUITO AO APP MZTV (CDNTV+)</t>
  </si>
  <si>
    <t>COMPROVANTE DE ENDEREÇO (CEMIG) EM ANEXO
NOME NO COMPROVANTE: ALEXANDRE RENNER LIMA (NÃO SOUBE DIZER A RELAÇÃO COM O ENDEREÇO, PROVAVELMENTE ANTIGO MORADOR.)</t>
  </si>
  <si>
    <t>MK END: N/C
MK NOME: ALEXANDRE RENNER LIMA (NÃO SOUBE DIZER A RELAÇÃO COM O ENDEREÇO, PROVAVELMENTE ANTIGO MORADOR) - N/C
NICOLAS MATEUS DIAS MELO (DARK INSULFILM S E ACESSORIOS) / TITULAR - POSSUI CONEXÃO CONOSCO DESDE 02/2023, ATIVA E ADIMPLENTE.
NICOLAS MATEUS DIAS MELO (DARK INSUFILMES E ESTETICA AUTOMOTIVA) / TITULAR - OUTRA CONEXÃO DO CLIENTE CONTRATADA EM 03/2026, ATIVA E ADIMPLENTE.</t>
  </si>
  <si>
    <t>ENDEREÇO NOVO: AVENIDA BRASIL, 2376
COMPLEMENTO: COND. RESIDENCIAL ELAINE BL A AP 201
CEP: 38400718
BAIRRO: BRASIL</t>
  </si>
  <si>
    <t>ELIUDE ALVES DA SILVA (MÃE)</t>
  </si>
  <si>
    <t>62 99362-1677</t>
  </si>
  <si>
    <t>COMPROVANTE DE ENDEREÇO (CEMIG) EM ANEXO
NOME NO COMPROVANTE:  RICARDO MAGALHAES DA SILVA (DIZ SER PROPRIETARIO DO IMOVEL)</t>
  </si>
  <si>
    <t>MK END:
FRANCIANE RODRIGUES DOS SANTOS: CLIENTE SOLICITOU INSTALAÇÃO PARA O ENDEREÇO (BL 02 APT 404), PORÉM, A FICHA FOI REPROVADA.
DULCE HELENA BENTO DA SILVA: POSSUI CONEXÃO ATIVA NO ENDEREÇO (BL. A APT. 301) SEM PENDENCIAS.
MK NOMES: 
ELIUDE ALVES DA SILVA (MÃE DE PATRICIA): N/C
RICARDO MAGALHAES DA SILVA (PROPRIETARIO DO IMOVEL): N/C</t>
  </si>
  <si>
    <t>ENDEREÇO NOVO: RUA DOUTOR ALYRIO MORAES, 120
COMPLEMENTO: CASA UNICA
CEP: 38414252
BAIRRO: LUIZOTE DE FREITAS</t>
  </si>
  <si>
    <t>COMPROVANTE DE ENDEREÇO (CEMIG) EM ANEXO
NOME NO COMPROVANTE: CRISTIANE JESUINA DOS SANTOS (ASSINANTE DISSE SER A ULTIMA MORADORA DO LOCAL)</t>
  </si>
  <si>
    <t>MK END
-&gt; APARECIDA ELAINE CARDOSO: APENAS LEAD 
MK NOME 
-&gt; CRISTIANE JESUINA DOS SANTOS (ANTIGA MORADORA): CONEXÃO CANCELADA EM 01/2024 - EQUIPAMENTO DEVOLVIDOS / SEM DÉBITOS</t>
  </si>
  <si>
    <t xml:space="preserve">MUD END + ALT PLANO SATLER FERREIRA GODINHO PROT:2604.30168 ISENTO (PEDRO) - JARDIM DAS PALMEIRAS  //  </t>
  </si>
  <si>
    <t>VALIDAÇÃO OK 
entrada da casa na rua lateral por ser casa de esquina .. solicitei colocar endereço que consta no contrato de locação</t>
  </si>
  <si>
    <t>PLANO ATUAL: 600 MEGA/79,90 CONTRATADO EM 05/2025 COM FIDELIDADE DE 12 MESES. ROTEADOR: ONT TP-LINK XC230
PLANO OFERTADO: 600 MEGA/79,90. BENEFÍCIOS: ACESSO GRATUITO AO APP MZTV (CDNTV+)</t>
  </si>
  <si>
    <t>ANNA (ESPOSA DO SATLER)</t>
  </si>
  <si>
    <t>COMPROVANTE DE ENDEREÇO (CONTRATO DE LOCAÇÃO) EM ANEXO
NOME NO COMPROVANTE:  ANNA JULIA MARTINS (ESPOSA DO TITULAR)
COMPROVANTE DE ENDEREÇO (CEMIG) EM ANEXO
NOME NO COMPROVANTE: LEONARDO SEVERINO MACHADO (DISSE SER O DONO DO IMÓVEL)</t>
  </si>
  <si>
    <t>MK END: N/C
MK NOME: ELSE MARIA DOS SANTOS MACHADO (LOCADORA / CPF: 031.524.006-75) - N/C
ANNA JULIA MARTINS (LOCATÁRIA / ESPOSA DO TITULAR / CPF: 095.979.856-08) - SOLICITOU INSTALAÇÃO EM 03/2025. NA OCASIÃO, FOI EXPLICADO O FORMATO CONFORME INDICADO PELO SISTEMA, PORÉM NÃO HOUVE INTERESSE. HOUVE A POSSIBILIDADE DE REALIZAR A INSTALAÇÃO EM NOME DE SUA MÃE (ELISANGELA BONIFACIO MARTINS), NO ENTANTO, O CADASTRO SEGUIU NO NOME DO SATLER.
SATLER FERREIRA GODINHO (TESTEMUNHA / TITULAR) - POSSUI CONEXÃO CONOSCO DESDE 03/2025, ATIVA E ADIMPLENTE.
LEONARDO SEVERINO MACHADO (DISSE SER O DONO DO IMÓVEL) - N/C</t>
  </si>
  <si>
    <t>PENDENTE COMPROVANTE DE RESIDENCIA..
CONFIRMAR SE É CASA UNICA NO LOTE. 
DEMAIS INFORMAÇÕES OK 
removido da agenda</t>
  </si>
  <si>
    <t>ENDEREÇO NOVO: AVENIDA IMBAÚBA, 1095
COMPLEMENTO: CASA UNICA
CEP: 38413146
BAIRRO: PLANALTO</t>
  </si>
  <si>
    <t>PENDENTE COMRPOVANTE</t>
  </si>
  <si>
    <t xml:space="preserve">VALIDAÇÃO OK 
ENDEREÇO NUMERO DIFERENTE DO SISTEMA
COMPROVANTE: 350
SISTEMA: 380
MK END VERIFICADO EM AMBAS NUMERAÇÕES. </t>
  </si>
  <si>
    <t>ENDEREÇO NOVO: AVENIDA ADRIANO BAILONI, 350
COMPLEMENTO:  COND. CROSARA, BL.A, APT.303
CEP: 38401092
BAIRRO: PRESIDENTE ROOSEVELT</t>
  </si>
  <si>
    <t>PLANO ATUAL: 600 MEGA/79,90 CONTRATADO EM 06/2025 COM FIDELIDADE DE 12 MESES. ROTEADOR: ONT ZTE F 670-L
PLANO OFERTADO: 1 GIGA (1.000 MEGA) R$99,90. BENEFÍCIOS: ACESSO GRATUITO AO APP MZTV (CDNTV+) + VOD</t>
  </si>
  <si>
    <t xml:space="preserve">MARIA (ESPOSA DE ANTONIO) </t>
  </si>
  <si>
    <t>COMPROVANTE DE ENDEREÇO (CONTRATO PARTICULAR DE COMPRA E VENDA DE APARTAMENTO) EM ANEXO
NOME NO COMPROVANTE: MARIA JOSE NASCIMENTO SOUTO (ESPOSA)</t>
  </si>
  <si>
    <t>MK END:N/C
MK NOMES:
    JOSE RODRIGUES DE MACEDO CPF:390.784.699-00(VENDEDOR)N/C
    SABRINA DAIANE RODRIGUES SOUSA CPF:050.987.746-08(VENDEDOR)N/C
    MARIA JOSE NASCIMENTO SOUTO CPF:056.593.276-93(COMPRADOR)ESPOSA DO TITULAR</t>
  </si>
  <si>
    <t>MUD END + ALT PLANO DANIELLE MENDES DE SOUZA PROT:2604.27489  ISENTO (JOSÉ Jr) - TAIAMAN  //  *TROCA DE EQUIPAMENTO*</t>
  </si>
  <si>
    <t>(34) 99906-1195</t>
  </si>
  <si>
    <t>ENDEREÇO NOVO: RUA JOSÉ PIRES DEFENSOR, 603
COMPLEMENTO: CASA 50
CEP: 38415198
BAIRRO: TAIAMAN</t>
  </si>
  <si>
    <t xml:space="preserve"> &lt;b&gt;ONU = TENDA // CONECTOR = VERDE.&lt;/b&gt;</t>
  </si>
  <si>
    <t>PLANO ATUAL: 600 MEGA/79,90 CONTRATADO EM 08/2024 COM FIDELIDADE DE 12 MESES. ROTEADOR: GREATEK
PLANO OFERTADO: 600 MEGA/79,90. BENEFÍCIOS: ACESSO GRATUITO AO APP MZTV (CDNTV+)</t>
  </si>
  <si>
    <t>COMPROVANTE DE ENDEREÇO (CEMIG) EM ANEXO
NOME NO COMPROVANTE: PABLO SOBREIRA DA SILVA (CONJUGE)</t>
  </si>
  <si>
    <t>ENDEREÇO NOVO: RUA JOÃO BERNARDES CÂNDIDO, 59
COMPLEMENTO: CASA 1 
CEP: 38425522
BAIRRO: SHOPPING PARK</t>
  </si>
  <si>
    <t>PLANO ATUAL: 1000 MEGA/99,90 CONTRATADO EM 01/2025 COM FIDELIDADE DE 12 MESES. ROTEADOR: ZTE H199-A
PLANO OFERTADO: 1 GIGA (1.000 MEGA) R$99,90. BENEFÍCIOS: ACESSO GRATUITO AO APP MZTV (CDNTV+) + VOD</t>
  </si>
  <si>
    <t>COMPROVANTE DE ENDEREÇO (CEMIG) EM ANEXO
NOME NO COMPROVANTE: NOEL CARDOSO DA SILVA (ANTIGO PROPRIETARIO)</t>
  </si>
  <si>
    <t>MK NOMES
J N CARDOSO CONSTRUTORA EMPREENDIMENTO LTDA – CNPJ: 42.341.721/0001-05 (VENDEDOR) - N/C
NOEL CARDOSO DA SILVA – CPF: 377.752.861-72 (REPRESENTANTE DO VENDEDOR) - N/C
MAIRA VALERIA ALMEIDA DOS ANJOS SOARES – CPF: 116.809.156-06 (COMPRADORA E ESPOSA DO ASSINANTE) - N/C 
PHELLYPE AUGUSTO SOARES – CPF: 116.949.536-29 (COMPRADOR) - 
ASSINANTE, CONEXÃO ATIVA E ADIMPLENTE
EDUARDO FONSECA COLLARES – CPF: 056.453.166-90 (REPRESENTANTE DA CREDORA FIDUCIÁRIA) N/C
MK END: 
N/C</t>
  </si>
  <si>
    <t xml:space="preserve">SEM VIABILIDADE
ULTIMA VISTORIA EM 12/2025 - APONTA QUE CONDOMINIO JA POSSUI 3 OPERADORAS </t>
  </si>
  <si>
    <t>ENDEREÇO NOVO: RUA CARNAÚBA, 20
COMPLEMENTO: APTO 01 - BLOCO H
CEP: 38407414
BAIRRO: MORUMBI</t>
  </si>
  <si>
    <t>COMPROVANTE DE ENDEREÇO (CONTRATO DE LOCAÇÃO) EM ANEXO
NOME NO COMPROVANTE: LORRAN NOGUEIRA DA SILVA (ESPOSO)</t>
  </si>
  <si>
    <t>MK END:
N/C
MK NOME:
-&gt; ADRIANO NUNES RODRIGUES (LOCADOR): N/C
-&gt; LORRAN NOGUEIRA DA SILVA (LOCATÁRIO – ESPOSO): PROCESSO DE ADESÃO APROVADO PARA NAMORADA *FERNANDA JESUS SOUZA* (11/2025)
-&gt; IVAN NEGÓCIOS IMOBILIÁRIOS LTDA. (ADMINISTRADORA): N/C
	-&gt; IVAN GRACIANO DA COSTA FILHO (SÓCIO GERENTE): N/C
	-&gt; RICARDO GRACIANO DA COSTA (ADVOGADO): N/C
	-&gt; VICENTE PAULO FERREIRA (PROCURADOR): N/C
	-&gt; JOYCE APARECIDA DIAS (PROCURADORA): N/C
	-&gt; TAIZ LAMARA BALESTERE TEIXEIRA ALVES (PROCURADORA): N/C
-&gt; PORTO SEGURO CIA. DE SEGUROS GERAIS (SEGURADORA): N/C</t>
  </si>
  <si>
    <t xml:space="preserve">MUD END + ALT PLANO JULIANE RESENDE ORDONES MACHADO PROT:2604.29740 ISENTO (IZABELA) - JARDIM BRASÍLIA  //  </t>
  </si>
  <si>
    <t>ENDEREÇO NOVO: RUA NETUNO, 538
COMPLEMENTO: CASA
CEP: 38401424
BAIRRO: JARDIM BRASÍLIA</t>
  </si>
  <si>
    <t>&lt;b&gt;ONT = ONT ZTE // CONECTOR = AZUL.&lt;/b&gt;</t>
  </si>
  <si>
    <t>PLANO ATUAL: 1000 MEGA/99,90 CONTRATADO EM 06/2023 COM FIDELIDADE DE 12 MESES. ROTEADOR: ONT ZTE F 670-L
PLANO OFERTADO: 1 GIGA (1.000 MEGA) R$99,90. BENEFÍCIOS: ACESSO GRATUITO AO APP MZTV (CDNTV+) + VOD</t>
  </si>
  <si>
    <t>COMPROVANTE DE ENDEREÇO (CEMIG) EM ANEXO
NOME NO COMPROVANTE: CLAUDIO MACHADO DA SILVEIRA (DISSE SER O PROPRIETÁRIO DO IMÓVEL / SOGRO)
_______________________________________________________________________
COMPROVANTE DE ENDEREÇO (DMAE) EM ANEXO
NOME NO COMPROVANTE: CLAUDIO MACHADO DA SILVEIRA (DISSE SER O PROPRIETÁRIO DO IMÓVEL / SOGRO)</t>
  </si>
  <si>
    <t>MK END: N/C	
MK NOME: 
CLAUDIO MACHADO DA SILVEIRA (DISSE SER O PROPRIETÁRIO DO IMÓVEL / SOGRO): N/C
LEONARDO RODRIGUES MACHADO (ESPOSO): N/C</t>
  </si>
  <si>
    <t xml:space="preserve">MUD END + ALT PLANO JOAO PAULO DE OLIVEIRA E SILVA PROT:2604.29708 ISENTO (JOSÉ Jr) - PLANALTO  //  </t>
  </si>
  <si>
    <t>ENDEREÇO NOVO: RUA DO CARTEIRO, 45
COMPLEMENTO: CASA UNICA
CEP: 38413195
BAIRRO: PLANALTO</t>
  </si>
  <si>
    <t>COMPROVANTE DE ENDEREÇO (DMAE) EM ANEXO
NOME NO COMPROVANTE: JOSE ROBERTO DA SILVA (CLIENTE DIZ QUE O PROPRIETÁRIO DO IMÓVEL.)</t>
  </si>
  <si>
    <t xml:space="preserve">MUD END CARINE TEIXEIRA VARGAS PROT:2604.27398 PIX (HALYSON) - PRESIDENTE ROOSEVELT **PRÉDIO COM PRUMADA** </t>
  </si>
  <si>
    <t>ENDEREÇO NOVO: RUA RODRIGO PEREIRA JÚNIOR, 700
COMPLEMENTO: AP 104
CEP: 38401018
BAIRRO: PRESIDENTE ROOSEVELT</t>
  </si>
  <si>
    <t>COMPROVANTE DE ENDEREÇO (CONTRATO DE LOCAÇÃO) EM ANEXO
NOME NO COMPROVANTE: CARINE TEIXEIRA VARGAS (ASSINANTE)</t>
  </si>
  <si>
    <t>MK END: N/C
MK NOMES:
- GEMINI COUTINHO – CPF: 20260.450.446-49 (PROVÁVEL ERRO DE DIGITAÇÃO DO CPF NO CONTRATO) (LOCADOR): N/C
- ISAIAS JUNIO COUTINHO – CPF: 033.157.826-36 (PROCURADOR DO LOCADOR): N/C
- CARINE TEIXEIRA VARGAS – CPF: 973.172.250-53 (LOCATÁRIA E ASSINANTE): POSSUI CONEXÃO ATIVA E ADIMPLENTE
* PROCESSO DE ADESÃO REPROVADO EM 15/11/2024 ENDEREÇO: Rua Elpídio Aristides de Freitas número 1145  Presidente Roosevelt - Uberlândia
* ADESÃO POR TROCA DE TITULARIDADE COM JARBAS MIGUEL PIRES SAMUDIO (EX-NAMORADO)
- JARBAS MIGUEL PIRES SAMUDIO (EX-NAMORADO DA ASSINANTE): CONEXÃO CANCELADA SEM DÉBITOS EM ABERTO.</t>
  </si>
  <si>
    <t xml:space="preserve">MUD END LAYSSA GABRIELE FERNANDES SILVA (SALAO DE BELEZA) PROT:2604.28449 PIX (HALYSON) - LARANJEIRAS </t>
  </si>
  <si>
    <t>ENDEREÇO NOVO: AVENIDA DOS TITO, 219
COMPLEMENTO: LOJA 01
CEP: 38410524
BAIRRO: LARANJEIRAS</t>
  </si>
  <si>
    <t>COMPROVANTE DE ENDEREÇO (CONTRATO DE LOCAÇÃO) EM ANEXO
NOME NO COMPROVANTE:  LAYSSA GABRIELE FERNANDES SILVA  (LOCATÁRIO E ASSINANTE)</t>
  </si>
  <si>
    <t>MK END: N/C
MK NOMES
- AZUREM DO ESPIRITO SANTO NUNES - 569.800.196-00 (LOCADOR): N/C
- LAYSSA GABRIELE FERNANDES SILVA - 145.664.876-44 (LOCATÁRIA E ASSINANTE): CONEXÃO ATIVA COM DÉBITOS EM ABERTO REFERENTE A FATURA DE 20/04/2026 VALOR DE 59,90 (ENDEREÇO: Rua Alípio José de Souza Nº 191 AP 1 - LARANJEIRAS)
- LAYSSA GABRIELE FERNANDES SILVA (SALAO DE BELEZA): CONEXÃO ATIVA E ADIMPLENTE</t>
  </si>
  <si>
    <t>ENDEREÇO NOVO: RUA DA CRIANÇA, 766
COMPLEMENTO: CASA FUNDO 
CEP: 38410486
BAIRRO: LARANJEIRAS</t>
  </si>
  <si>
    <t>COMPROVANTE DE ENDEREÇO (CEMIG) EM ANEXO
NOME NO COMPROVANTE: IRANI DE OLIVEIRA RODRIGUES (DISSE QUE É SUA MÃE)</t>
  </si>
  <si>
    <t>MK END:
&gt;&gt; ADMA APARECIDA RODRIGUES (IRANI / MÃE): CONEXÃO ATIVA DESDE 04/2025, SEM DÉBITOS.
MK NOMES:
&gt;&gt; IRANI DE OLIVEIRA (PROPRIETÁRIA DO IMÓVEL E MÃE DO ASSINANTE): N/C</t>
  </si>
  <si>
    <t>PENDENTE MENSALIDADE
REMOVIDO DA AGENDA</t>
  </si>
  <si>
    <t>ENDEREÇO NOVO: AVENIDA ESTRÊLA DO SUL, 1070
COMPLEMENTO: AP.204
CEP: 38400339
BAIRRO: MARTINS</t>
  </si>
  <si>
    <t>COMPROVANTE DE ENDEREÇO (CEMIG) EM ANEXO
NOME NO COMPROVANTE: JOAO CARLOS CORREA AMORIM (ASSINANTE)</t>
  </si>
  <si>
    <t>ENDEREÇO NOVO: RUA ORDÁLIA CARNEIRO OLIVEIRA, 123
COMPLEMENTO: CASA 2
CEP: 38401190
BAIRRO: PRESIDENTE ROOSEVELT</t>
  </si>
  <si>
    <t>PLANO ATUAL: 1000 MEGA/99,90 CONTRATADO EM 04/2024 COM FIDELIDADE DE 12 MESES. ROTEADOR: GREATEK
PLANO OFERTADO: 1 GIGA (1.000 MEGA) R$99,90. BENEFÍCIOS: ACESSO GRATUITO AO APP MZTV (CDNTV+) + VOD</t>
  </si>
  <si>
    <t>ALINE REZENDE RODRIGUES (ESPOSA)</t>
  </si>
  <si>
    <t>COMPROVANTE DE ENDEREÇO (DMAE) EM ANEXO
NOME NO COMPROVANTE: FERNANDO RIBEIRO NETO (PAI DO ASSINANTE)</t>
  </si>
  <si>
    <t>MK END: N/C
MK NOMES
- FERNANDO RIBEIRO NETO (PAI DO ASSINANTE): N/C
- ALINE REZENDE RODRIGUES (ESPOSA): N/C
- RUBENS SANTOS RIBEIRO (ASSINANTE): POSSUI CONEXÃO ATIVA E ADIMPLENTE
- RUBENS SANTOS RIBEIRO (UAI BEBIDAS): CONEXÃO CANCELADA SEM DÉBITOS</t>
  </si>
  <si>
    <t xml:space="preserve">MUD END WENGUELL BLENNER PAIXAO DE FREITAS PROT:2604.28777 CARTAO (RONALD) - GRAND VILLE **SOBRADO** </t>
  </si>
  <si>
    <t>APÓS AS 11 HORAS</t>
  </si>
  <si>
    <t>ENDEREÇO NOVO: TEREZA BUENO DO PRADO, 98
COMPLEMENTO: APT. 4
CEP: 38411454
BAIRRO: SHOPPING PARK</t>
  </si>
  <si>
    <t>COMPROVANTE DE ENDEREÇO (COMPRA E VENDA) EM ANEXO
NOME NO COMPROVANTE: WENGUELL BLENNER PAIXAO DE FREITAS (ASSINANTE)</t>
  </si>
  <si>
    <t>MK END;
N/C
MK NOME;
WENGUELL BLENNER PAIXAO DE FREITAS
CLIENTE COM CONEXÃO ATIVA E ADIMPLENTE
LEANDRO BORGES GUIMARAES ALTAFIN 084.659.616-46 (ANTIGO PRÓPRIETARIO) 
N/C
VERTE EMPREENDIMENTOS LTDA  52.711.050/0001-80 (VENDEDOR) 
N/C</t>
  </si>
  <si>
    <t xml:space="preserve">
ENDEREÇO NOVO: AVENIDA JERUSALÉM, 85
COMPLEMENTO: BLOCO 2 APTO 06
CEP: 38412392
BAIRRO: JARDIM CANAÃ</t>
  </si>
  <si>
    <t>COMPROVANTE DE ENDEREÇO (DMAE) EM ANEXO
NOME NO COMPROVANTE:  MANOEL GOMES FERREIRA (ASSINANTE)</t>
  </si>
  <si>
    <t>MK END: N/C
MK NOME:  MANOEL GOMES FERREIRA (ASSINANTE)
CONEXÃO ATIVA E ADIMPLENTE</t>
  </si>
  <si>
    <t>ENDEREÇO NOVO: RUA DETROIT, 273
COMPLEMENTO: APTO 301
CEP: 38407754
BAIRRO: NOVO MUNDO</t>
  </si>
  <si>
    <t>COMPROVANTE DE ENDEREÇO (PROMESSA DE COMPRA E VENDA) EM ANEXO
NOME NO COMPROVANTE: ADÃO CARLOS FERREIRA DE ALMEIDA (COMPRADOR/ASSINANTE DA CONEXÃO)</t>
  </si>
  <si>
    <t>MK END
N/C 
MK NOME
-&gt; ADÃO CARLOS FERREIRA DE ALMEIDA (COMPRADOR): ASSINANTE DA CONEXO
-&gt; DELAR INCORPORAÇÃO DE CONSTRUÇÃO LTDA (VENDEDORA/EMPRESA): N/C 
-&gt; TOWER COMPANY IMÓVEIS (IMOBILIÁRIA/INTERMEDIAÇÃO): N/C
-&gt; YARDLEY WAGNER CARFESAN (CORRETOR): N/C</t>
  </si>
  <si>
    <t>MUD END + ALT PLANO WELLINGTON SOARES DOS SANTOS (MUNDO DA TECNOLOGIA) PROT:2604.31109 ISENTO (PEDRO) - LAGOINHA  //  *TROCA DE EQUIPAMENTO*</t>
  </si>
  <si>
    <t>- Sem conferencia
- sem assinatura de contrato
- solicitar outro comprovante</t>
  </si>
  <si>
    <t>ENDEREÇO NOVO: RUA HERCÍLIO ALVIM, 81
COMPLEMENTO: CASA ÚNICA
CEP: 38408510
BAIRRO: LAGOINHA</t>
  </si>
  <si>
    <t>PLANO ATUAL: 1000 MEGA/99,90 CONTRATADO EM 02/2022 COM FIDELIDADE DE 12 MESES. ROTEADOR: GREATEK
PLANO OFERTADO: 1 GIGA (1.000 MEGA) R$99,90. BENEFÍCIOS: ACESSO GRATUITO AO APP MZTV (CDNTV+) + VOD</t>
  </si>
  <si>
    <t>COMPROVANTE DE ENDEREÇO (DMAE) EM ANEXO
NOME NO COMPROVANTE: WALDOMIRO GONÇALVES VIANA (PROVAVELMENTE É O DONO DA CASA)</t>
  </si>
  <si>
    <t>MK END: N/C
MK NOME: WALDOMIRO GONÇALVES VIANA (PROVAVELMENTE O DONO DA CASA) - N/C
WELLINGTON SOARES DOS SANTOS (TITULAR) - POSSUI DOIS CADASTROS CONOSCO;
&gt; WELLINGTON SOARES DOS SANTOS (MUNDO DA TECNOLOGIA) - ATIVA E ADIMPLENTE DESDE 02/2022
&gt; WELLINGTON SOARES DOS SANTOS (OMEGA TECH- ELETRONICOS E INFORMATICA) - CONTRATOU CONOSCO EM 01/2020, PORÉM CANCELOU EM 09/2025, POIS MUDOU PARA OUTRO ENDEREÇO NO QUAL JÁ TINHA INTERNET. CLIENTE DEVOLVEU OS EQUIPAMENTOS E NÃO POSSUI DÉBITOS.</t>
  </si>
  <si>
    <t xml:space="preserve">PENDENTE COMPROVANTE
PRAZO ATÉ HOJE AS 10
REMOVIDO DA AGENDA </t>
  </si>
  <si>
    <t>ENDEREÇO NOVO: RUA HÉLIO ALVES DOS SANTOS, 923
COMPLEMENTO: CASA FUNDO
CEP: 38414296
BAIRRO: LUIZOTE DE FREITAS</t>
  </si>
  <si>
    <t>JULYANA (SOBRINHA)</t>
  </si>
  <si>
    <t xml:space="preserve">PENDENTE COMPROVANTE
DEMAIS INFORMAÇÕES OK </t>
  </si>
  <si>
    <t>ENDEREÇO NOVO: RUA OROZIMBO RIBEIRO, 479
COMPLEMENTO: CASA FRENTE
CEP: 38408242
BAIRRO: SANTA MÔNICA</t>
  </si>
  <si>
    <t>COMPROVANTE DE ENDEREÇO (DMAE) EM ANEXO
NOME NO COMPROVANTE: JOSE GETULIO ALVES DE SOUSA (DIZ SER DONO DA RESIDENCIA)</t>
  </si>
  <si>
    <t>MK END: N/C
MK NOMES:
JOSE GETULIO ALVES DE SOUSA (PROPRIETARIO DO IMOVEL): N/C</t>
  </si>
  <si>
    <t>PENDENTE MENSALIDADE MES 03
DEMAIS INFORMAÇÕES VALIDADAS OK
REMOVIDO DA AGENDA</t>
  </si>
  <si>
    <t>ENDEREÇO NOVO: RUA IAMAY BORGES GOMES, 467
COMPLEMENTO: CASA 2
CEP: 38425587
BAIRRO: SHOPPING PARK</t>
  </si>
  <si>
    <t>JULIA (FILHA DE CARMEN)</t>
  </si>
  <si>
    <t>COMPROVANTE DE ENDEREÇO (CEMIG) EM ANEXO
NOME NO COMPROVANTE: DELMINDO PINTO DE OLIVEIRA  (CLIENTE DIZ QUE É MORADOR ANTIGO)</t>
  </si>
  <si>
    <t>MK END: N/C
MK NOMES:
DELMINDO PINTO DE OLIVEIRA:  N/C
JULIA ALVES CAPELLA (FILHA DE TITULAR): N/C</t>
  </si>
  <si>
    <t>COMPROVANTE DE ENDEREÇO (CEMIG) EM ANEXO
NOME NO COMPROVANTE: EMERSON DA SILVA (ANTIGO INQUILINO)</t>
  </si>
  <si>
    <t>MK END;
ADERCI HONORIO DA SILVA 609.793.566-87
CONEXÃO CANCELADA EM 2022 POR INADIMPLÊNCIA, DÉBITOS NÃO PAGOS E EQUIPAMENTOS NÃO FORAM RECOLHIDOS.
DÉBITO TOTAL PENDENTE - 880,95
MK NOME;
SILVANIA CAMPOS NEIVA 472.900.991-68 (ASSINANTE)
CLIENTE CONEXÃO ATIVA E ADIMPLENTE
EMERSON DA SILVA 004.1**.***-** (ANTIGO INQUILINO)
N/C</t>
  </si>
  <si>
    <t>(34) 99242-3810</t>
  </si>
  <si>
    <t>ENDEREÇO NOVO: AVENIDA CLEANTO VIEIRA GONÇALVES, 45
COMPLEMENTO: SOBRADO
CEP: 38401195
BAIRRO: PRESIDENTE ROOSEVELT</t>
  </si>
  <si>
    <t>COMPROVANTE DE ENDEREÇO (CEMIG) EM ANEXO
NOME NO COMPROVANTE: JOSE MARQUES PEREIRA (PAI)</t>
  </si>
  <si>
    <t xml:space="preserve">MK END: N/C 
MK NOME:
- JOSE MARQUES PEREIRA - PAI DA ASSINANTE - N/C;
- LAUANE ALVES PEREIRA - CPF: 13243927625 - ASSINANTE - CLIENTE ATIVO E ADIMPLENTE COM A EMPRESA. </t>
  </si>
  <si>
    <t>MUD END + ALT PLANO THAIS CARVALHO SILVA ARAUJO  PROT:2604.30129 ISENTO (PEDRO) - DISTRITO INDUSTRIAL  //  *TROCA DE EQUIPAMENTO*</t>
  </si>
  <si>
    <t>ENDEREÇO: RUA JORGE ZACHARIAS, 93
COMPLEMENTO: CASA ÚNICA
CEP: 38414-346
BAIRRO: JRDIM PATRICIA</t>
  </si>
  <si>
    <t>PLANO ATUAL: 1000 MEGA/99,90 CONTRATADO EM 09/2023 COM FIDELIDADE DE 12 MESES. ROTEADOR: HUAWEI AX2
PLANO OFERTADO: 1 GIGA (1.000 MEGA) R$99,90. BENEFÍCIOS: ACESSO GRATUITO AO APP MZTV (CDNTV+) + VOD</t>
  </si>
  <si>
    <t>COMPROVANTE DE ENDEREÇO (CEMIG) EM ANEXO
NOME NO COMPROVANTE: ELCIMAR CANDIDO ARAUJO (DISSE SER O DONO DA CASA)</t>
  </si>
  <si>
    <t>MK END: N/C
MK NOME: ELCIMAR CANDIDO ARAUJO (DISSE SER O DONO DA CASA) - N/C
THAIS CARVALHO SILVA ARAUJO (TITULAR) - POSSUI CONEXÃO CONOSCO DESDE 01/2023, ATIVA E ADIMPLENTE.</t>
  </si>
  <si>
    <t xml:space="preserve">AGUARDANDO VIDEO PARA VALIDAÇÃO
REMOVIDO DA AGENDA  </t>
  </si>
  <si>
    <t xml:space="preserve">MUD END + ALT PLANO ETTICA CONTABILIDADE LTDA PROT:2604.32060 ISENTO (PEDRO) - JARAGUÁ  //  </t>
  </si>
  <si>
    <t>VALIDAÇÃO OK 
PENDENTE ASSINATURA DO CONTRATO</t>
  </si>
  <si>
    <t>ENDEREÇO NOVO: AVENIDA BRIGADEIRO SAMPAIO, 742
COMPLEMENTO: CASA COMERCIAL
CEP: 38413081
BAIRRO: JARAGUÁ</t>
  </si>
  <si>
    <t>PLANO ATUAL: 1000 MEGA/99,90 CONTRATADO EM 03/2025 COM FIDELIDADE DE 12 MESES. ROTEADOR: ONT TP-LINK XC230
PLANO OFERTADO: 1 GIGA (1.000 MEGA) R$99,90. BENEFÍCIOS: ACESSO GRATUITO AO APP MZTV (CDNTV+) + VOD</t>
  </si>
  <si>
    <t>COMPROVANTE DE ENDEREÇO (CONTRATO DE LOCAÇÃO) EM ANEXO
NOME NO COMPROVANTE: ETTICA CONTABILIDADE LTDA (ASSINANTE)</t>
  </si>
  <si>
    <t>MK END: STUDIO SARAH LUZ - SAUDE E FITNESS LTDA (COMÉRCIO 01) - POSSUI CONEXÃO CONOSCO DESDE 11/2025, ATIVA E ADIMPLENTE.
MK NOME: ABERIDES LUPPI PITTELLI (LOCADOR / CPF: 252.429.678-46) - N/C
RENATA FIGUEIREDO RIBEIRO PITTELLI (LOCADORA / CPF: 221.739.348-05) - N/C
IVAN NEGÓCIOS IMOBILIÁRIOS LTDA (ADMINISTRADORA / CNPJ: 20.869.012/0001-64) - N/C
IVAN GRACIANO DA COSTA FILHO (REPRESENTANTE / CPF: 040.246.836-83) - N/C
RICARDO GRACIANO DA COSTA (REPRESENTANTE / CPF: 042.613.186-01) - N/C
VICENTE PAULO FERREIRA (REPRESENTANTE / CPF: 435.173.826-04) - N/C
JOYCE APARECIDA DIAS (REPRESENTANTE / CPF: 058.367.476-36) - N/C
TAIZ LAMARA BALESTERE TEIXEIRA ALVES (REPRESENTANTE / CPF: 320.333.798-33) - N/C
ETTICA CONTABILIDADE LTDA (LOCATÁRIA / TITULAR / CNPJ: 46.609.919/0001-88) - POSSUI CONEXÃO CONOSCO DESDE 09/2022, ATIVA E ADIMPLENTE.
JOSIANE REGINA DOS SANTOS OLIVEIRA (REPRESENTANTE / CPF: 040.168.486-52)
DOMINGOS DE SOUZA GUIMARAES JUNIOR (FIADOR / CPF: 211.039.766-72)
TANIA MESQUITA GUIMARAES (FIADORA / CPF: 351.573.136-91)
JOSIANE REGINA DOS SANTOS OLIVEIRA (FIADORA / CPF: 040.168.486-52)</t>
  </si>
  <si>
    <t xml:space="preserve">MUD END + ALT PLANO PAMELLA SANTIAGO DAVID PROT:2604.19062 ISENTO (JOSÉ Jr) - SARAIVA </t>
  </si>
  <si>
    <t xml:space="preserve"> (34) 99689-9754</t>
  </si>
  <si>
    <t>ENDEREÇO NOVO: RUA DUQUE DE CAXIAS, 1560
COMPLEMENTO: CONDOMINIO RESEDENCIAL OLIMPIA APT 402
CEP: 38408382
BAIRRO: VIGILATO PEREIRA</t>
  </si>
  <si>
    <t>PLANO ATUAL: 1000 MEGA/99,90 CONTRATADO EM 06/2024 COM FIDELIDADE DE 12 MESES. ROTEADOR: ONT TP-LINK XC230
PLANO OFERTADO: 1 GIGA (1.000 MEGA) R$99,90. BENEFÍCIOS: ACESSO GRATUITO AO APP MZTV (CDNTV+) + VOD</t>
  </si>
  <si>
    <t>COMPROVANTE DE ENDEREÇO (CONTRATO DE LOCAÇÃO) EM ANEXO
NOME NO COMPROVANTE: PAMELLA SANTIAGO YUNES (ASSINANTE)</t>
  </si>
  <si>
    <t>MK END:N/C
MK NOMES:
     MELISSA ARANTES SILVA MIRANDA(lOCADOR)N/C
    ADMINISTRADORA RAÍZES NEGÓCIOS IMOBILIÁRIOS  CNPJ :55.296.328/0001-99(LOCADOR)N/C
    ANDRÉA DE OLIVEIRA PAMENZONI ZAMBONIN CPF:052.767.436-22(LOCADOR)SOCIO DA EMPRESA ADMINISTRADORA RAÍZES NEGÓCIOS IMOBILIÁRIOS N/C
   MARCO PAULO SOARES FERNANDES CPF:075.619.836-46(LOCADOR) SOCIO DA EMPRESA ADMINISTRADORA RAÍZES NEGÓCIOS IMOBILIÁRIOSN/C
   PAMELLA SANTIAGO YUNES CPF:119.062.956-97(LOCATARIO)TITULAR DA CONEXÃO
    MARIO JACOB YUNES JUNIOR CPF:910.768.206-97(LOCATARIO)N/C
   MARIO EUGENIO RESENDE JACOB IUNES CPF:459.615.495-15 (FIADOR)N/C
   VALERIA CRISTINA DE MELO CPF:584.138.206-34(FIADOR CÔNJUGE)N/C
  VANIA CRISTINA GREGUE MORO CPF: 632.787.821-00(TESTEMUNHA)N/C
  ALBERTO JUNIOR DE PAULA PADRE CPF: 059.969.166-22(TESTEMUNHA)N/C</t>
  </si>
  <si>
    <t>ENDEREÇO NOVO: RUA MANCHESTER, 55
COMPLEMENTO: CASA
CEP: 38414565
BAIRRO: JARDIM EUROPA</t>
  </si>
  <si>
    <t xml:space="preserve">PLANO ATUAL: 600 MEGA/79,90 CONTRATADO EM 04/2025 COM FIDELIDADE DE 12 MESES. ROTEADOR: ONT ZTE F 670-L
PLANO OFERTADO: 600 MEGA/79,90. BENEFÍCIOS: ACESSO GRATUITO AO APP MZTV (CDNTV+)
</t>
  </si>
  <si>
    <t>GLADSTON DAVI BARBOSA DE SOUZA  (FILHO)</t>
  </si>
  <si>
    <t>34 99961-6130</t>
  </si>
  <si>
    <t>COMPROVANTE DE ENDEREÇO (CEMIG) EM ANEXO
NOME NO COMPROVANTE: GLADSTON JOSE BARBOSA DE SOUZA (ESPOSO DA ASSINANTE)</t>
  </si>
  <si>
    <t>MUD END VALDEMAR LOPES NERY PROT:2604.13394 PIX (PEDRO) - PLANALTO</t>
  </si>
  <si>
    <t xml:space="preserve">JA VALIDADO ANTERIORMENTE 
CONFIRMAR SE LEVOU OS EQUIPAMENTOS </t>
  </si>
  <si>
    <t>(34) 99774-0745</t>
  </si>
  <si>
    <t>MUD END + ALT PLANO GABRIEL HENRIQUE JOAQUIM OLIVEIRA PROT:2605.2398 ISENTO (BRUNA) - JARDIM INCONFIDÊNCIA *PRÉDIO COM PRUMADA* //</t>
  </si>
  <si>
    <t xml:space="preserve">SOLICITADO PELO CADASTRO 
VALIDADO OK </t>
  </si>
  <si>
    <t>ENDEREÇO NOVO: AVENIDA VEREADOR CARLITO CORDEIRO, 1895
COMPLEMENTO: COND.  PARK KARAIBA BL B AP 103
CEP: 38411475
BAIRRO: JARDIM INCONFIDÊNCIA</t>
  </si>
  <si>
    <t>PLANO ATUAL: 1000 MEGA/99,90 CONTRATADO EM 09/05 COM FIDELIDADE DE 12 MESES. ROTEADOR: ONT TP-LINK X530
PLANO OFERTADO: 1 GIGA (1.000 MEGA) R$99,90. BENEFÍCIOS: ACESSO GRATUITO AO APP MZTV (CDNTV+) + VOD</t>
  </si>
  <si>
    <t>COMPROVANTE DE ENDEREÇO (DMAE) EM ANEXO
NOME NO COMPROVANTE: GABRIEL HENRIQUE JOAQUIM OLIVEIRA (ASSINANTE)</t>
  </si>
  <si>
    <t>MK END: N/C
MK NOMES:  N/C</t>
  </si>
  <si>
    <t xml:space="preserve">MUD END + ALT PLANO NUBIA ALVES FERREIRA PROT:2604.31309 ISENTO (PEDRO) - JARDIM DAS PALMEIRAS  //  </t>
  </si>
  <si>
    <t>ENDEREÇO NOVO: RUA DOS PÁSSAROS-PRETOS, 259
COMPLEMENTO: CASA DO FUNDO
CEP: 38412234
BAIRRO: JARDIM DAS PALMEIRAS</t>
  </si>
  <si>
    <t>PLANO ATUAL: 300 MEGA/69,90 CONTRATADO EM 03/2025 COM FIDELIDADE DE 12 MESES. ROTEADOR: ONT TP-LINK XC220
PLANO OFERTADO: 300 MEGA/69,90. BENEFÍCIOS: ACESSO GRATUITO AO APP MZTV (CDNTV+)</t>
  </si>
  <si>
    <t>COMPROVANTE DE ENDEREÇO (CEMIG) EM ANEXO
NOME NO COMPROVANTE: DIOGO MELO SILVA FERREIRA MACHADO (MORADOR DA CASA DA FRENTE)</t>
  </si>
  <si>
    <t>MK END: N/C
MK NOME: DIOGO MELO SILVA FERREIRA MACHADO (DISSE SER O MORADOR DA CASA DA FRENTE) - N/C
NUBIA ALVES FERREIRA (TITULAR) - POSSUI CONEXÃO CONOSCO DESDE 12/2024, ATIVA E ADIMPLENTE.</t>
  </si>
  <si>
    <t>ENDEREÇO NOVO: RUA SÉRGIO HENRIQUE MARTINELLI, 230
COMPLEMENTO: CASA FUNDO
CEP: 38408300
BAIRRO: SEGISMUNDO PEREIRA</t>
  </si>
  <si>
    <t>PLANO ATUAL: 600 MEGA/79,90 CONTRATADO EM 05/25 COM FIDELIDADE DE 12 MESES. ROTEADOR: ZTE H199-A
PLANO OFERTADO: 600 MEGA/79,90. BENEFÍCIOS: ACESSO GRATUITO AO APP MZTV (CDNTV+)</t>
  </si>
  <si>
    <t>ANA CLARA SILVA SOUZA (ESPOSA)</t>
  </si>
  <si>
    <t>34 99838-0768</t>
  </si>
  <si>
    <t>COMPROVANTE DE ENDEREÇO (CEMIG) EM ANEXO
NOME NO COMPROVANTE: LUZELENA DIAS MENDES (DIZ SER A PROPRIETARIA DO IMOVEL)</t>
  </si>
  <si>
    <t>MK END: N/C
MK NOMES: 
ANA CLARA SILVA SOUZA (ESPOSA DE RAILSON): N/C
LUZELENA DIAS MENDES (PROPRIETARIA DO IMOVEL): N/C</t>
  </si>
  <si>
    <t xml:space="preserve">MUD END ALFREDO SIRINO DA SILVA PROT:2605.875 CARTÃO (PEDRO) - PACAEMBU  </t>
  </si>
  <si>
    <t>FELIPE ALFREDO DA SILVA (FILHO DE ALFREDO)</t>
  </si>
  <si>
    <t>COMPROVANTE DE ENDEREÇO (CEMIG) EM ANEXO
NOME NO COMPROVANTE:  CRISTINA VIERA ALVES (DISSE SER A DONA DO IMÓVEL)</t>
  </si>
  <si>
    <t xml:space="preserve">MUD END + ALT PLANO WILSON LUZ DOS SANTOS PROT:2605.971 ISENTO (VICTOR H.) - JARDIM PATRÍCIA **PRÉDIO SEM PRUMADA - ENVIAR TÉCNICO DUPLADO** //  </t>
  </si>
  <si>
    <t>ENDEREÇO NOVO: RUA CACIQUE JURUNA, 261
COMPLEMENTO: APTO 05
CEP: 38414181
BAIRRO: JARDIM PATRÍCIA</t>
  </si>
  <si>
    <t>PLANO ATUAL: 300 MEGA/69,90 CONTRATADO EM 07/2025 COM FIDELIDADE DE 12 MESES. ROTEADOR: ONT TP-LINK XC220
PLANO OFERTADO: 300 MEGA/69,90. BENEFÍCIOS: ACESSO GRATUITO AO APP MZTV (CDNTV+)</t>
  </si>
  <si>
    <t>ELIZABETH VIEIRA SANTOS LUZ (ESPOSA)</t>
  </si>
  <si>
    <t>COMPROVANTE DE ENDEREÇO (CEMIG) EM ANEXO
NOME NO COMPROVANTE: ELIZABETH VIEIRA SANTOS LUZ (ESPOSA DO ASSINANTE)</t>
  </si>
  <si>
    <t>MK NOMES: 
ELIZABETH VIEIRA SANTOS LUZ (ESPOSA DO ASSINANTE) N/C 
MK END: N/C</t>
  </si>
  <si>
    <t>ENDEREÇO NOVO: RUA FACÃO, 718
COMPLEMENTO: CASA 1
CEP: 38407132
BAIRRO: MORUMBI</t>
  </si>
  <si>
    <t>COMPROVANTE DE ENDEREÇO (CONTRATO DE COMPRA) EM ANEXO
NOME NO COMPROVANTE: FREDERICO LUIZ DE OLIVEIRA LIMA/ALANA ARANTES OLIVEIRA GONCALVES (ASSINANTE E ESPOSO)</t>
  </si>
  <si>
    <t>MK END: N/C
MK NOME: 
FREDERICO LUIZ DE OLIVEIRA LIMA - CPF/CNPJ: 004.493.401-71(ESPOSO DA TITULAR): N/C
ALANA ARANTES OLIVEIRA GONCALVES - CPF/CNPJ: 120.569.486-21 (ASSINANTE): ATIVA E ADIMPLENTE
OLIVEIRA ANDRADE ENGENHARIA LTDA. - CPF/CNPJ: 23.902.255/0001-45 (VENDEDORES): NÃO CONCLUIU O CADASTRO.
WERLEY MACHADO DE OLIVEIRA - CPF/CNPJ: 048.950.306-36 (SOCIO DA EMPRESA OLIVEIRA): N/C
 CINTIA SOUZA LOPES (REPRESENTANTE DA CAIXA): N/C</t>
  </si>
  <si>
    <t xml:space="preserve">MUD END FRANCISCA FERREIRA DA SILVA PROT:2605.1291 CARTAO (RAMONY) - PATRIMÔNIO   </t>
  </si>
  <si>
    <t>CONFERÊNCIA INCOMPLETA
COMPLEMENTO INCOMPLETO (FOTOS DO GOOGLE MOSTRAM 2 PADRÕES DE ENERGIA</t>
  </si>
  <si>
    <t>34 98442-5182</t>
  </si>
  <si>
    <t>ENDEREÇO NOVO: RUA JOSÉ SERAFIM DE OLIVEIRA, 141
COMPLEMENTO: CASA UNICA
CEP: 38411034
BAIRRO: PATRIMÔNIO</t>
  </si>
  <si>
    <t>COMPROVANTE DE ENDEREÇO (CEMIG) EM ANEXO
NOME NO COMPROVANTE: LUIS CLAUDIO SILVA (PROPRIETÁRIO DO IMÓVEL)</t>
  </si>
  <si>
    <t>MK END: MARCIA BENTA RIBEIRO - SOLICITOU INSTALAÇÃO EM 10/2023, PORÉM O SISTEMA SÓ AUTORIZOU A MESMA COM A COMPRA DOS APARELHOS, DIANTE DISSO A CLIENTE NÃO QUIS SEGUIR COM A SOLICITAÇÃO.
MK NOME: FRANCISCA FERREIRA DA SILVA (TITULAR) - POSSUI CONEXÃO CONOSCO DESDE 02/2025, ATIVA E ADIMPLENTE.
LUIS CLAUDIO SILVA (PROPRIETÁRIO DO IMÓVEL) - N/C</t>
  </si>
  <si>
    <t>ENDEREÇO NOVO: AVENIDA PROFESSORA JUVENÍLIA DOS SANTOS, 1122
COMPLEMENTO: ED. DINORAH BARROSO, AP. 204
CEP: 38408216
BAIRRO: SANTA MÔNICA</t>
  </si>
  <si>
    <t>MELISSA (FILHA DE EDUARDO)</t>
  </si>
  <si>
    <t>COMPROVANTE DE ENDEREÇO (CONTRATO DE LOCAÇÃO) EM ANEXO
NOME NO COMPROVANTE: MELISSA MOURA COSTA (FILHA DO TITULAR)</t>
  </si>
  <si>
    <t>MK END: N/C
MK NOME: DILMA ANDRADE DE PAULA (LOCADORA / CPF: 823.347.497-53) - N/C
IVAN NEGÓCIOS IMOBILIÁRIOS LTDA (ADMINISTRADORA / CNPJ: 20.869.012/0001-64) - N/C
IVAN GRACIANO DA COSTA FILHO (REPRESENTANTE / CPF: 040.246.836-83) - N/C
RICARDO GRACIANO DA COSTA (REPRESENTANTE / CPF: 042.613.186-01) - N/C
VICENTE PAULO FERREIRA (REPRESENTANTE / CPF: 435.173.826-04) - N/C
JOYCE APARECIDA DIAS (REPRESENTANTE / CPF: 058.367.476-36) - N/C
TAIZ LAMARA BALESTERE TEIXEIRA ALVES (REPRESENTANTE / CPF: 320.333.798-33) - N/C
MELISSA MOURA COSTA (LOCATÁRIA / CPF: 114.934.156-46) - N/C
SILVIA MARIA DE ARAUJO (FIADORA / CPF: 884.548.006-20) - N/C
EDUARDO ANTÔNIO COSTA SANTOS (FIADOR / TITULAR / CPF: 776.927.486-91) - POSSUI CONEXÃO CONOSCO DESDE 10/2024, ATIVA E ADIMPLENTE.
REGINALDO PESSANHA DE PAULA (FIADOR / CPF: 486.139.166-00) - N/C
CRISTIANE COSTA SANTOS PESSANHA (FIADORA / CPF: 039.748.066-01) - N/C</t>
  </si>
  <si>
    <t xml:space="preserve">MUD END JOSEANE LOPES DO NASCIMENTO PROT:2604.32363 PIX (VICTOR H.) - SANTA MÔNICA   </t>
  </si>
  <si>
    <t xml:space="preserve"> PIX</t>
  </si>
  <si>
    <t>ENDEREÇO NOVO: RUA NORDAU GONÇALVES DE MELO, 482
COMPLEMENTO: CASA FUNDO
CEP: 38408218
BAIRRO: SANTA MÔNICA</t>
  </si>
  <si>
    <t>COMPROVANTE DE ENDEREÇO (CEMIG) EM ANEXO
NOME NO COMPROVANTE: ROSEANE LOPES FERREIRA (MÃE DA ASSINANTE)</t>
  </si>
  <si>
    <t>MK END: N/C 
MK NOME: ROSEANE LOPES FERREIRA (MÃE DA ASSINANTE) N/C</t>
  </si>
  <si>
    <t xml:space="preserve">MUD END MARCOS VENICIO CONCEICAO SILVA PROT:2605.942 DINHEIRO (VITOR M.) - SANTA ROSA   </t>
  </si>
  <si>
    <t>VALIDAÇÃO OK 
JESSICA AMARAL LIMA (ANTIGA MORADORA) - NC</t>
  </si>
  <si>
    <t>ENDEREÇO NOVO: AVENIDA CLEANTO VIEIRA GONÇALVES, 1904
COMPLEMENTO: AP 01
CEP: 38401721
BAIRRO: SANTA ROSA</t>
  </si>
  <si>
    <t>COMPROVANTE DE ENDEREÇO (CONTRATO DE LOCAÇÃO) EM ANEXO
NOME NO COMPROVANTE: MARCOS VENICIO CONCEIÇÃO SILVA  (ASSINANTE)</t>
  </si>
  <si>
    <t xml:space="preserve">MUD END + ALT PLANO ARTHUR JUNQUEIRA OLIVEIRA PROT:2604.31320 ISENTO (RONALD) - SANTA MÔNICA **PRÉDIO COM PRUMADA** //  </t>
  </si>
  <si>
    <t xml:space="preserve">VALIDAÇÃO OK
CLIENTE COM 1 MES DE FIDELIDADE SOLICITANDO REDUÇÃO DE PLANO </t>
  </si>
  <si>
    <t>ENDEREÇO NOVO: RUA JORNALISTA JOÃO DE OLIVEIRA, 944
COMPLEMENTO: APT. 201
CEP: 38408248
BAIRRO: SANTA MÔNICA</t>
  </si>
  <si>
    <t>PLANO ATUAL: 600 MEGA/79,90 CONTRATADO EM 05/2025 COM FIDELIDADE DE 12 MESES. ROTEADOR: ONT TP-LINK XC230
PLANO OFERTADO: 300 MEGA/69,90. BENEFÍCIOS: ACESSO GRATUITO AO APP MZTV (CDNTV+)</t>
  </si>
  <si>
    <t>COMPROVANTE DE ENDEREÇO (CONTRATO DE LOCAÇÃO) EM ANEXO
NOME NO COMPROVANTE: ARTHUR JUNQUEIRA OLIVEIRA (ASSINANTE)</t>
  </si>
  <si>
    <t>MK END;
CLAUDIO JOSE LEMES
CLIENTE SOLICITOU O CANCELAMENTO 07/2025
CLIENTE VEIO A LOJA E DEVOLVEU OS EQUIPAMENTOS, SEM DÉBITOS PENDENTES. 
MK NOME;
ARTHUR JUNQUEIRA OLIVEIRA 080.603.916-74 (ASSINANTE)
CLIENTE MZ NET COM CONEXÃO ATIVA E SEM DÉBITOS PENDENTES. 
APEX INTELIG NCIA EM LANÇAMENTOS LTDA 48.803.137/0001-00 (LOCADOR)
N/C 
ELIS SOUZA DE OLIVEIRA 462.304.326-68 (FIADOR)
N/C 
ANDREA BORGES JUNQUEIRA OLIVEIRA 001.104.456-00 (CONJUGUE DO FIADOR) 
N/C
GUILHERME QUEIROZ MENDONÇA (ADMINISTRADOR) 059.282.646-58
N/C
ANA LUIZA BARBOSA DAS NEVES 019.952.316-90 (TESTEMUNHA) 
N/C
PAOLA MORGANA DE SOUZA COSTA 118.015.456-85 (NÃO LOCALIZADO A FUNÇÃO NO CONTRATO)
N/C</t>
  </si>
  <si>
    <t>ENDEREÇO NOVO: RUA JOÃO AUGUSTO LOPES, 59
COMPLEMENTO: CASA 2
CEP: 38407072
BAIRRO: CONJUNTO ALVORADA</t>
  </si>
  <si>
    <t>COMPROVANTE DE ENDEREÇO (CONTRATO DE LOCAÇÃO) EM ANEXO
NOME NO COMPROVANTE: ELITA RODRIGUES DA SILVA (ASSINANTE)</t>
  </si>
  <si>
    <t xml:space="preserve">MK END
→ N/C
MK NOME
→ ELITA RODRIGUES DA SILVA (LOCATÁRIA): ASSINANTE DA CONEXÃO 
→ AMADOR BATISTA DE MOURA (LOCADOR): N/C </t>
  </si>
  <si>
    <t>ENDEREÇO NOVO: AVENIDA ALEXANDRINO ALVES VIEIRA, 773
COMPLEMENTO: CASA FUNDO
CEP: 38401240
BAIRRO: SANTA ROSA</t>
  </si>
  <si>
    <t>PLANO ATUAL: 500 MEGA/79,90 CONTRATADO EM 06/24 COM FIDELIDADE DE 12 MESES. ROTEADOR: ZTE H199-A
PLANO OFERTADO: 600 MEGA/79,90. BENEFÍCIOS: ACESSO GRATUITO AO APP MZTV (CDNTV+)</t>
  </si>
  <si>
    <t>BRUNA VITÓRIA DE FREITAS (FILHA DE CRISTINA)</t>
  </si>
  <si>
    <t>COMPROVANTE DE ENDEREÇO (CEMIG) EM ANEXO
NOME NO COMPROVANTE: GABRYELLA DE SOUZA SILVA (DIZ SER ANTIGA INQUILINA)</t>
  </si>
  <si>
    <t xml:space="preserve">MUD END MARIA CLARA TEIXEIRA SANTANA PROT:2605.554 PIX (JHONATAN) - TAIAMAN </t>
  </si>
  <si>
    <t>ENDEREÇO NOVO: RUA DOS PIANOS, 867
COMPLEMENTO: CASA 2
CEP: 38415132
BAIRRO: TAIAMAN</t>
  </si>
  <si>
    <t>COMPROVANTE DE ENDEREÇO (DMAE) EM ANEXO
NOME NO COMPROVANTE: LINDOMAR ROGÉRIO LUCAS (DISSE SER O DONO DO IMÓVEL)</t>
  </si>
  <si>
    <t xml:space="preserve">MK END: RAIANE CRISTINA DE JESUS LUCAS (CASA 02 - FRENTE) - CONTRATOU CONOSCO EM 04/2025, MAS SOLICITOU O CANCELAMENTO EM 04/2026 POIS MUDOU PARA OUTRO ESTADO. CLIENTE SEM DÉBITOS E DEVOLVEU OS EQUIPAMENTOS.
MK NOME: LINDOMAR ROGÉRIO LUCAS (DISSE SER O DONO DO IMÓVEL) - N/C
MARIA CLARA TEIXEIRA SANTANA (TITULAR) - POSSUI CONEXÃO CONOSCO DESDE 04/2024, ATIVA E ADIMPLENTE.
</t>
  </si>
  <si>
    <t>ENDEREÇO NOVO: RUA ÁSIA, 619
COMPLEMENTO: CASA FRENTE
CEP: 38405105
BAIRRO: TIBERY</t>
  </si>
  <si>
    <t>PLANO ATUAL: 150 MEGA/59,90 CONTRATADO EM 07/2025 COM FIDELIDADE DE 12 MESES. ROTEADOR: TP LINK C-5
PLANO OFERTADO: 150 MEGA/59,90. BENEFÍCIOS: ACESSO GRATUITO AO APP MZTV (CDNTV+)</t>
  </si>
  <si>
    <t xml:space="preserve">MUD END CHARLES WILSON SOUSA DE OLIVEIRA (MC DIESEL) PROT:2605.1726 PIX (VICTOR H.) - MINAS GERAIS   </t>
  </si>
  <si>
    <t>ENDEREÇO NOVO: RUA ROUSSELS, 527
COMPLEMENTO: COMERCIO ESQUINA
CEP: 38402177
BAIRRO: MINAS GERAIS</t>
  </si>
  <si>
    <t>COMPROVANTE DE ENDEREÇO (IPTU) EM ANEXO
NOME NO COMPROVANTE: ROBERTO BUIATTI (PROPRIETÁRIO DO IMÓVEL )</t>
  </si>
  <si>
    <t>MK END: N/C 
MK NOME:  ROBERTO BUIATTI (PROPRIETÁRIO DO IMÓVEL ) N/C</t>
  </si>
  <si>
    <t>MUD END + ALT PLANO GUSTAVO FILIPE RIBEIRO MAIA PROT:2604.5869  PIX (JHONATAN) - PRESIDENTE ROOSEVELT  //  *TROCA DE EQUIPAMENTO*</t>
  </si>
  <si>
    <t>ENDEREÇO NOVO: RUA PROMOTOR OSWALDO AFONSO BORGES, 448
COMPLEMENTO: CASA 3
CEP: 38401050
BAIRRO: PRESIDENTE ROOSEVELT</t>
  </si>
  <si>
    <t xml:space="preserve">PLANO ATUAL: 300 MEGA/69,90 CONTRATADO EM 01/2026 COM FIDELIDADE DE 12 MESES. ROTEADOR: GREATEK
PLANO OFERTADO: 600 MEGA/79,90. BENEFÍCIOS: ACESSO GRATUITO AO APP MZTV (CDNTV+)
</t>
  </si>
  <si>
    <t>COMPROVANTE DE ENDEREÇO (CEMIG) EM ANEXO
NOME NO COMPROVANTE: EDVANIA CONCEIÇÃO DE JESUS DUARTE (DISSE QUE SE TRATA DA ANTIGA MORADORA DO IMÓVEL / CUNHADA).</t>
  </si>
  <si>
    <t>MK END 
-&gt; MARCOS VINICIUS SILVA SANTOS: PROCESSO DE ADESÃO REPROVADO EM 09/2023 E 11/2023
-&gt; KEYLA CAROLINE BATISTA ARANTES: PROCESSO DE ADESÃO REPROVADO EM 08/2023
MK NOME
-&gt; GUSTAVO FILIPE RIBEIRO MAIA (ASSINANTE DA CONEXÃO)
-&gt; EDVANIA CONCEICÇÃO DE JESUS DUARTE (DISSE QUE É ANTIGA MORADORA DO LOCAL/CUNHADA): N/C</t>
  </si>
  <si>
    <t xml:space="preserve">VALIDAÇÃO OK 
</t>
  </si>
  <si>
    <t>ENDEREÇO NOVO: RUA VARGINHA, 643
COMPLEMENTO: CASA UNICA
CEP: 38400322
BAIRRO: DANIEL FONSECA</t>
  </si>
  <si>
    <t>RAMON DIAS (ESPOSO)</t>
  </si>
  <si>
    <t>COMPROVANTE DE ENDEREÇO (CONTRATO DE LOCAÇÃO) EM ANEXO
NOME NO COMPROVANTE:  RAMON DIAS (LOCATARIO / ESPOSO DE ALICIA)</t>
  </si>
  <si>
    <t>MK END: N/C
MK NOME:
RAPHAEL DINIZ MENEZES - CPF Nº 054.926.116-82 (LOCADOR) - N/C
APARECIDA DINIZ MENEZES - CPF Nº 303.074.736-00  (LOCADORA) - N/C
JAKELLYNE DINIZ MENEZES - CPF Nº 076.194.946-18  (LOCADORA) - N/C
IVAN NEGÓCIOS IMOBILIÁRIOS LTDA (PROCURADOR)  - N/C
IVAN GRACIANO DA COSTA FILHO CPF. 040.246.836-83 (SÓCIO GERENTE)  - N/C
RICARDO GRACIANO DA COSTA CPF 042.613.186-01 (SÓCIO GERENTE)  - N/C
VICENTE PAULO FERREIRA CPF 435.173.826-04 (PROCURADOR DO SÓCIO GERENTE) - N/C
JOYCE APARECIDA DIAS CPF 058.367.476-36  (PROCURADORA DO SÓCIO GERENTE) - N/C
TAIZ LAMARA BALESTERE TEIXEIRA ALVES CPF 320.333.798-33  (PROCURADORA DO SÓCIO GERENTE) - N/C
RAMON DIAS DA SILVA CPF Nº 163.286.336-70 (LOCATÁRIO / ESPOSO DE ALICIA) - N/C
JOELMA DIAS SOARES SILVA CPF Nº 986.889.955-91 (FIADORA / SOGRA DE ALICIA) - N/C
LUCILIO PEREIRA DA SILVA  CPF Nº 914.241.605-10 (FIADOR / SOGRO DE ALICIA) - N/C
BEM DIAS COELHO (FILHO DE ALICIA) - N/C</t>
  </si>
  <si>
    <t>ENDEREÇO NOVO: RUA CALIL ABRÃO, 1019
COMPLEMENTO: SOBRADO
CEP: 38414256
BAIRRO: LUIZOTE DE FREITAS</t>
  </si>
  <si>
    <t>PLANO ATUAL: 600 MEGA/79,90 CONTRATADO EM 12/2024 COM FIDELIDADE DE 12 MESES. ROTEADOR: ONT TP-LINK XC230
PLANO OFERTADO: 600 MEGA/79,90. BENEFÍCIOS: ACESSO GRATUITO AO APP MZTV (CDNTV+)</t>
  </si>
  <si>
    <t>COMPROVANTE DE ENDEREÇO (CONTRATO DE LOCAÇÃO) EM ANEXO
NOME NO COMPROVANTE:  LUCIANO GOMES DOS SANTOS (ESPOSO DA ASSINANTE)</t>
  </si>
  <si>
    <t>MK END: N/C
MK NOMES:
- DIZELMA CAROLINO DE MORAIS SOUZA 302.436.616-49 (LOCADORA): POSSUI CONEXÃO ATIVA E ADIMPLENTE NO ENDEREÇO RUA RIO CORUMBA 270 AP 502
- LUCIANO GOMES DOS SANTOS 596.863.161-91 (LOCATÁRIO E ESPOSO DA ASSINANTE): N/C
- SILVANEIDE ARAGAO DA SILVA 101.013.556-29 (ASSINANTE): POSSUI CONEXÃO ATIVA E ADIMPLENTE</t>
  </si>
  <si>
    <t>ENDEREÇO NOVO: RUA HÉLIO ALVES DOS SANTOS, 451
COMPLEMENTO: CASA 2
CEP: 38414296
BAIRRO: LUIZOTE DE FREITAS</t>
  </si>
  <si>
    <t>COMPROVANTE DE ENDEREÇO (CONTRATO DE LOCAÇÃO) EM ANEXO
NOME NO COMPROVANTE: CONCEICAO DE FREITAS PAULA  (DIZ SER SUA AVÓ)</t>
  </si>
  <si>
    <t>MK END:
SEBASTIAO COELHO DIAS: EM 06/02/2020 HOUVE PEDIDO DE INSTALAÇÃO, PORÉM, FICHA FOI REPROVADA.
MK NOMES:
JULYANA DE FREITAS CARMELITO (SOBRINHA): N/C
CONCEICAO DE FREITAS PAULA (AVÓ DE JENIFFER): N/C
ROTINA ADMINISTRACAO DE RECEBIVEIS LTDA (ADMINISTRADOR): N/C  
KETLYN SABRINA MIRANDA DE FREITAS (IRMÃ DE JENIFFER): N/C</t>
  </si>
  <si>
    <t>MUD END + ALT PLANO MATEUS PEREIRA GOMES PROT:2604.31327 ISENTO (RONALD) - SEGISMUNDO PEREIRA **PRÉDIO SEM PRUMADA**</t>
  </si>
  <si>
    <t>ENDEREÇO NOVO: RUA GARIBALDI FONSECA E SILVA, 24
COMPLEMENTO: APT. 201
CEP: 38408286
BAIRRO: SEGISMUNDO PEREIRA</t>
  </si>
  <si>
    <t>COMPROVANTE DE ENDEREÇO (CONTRATO DE LOCAÇÃO) EM ANEXO
NOME NO COMPROVANTE: MATEUS PEREIRA GOMES (ASSINANTE)</t>
  </si>
  <si>
    <t>MK END;
N/C
MK NOME;
MATEUS PEREIRA GOMES 074.083.601-31 (ASSINANTE)
CLIENTE COM CONEXÃO ATIVA E ADIMPLENTE.
DENISE LINO GOMES 947.613.371-68 (MÃE DE MATEUS)
N/C
JACQUELINE PEREIRA BRITO 110.431.326-00 (LOCADORA)
N/C
SENHA IMÓVEIS LTDA 00.491.095/0001-93 (REPRESENTANTE)
N/C
DONIZETE TAVARES DOS REIS 288.291.586-15 (SÓCIO DA SENHA IMOVEIS LTDA)
CLIENTE MZ NET DESDE 2024, CONEXÃO ATIVA E ADIMPLENTE.
CHRISTIANE ALVES TORRES 097.304.926-03  (TESTEMUNHA)
N/C
WILLIAM SILVERIO MACHADO 070.980.856-93 (TESTEMUNHA)
N/C
LYDIA MARINNA GONÇALVES (REPRESENTANDE SENHA IMOVEIS LTDA)
N/C</t>
  </si>
  <si>
    <t xml:space="preserve">MUD END ABRAAO WESTER DIAS ALVES PROT:2605.2182 PIX (RONALD) - SHOPPING PARK **PRÉDIO COM PRUMADA** </t>
  </si>
  <si>
    <t>ENDEREÇO NOVO: AVENIDA MINISTRO HOMERO SANTOS, 505
COMPLEMENTO: COND. PAINEIRAS II, BL.1, APT.201
CEP: 38425499
BAIRRO: SHOPPING PARK</t>
  </si>
  <si>
    <t>COMPROVANTE DE ENDEREÇO (COMPRA E VENDA) EM ANEXO
NOME NO COMPROVANTE: ABRAAO WESTER DIAS ALVES (ASSINANTE)</t>
  </si>
  <si>
    <t>MK END;
N/C
MK NOME;
WCC EMPREENDIMENTOS E PARTICIPAÇÕES LTDA 13.812.380/0001-00 (VENDEDORA) 
N/C
ABRAAO WESTER DIAS ALVES 701.215.396-28 (ASSINANTE) 
CONEXÃO ATIVA E CLIENTE ADIMPLENTE
CLAUDIA PEREIRA NEVES 566.667.216-91 (REPRESENTANTE CAIXA ECONOMICA) 
N/C
MARCIO RIBEIRO PEREIRA (REGISTRADOR) 
N/C
PATRICIA TESTA PEREIRA (SUBSTITUTA) 
N/C
JOELIA DA SILVA RIBEIRO (ESCREVENTE) 
N/C
DENISE TESTA PEREIRA (SUBSTITUTA)
N/C
DANIELE AMSTALDEN DE OLIVEIRA (ESCREVENTE)
N/C
LUANA RESENDE RODRIGUES FERREIRA (ESCREVENTE)
N/C</t>
  </si>
  <si>
    <t>ENDEREÇO NOVO: RUA SEBASTIÃO MARTINS DA SILVA, 300
COMPLEMENTO: CASA ÚNICA
CEP: 38401680
BAIRRO: JARDIM BRASÍLIA</t>
  </si>
  <si>
    <t xml:space="preserve"> NAYARA MONIQUE DE SOUSA (FILHA)
JULYANA (SOBRINHA)</t>
  </si>
  <si>
    <t>34997259411 | 34984102711</t>
  </si>
  <si>
    <t>COMPROVANTE DE ENDEREÇO (DMAE) EM ANEXO
NOME NO COMPROVANTE: JAIR FERREIRA DOS SANTOS (DIZ SER O PROPRIETARIO DO IMOVEL)</t>
  </si>
  <si>
    <t>MK END: N/C
MK NOMES: 
JAIR FERREIRA DOS SANTOS (PROPRIETARIO): N/C
NAYARA MONIQUE DE SOUSA (FILHA DE FRANCISCA): N/C</t>
  </si>
  <si>
    <t xml:space="preserve">MUD END + ALT PLANO PRISCILA CRISTINA DE SOUZA PROT:2605.3285 ISENTO (JHONATAN) - JARDIM DAS PALMEIRAS </t>
  </si>
  <si>
    <t>ENDEREÇO NOVO: RUA DO ELETRICISTA, 241
COMPLEMENTO: CASA FUNDO
CEP: 38412336
BAIRRO: JARDIM DAS PALMEIRAS</t>
  </si>
  <si>
    <t>COMPROVANTE DE ENDEREÇO (DMAE) EM ANEXO
NOME NO COMPROVANTE: DANIEL INACIO DE SOUZA  (DIZ SER SEU IRMÃO)
COMPROVANTE DE ENDEREÇO (CEMIG) EM ANEXO
NOME NO COMPROVANTE: ROBERTO INACIO DE SOUZA (DIZ SER SEU PAI)</t>
  </si>
  <si>
    <t>MK END
-&gt; VITORIA MARIA CESARINO: CONEXÃO APROVADA PARA AMIGA BRUNA FERNANDA BORGES PEREIRA DA SILVA EM 06/2025
-&gt; BRUNA FERNANDA BORGES PEREIRA DA SILVA: CONEXÃO ATIVA E SEM DÉBITOS (MUD END CONCLUÍDA EM 29/04)
MK NOME 
-&gt; DANIEL INACIO DE SOUZA  (DIZ SER SEU IRMÃO): N/C
-&gt; ROBERTO INACIO DE SOUZA (DIZ SER SEU PAI): N/C</t>
  </si>
  <si>
    <t xml:space="preserve">MUD END + ALT PLANO DWJ SERVICOS LTDA (IGOR GONÇALVES SÓCIO) PROT:.2605.3120  ISENTO (LAUREN) - CENTRO  //  </t>
  </si>
  <si>
    <t xml:space="preserve">OS ERRADA </t>
  </si>
  <si>
    <t>ENDEREÇO NOVO: RUA CRUZEIRO DOS PEIXOTOS, 270
COMPLEMENTO: SALA 01
CEP: 38400107
BAIRRO: CENTRO</t>
  </si>
  <si>
    <t>COMPROVANTE DE ENDEREÇO (CONTRATO DE LOCAÇÃO) EM ANEXO
NOME NO COMPROVANTE: IGOR GONÇALVES (ASSINANTE)</t>
  </si>
  <si>
    <t>MK END - N/C
MK NOMES -
BAKKAR MOHAMAD GHANNOUM – LOCADOR (SEM CPF INFORMADO NO CONTRATO) - N/C
P.P. IMOBILIÁRIA STORTE LTDA – LOCADOR (CNPJ 48.895.766/0001-08) - N/C
IGOR GONÇALVES – LOCATÁRIO E ASSINANTE – CPF 106.503.396-65 - N/C
DAVID DE JESUS MACIEL – TESTEMUNHA CONTRATO DE LOCAÇÃO – CPF 020.315.576-96 - N/C
ROBERTA RODRIGUES CATANI – TESTEMUNHA CONTRATO DE LOCAÇÃO – CPF 112.614.226-35 - N/C
DWJ SERVICOS LTDA - ASSINANTE - CNPJ 52.498.205/0001-42 - ADIMPLENTE COM A EMPRESA CONTRATAÇÃO REALIZADA NA DATA 04/08/2025</t>
  </si>
  <si>
    <t xml:space="preserve">MUD END DARLAN GEZIEL SANTOS DA SILVA PROT:2605.2295 CARTAO (RONALD) - MANSOUR **PRÉDIO COM PRUMADA** </t>
  </si>
  <si>
    <t>ENDEREÇO NOVO: RUA JAMILE CALIL ATTIÊ, 81
COMPLEMENTO: BL. 6 APT. 308
CEP: 38414419
BAIRRO: MANSOUR</t>
  </si>
  <si>
    <t>COMPROVANTE DE ENDEREÇO (DMAE) EM ANEXO
NOME NO COMPROVANTE: DARLAN GEZIEL SANTOS DA SILVA (ASSINANTE)</t>
  </si>
  <si>
    <t>MK END - N/C
MK NOME; - DARLAN GEZIEL SANTOS DA SILVA 091.011.736-50 (ASSINANTE) - CONEXÃO ATIVA E CLIENTE ADIMPLENTE</t>
  </si>
  <si>
    <t xml:space="preserve">MUD END + ALT PLANO ALINE DUARTE DOS SANTOS VIANA PROT:2605.3270 ISENTO (JOSÉ Jr) - JARDIM PATRÍCIA  // **(POSSUI WI-FI EXTEND)**  </t>
  </si>
  <si>
    <t>ENDEREÇO NOVO: RUA CLÉLIA ZOCOLI DOMINGUES, 252
COMPLEMENTO: CASA UNICA
CEP: 38414194
BAIRRO: JARDIM PATRÍCIA</t>
  </si>
  <si>
    <t>. &lt;b&gt;ONT = ONT TP LINK 530 // CONECTOR = VERDE.&lt;/b&gt;</t>
  </si>
  <si>
    <t>PLANO ATUAL: 1000 MEGA + WI-FI EXTEND/R$134,90 CONTRATADO EM 07/2025 COM FIDELIDADE DE 12 MESES. ROTEADOR: ONT TP-LINK X530 + ONT TP-LINK EX511
PLANO OFERTADO: 1000 MEGA + WI-FI EXTEND/R$134,90. BENEFÍCIOS: ACESSO GRATUITO AO APP MZTV</t>
  </si>
  <si>
    <t>COMPROVANTE DE ENDEREÇO (CONTRATO DE LOCAÇÃO) EM ANEXO
NOME NO COMPROVANTE: GLAICON COSTA VIANA SANTOS  (ESPOSO)</t>
  </si>
  <si>
    <t>MK END:
   DAVID SANTOS DE ANDRADE CANTO CPF:146.021.266-50 APENAS LEAD.
MK NOMES:
    ARLINDO CAVALARO NETO CPF:911.013.106-00(LOCADOR)N/C
    ANA CAROLINA LASSI CAVALARO CPF:048.958.386-50(LOCADOR)N/C 
    GLAICON COSTA VIANA SANTOS CPF:045.088.816-96(LOCATARIO)N/C
    ALINE DUARTE DOS SANTOS CPF:066.663.556-01 (LOCATARIO)TITULAR DA CONEXÃO
    JOAO GRAICON GONÇALVES VIANA CPF:942.044.708-15(FIADOR)N/C</t>
  </si>
  <si>
    <t>ENDEREÇO NOVO: RUA JOSÉ ROSA NETO, 613
COMPLEMENTO: CASA ÚNICA
CEP: 38401848
BAIRRO: MARIA REZENDE</t>
  </si>
  <si>
    <t>COMPROVANTE DE ENDEREÇO (CONTRATO DE LOCAÇÃO) EM ANEXO
NOME NO COMPROVANTE: DANIELLA CRISTINA DE MENESES (ASSINANTE)</t>
  </si>
  <si>
    <t>MK END: N/C
MK NOME: JUAREZ DA SILVA RODRIGUES (LOCADOR / CPF: 360.630.026-34) - N/C
DANIELLA CRISTINA DE MENESES (LOCATÁRIA / CPF: 126.856.926-73) - POSSUI CONEXÃO CONOSCO DESDE 04/2026</t>
  </si>
  <si>
    <t xml:space="preserve">MUD END + ALT PLANO DENIS AUGUSTO PINHO PROT:2604.29980 ISENTO (PEDRO) - SEGISMUNDO PEREIRA **PRÉDIO SEM PRUMADA - ENVIAR TÉCNICO DUPLADO** //  </t>
  </si>
  <si>
    <t>ENDEREÇO NOVO: RUA JOÃO ÂNGELO SCHIAVINATO, 994
COMPLEMENTO: RESID. SELECT, AP.307
CEP: 38408272
BAIRRO: SEGISMUNDO PEREIRA</t>
  </si>
  <si>
    <t>COMPROVANTE DE ENDEREÇO (CONTRATO DE LOCAÇÃO) EM ANEXO
NOME NO COMPROVANTE: THALIZIA PEREIRA BORGES (ESPOSA DO TITULAR)</t>
  </si>
  <si>
    <t>MK END: N/C
MK NOME: THALIZIA PEREIRA BORGES (PROMISSÁRIA COMPRADORA / ESPOSA DO TITULAR): CPF 082.527.376-50 - N/C
JOÃO PAULO NAVES CAMARGO (SÓCIO ADMINISTRADOR DA VENDEDORA): CPF 054.188.466-20 - N/C
FRANCIELLE SOUZA SILVA (FIADORA): CPF 814.186.472-68 - SOLICITOU CONTRATOU EM 08/2025, NO ENTANTO, NÃO QUIS SEGUIR COM A SOLICITAÇÃO.
ARTUR REGIS PEREIRA BORGES (FIADOR): CPF 058.202.756-08 - POSSUI CONEXÃO CONOSCO DESDE 06/2025, ATIVA E ADIMPLENTE.
REGINALDO TEIXEIRA BORGES (FIADOR): CPF 288.203.806-25 - N/C
MARIA REGINA PEREIRA BORGES (FIADORA): CPF 058.202.766-71 - N/C
PEDRO MIGUEL JÚNIOR (TESTEMUNHA): CPF 144.854.636-21 - POSSUI CONEXÃO CONOSCO DESDE 08/2025, ATIVA E ADIMPLENTE
DENIS AUGUSTO PINHO (TITULAR) - POSSUI CONEXÃO CONOSCO DESDE 02/2024, ATIVA E ADIMPLENTE.</t>
  </si>
  <si>
    <t>ENDEREÇO NOVO: RUA ANTÔNIO LOPES DE OLIVEIRA, 16
COMPLEMENTO: CASA UNICA
CEP: 38414276
BAIRRO: LUIZOTE DE FREITAS</t>
  </si>
  <si>
    <t>RONALDO SEVERINO GOUVEIA (ESPOSO)</t>
  </si>
  <si>
    <t>3498808-0427</t>
  </si>
  <si>
    <t>COMPROVANTE DE ENDEREÇO (CEMIG) EM ANEXO
NOME NO COMPROVANTE:  LEANDRA CRISTINA GERVASIO DE SOUZA (ASSINANTE)</t>
  </si>
  <si>
    <t>MK NOMES:
RONALDO SEVERINO GOUVEIA (ESPOSO) N/C 
LEANDRA CRISTINA GERVASIO DE SOUZA (ASSINANTE) 
CONTRATOU EM 11/2023 - CONEXÃO ATIVA E ADIMPLENTE 
MK END: N/C</t>
  </si>
  <si>
    <t>ENDEREÇO NOVO: RUA DAS CEREJEIRAS, 1422
COMPLEMENTO: FRENTE
CEP: 38413096
BAIRRO: JARAGUÁ</t>
  </si>
  <si>
    <t>GIRLANE BORGES DA CRUZ (NORA)</t>
  </si>
  <si>
    <t xml:space="preserve"> (34) 99334-4088</t>
  </si>
  <si>
    <t>COMPROVANTE DE ENDEREÇO (CEMIG) EM ANEXO.
NOME NO COMPROVANTE:  ANA LARA VIEIRA DA SILVA FERREIRA(ANTIGA INQUILINA)</t>
  </si>
  <si>
    <t>MK END: N/C
MK NOMES
- ROSANGELA MARIA MEDEIROS 560.623.116-68 (ASSINANTE): POSSUI 2 CONEXÕES AMBAS ATIVAS E ADIMPLENTES 
* ROSANGELA MARIA MEDEIROS (POLIANA/FILHA) ENDEREÇO: Rua Alexandria N 105 AP 201 - Jardim Europa
* ROSANGELA MARIA MEDEIROS: EM PROCESSO DE MUDANÇA DA RUA ALFREDDO VIEIRA 280 COND. VERTENTES III, BL. B, AP. 206 JARDIM EUROPA PARA O NOVO ENDEREÇO: RUA DAS CEREJEIRAS 1422 - JARAGUA 
- GIRLANE BORGES DA CRUZ (NORA DA ASSINANTE): N/C
- ANA LARA VIEIRA DA SILVA FERREIRA (ANTIGA INQUILINA): N/C</t>
  </si>
  <si>
    <t>REAGENDADO E JA VALIDADO ANTERIORMENTE</t>
  </si>
  <si>
    <t>ENDEREÇO NOVO: RUA SEBASTIÃO SILVEIRA SANTOS, 130
COMPLEMENTO: CASA UNICA
CEP: 38414306
BAIRRO: LUIZOTE DE FREITAS</t>
  </si>
  <si>
    <t xml:space="preserve">PLANO ATUAL: 300 MEGA/69,90 CONTRATADO EM 10/2024 COM FIDELIDADE DE 12 MESES. ROTEADOR: ONT TP-LINK XC220
PLANO OFERTADO: 300 MEGA/69,90. BENEFÍCIOS: ACESSO GRATUITO AO APP MZTV (CDNTV+)
</t>
  </si>
  <si>
    <t>COMPROVANTE DE ENDEREÇO (CONTRATO DE LOCAÇÃO) EM ANEXO
NOME NO COMPROVANTE: SHIRLEI MARA SILVA RIBEIRO (ASSINANTE)</t>
  </si>
  <si>
    <t>MK END:
   DALIANE APARECIDA SOUSA CPF:021.894.396-20 CONEXÃO CANCELADA EM 10/2021.CLIENTE POSSUI DÉBITOS PENDENTES E OS EQUIPAMENTOS NÃO FORAM DEVOLVIDOS, TOTALIZANDO R$ 1.230,55.
MK NOMES :
   SIMONE DE GOUVEIA CPF:010.328.066-99(LOCADOR)POSSUI CONEXÃO ATIVA E NÃO POSSUI DÉBITOS ATRASADOS.
   SHIRLEI MARA SILVA RIBEIRO CPF:019.141.046-25(LOCATARIO)TITULAR DA CONEXÃO
   MARIA RITA SANTANA LIMA CPF:125.909.586-09 (LOCATARIO)N/C</t>
  </si>
  <si>
    <t>ENDEREÇO NOVO: AVENIDA JOSÉ FONSECA E SILVA, 184
COMPLEMENTO: COMERCIO - LOJA 1
CEP: 38414348
BAIRRO: LUIZOTE DE FREITAS</t>
  </si>
  <si>
    <t>PLANO ATUAL: 150 MEGA/59,90 CONTRATADO EM 11/2024 COM FIDELIDADE DE 12 MESES. ROTEADOR: ONT TP-LINK XC220
PLANO OFERTADO: 150 MEGA/59,90. BENEFÍCIOS: ACESSO GRATUITO AO APP MZTV (CDNTV+)</t>
  </si>
  <si>
    <t>COMPROVANTE DE ENDEREÇO (CEMIG) EM ANEXO
NOME NO COMPROVANTE: PRESIDIO PEDRO DE MELO  (DIZ SER O DONO DO IMOVÉL)</t>
  </si>
  <si>
    <t>MK END
→ KEVIN XAVIER RIBEIRO (CNPJ): SOLICITAÇÃO DE CANCELAMENTO EM 03/2026 - EQUIPAMENTOS RECOLHIDOS - CONSTAM DÉBITOS EM ABERTO NO VALOR DE R$ 509,63
  → KEVIN XAVIER RIBEIRO (CPF): CONEXÃO ATIVA DESDE 04/2024 - SEM DÉBITO
→ MARCOS ANTONIO LIMA DINIZ (LET'S STORE): SOLICITAÇÃO DE CONEXÃO APROVADA NO CNPJ DA ESPOSA 44.540.600/0001-18 - LETICIA BORGES DE OLIVEIRA (LET'S STORE) (01/2023)
  → LETICIA BORGES DE OLIVEIRA (LET'S STORE): CONEXÃO CANCELADA POR INADIMPLÊNCIA EM 02/2024. EQUIPAMENTOS RECOLHIDOS. CONSTAM DÉBITOS EM ABERTO NO VALOR DE R$ 449,53.
MK NOME 
→ PRESIDIO PEDRO DE MELO (DIZ SER O DONO DO IMOVÉL):  N/C</t>
  </si>
  <si>
    <t xml:space="preserve">SOLICITAR OUTRO COMPROVANTE DE RESIDENCIA </t>
  </si>
  <si>
    <t>ENDEREÇO NOVO: RUA CAPELA, 571
COMPLEMENTO: CASA FRENTE
CEP: 38401384
BAIRRO: JARDIM BRASÍLIA</t>
  </si>
  <si>
    <t>COMPROVANTE DE ENDEREÇO (CEMIG) EM ANEXO
NOME NO COMPROVANTE: JOSE CARLOS BATISTA DOS SANTOS (RAMON ALEGA SER DONO DA CASA)</t>
  </si>
  <si>
    <t>MK END: 
- CONEXÃO CANCELADA NO NOME DE ACUCENA FELIX DE ANDRADE EM 03/2021 NA QUAL FOI REALIZADO A DEVOLUÇÃO DOS EQUIPAMENTOS. POSSUI MULTA CONTRATUAL E DUAS MENSALIDADES AINDA ESTÃO EM ABERTO. 
MK NOMES: 
- JOSE CARLOS BATISTA DOS SANTOS (RAMON ALEGA SER DONO DA CASA) N/C; 
- RAMON GABRIEL BRITO MAITA - CPF 116.423.842-67 - ASSINANTE - CLIENTE ATIVO E ADIMPLENTE COM A EMPRESA.</t>
  </si>
  <si>
    <t xml:space="preserve">MUD END EMERSON DAVIS KREMPEL BORGES PROT:2605.3356 PIX (VAGNER) - LARANJEIRAS </t>
  </si>
  <si>
    <t>ENDEREÇO NOVO: RUA UGANDA, 251
COMPLEMENTO: CASA UNICA
CEP: 38410298
BAIRRO: LARANJEIRAS</t>
  </si>
  <si>
    <t>COMPROVANTE DE ENDEREÇO (CEMIG) EM ANEXO
NOME NO COMPROVANTE: ADRIANA FARIA MENDES (EMERSON  DISSE SER A PROPRIETÁRIA DO LOCAL)</t>
  </si>
  <si>
    <t>MK END: N/C
MK NOME:  ADRIANA FARIA MENDES(EMERSON  DISSE SER A PROPRIETÁRIA DO LOCAL) - N/C</t>
  </si>
  <si>
    <t xml:space="preserve">MUD END + ALT PLANO JANIALDA RODRIGUES DOS SANTOS PROT:2605.3355 ISENTO (VICTOR H.) - SANTA LUZIA  //  </t>
  </si>
  <si>
    <t>ENDEREÇO NOVO: RUA ANA CARDOSO DA SILVA, 94
COMPLEMENTO: CASA FRENTE
CEP: 38408756
BAIRRO: SANTA LUZIA</t>
  </si>
  <si>
    <t>PLANO ATUAL: 600 MEGA/79,90 CONTRATADO EM 06/2025 COM FIDELIDADE DE 12 MESES. ROTEADOR: ZTE H199-A
PLANO OFERTADO: 600 MEGA/79,90. BENEFÍCIOS: ACESSO GRATUITO AO APP MZTV (CDNTV+)</t>
  </si>
  <si>
    <t>COMPROVANTE DE ENDEREÇO (CONTRATO DE LOCAÇÃO) EM ANEXO
NOME NO COMPROVANTE: EVANDRO TADEU DE LIMA MIGUEL (DISSE SER SEU ESPOSO)</t>
  </si>
  <si>
    <t>MK END: N/C
MK NOMES:
EVANDRO TADEU DE LIMA MIGUEL (DISSE SER SEU ESPOSO) - N/C
MARIA NUNES MARQUES (LOCADORA) - N/C</t>
  </si>
  <si>
    <t xml:space="preserve">MUD END + ALT PLANO KARITA DARC MACHADO PROT:2605.3124 ISENTO (JOSÉ Jr) - MANSOUR **PRÉDIO COM PRUMADA** //  </t>
  </si>
  <si>
    <t>ENDEREÇO NOVO: AVENIDA AMÉRICO ATTIÊ, 20
COMPLEMENTO: CONDOMINIO OLIVA, BLOCO 3, APT106
CEP: 38414505
BAIRRO: MANSOUR</t>
  </si>
  <si>
    <t>COMPROVANTE DE ENDEREÇO (CONTRATO DE LOCAÇÃO) EM ANEXO
NOME NO COMPROVANTE: KARITA DARC MACHADO (ASSINANTE)</t>
  </si>
  <si>
    <t>MK END:
     N/C
MK NOMES:
   MANOEL PEREIRA FILHO CPF:432.266.636-15 (LOCADOR)N/C
   KARITA DARC MACHADO  CPF:090.459.236-70 (LOCATARIO)TITULAR DA CONEXÃO.</t>
  </si>
  <si>
    <t>MUD END + ALT PLANO VALDINEI ANTONIO SOUZA PROT:2605.3573 ISENTO (PEDRO) - JARDIM CANAÃ  //  *TROCA DE EQUIPAMENTO*</t>
  </si>
  <si>
    <t xml:space="preserve">AGUARDANDO RETORNO DE TROCA DE TITULARIDADE ENTRE PAI E FILHA ...
removido da agenda  </t>
  </si>
  <si>
    <t>ENDEREÇO NOVO: RUA SINAI, 619
COMPLEMENTO: CASA ÚNICA
CEP: 38412424
BAIRRO: JARDIM CANAÃ</t>
  </si>
  <si>
    <t>PLANO ATUAL: 600 MEGA/79,90 CONTRATADO EM 08/2024 COM FIDELIDADE DE 12 MESES. ROTEADOR: ONT ZTE F 670-L
PLANO OFERTADO: 1 GIGA (1.000 MEGA) R$99,90. BENEFÍCIOS: ACESSO GRATUITO AO APP MZTV (CDNTV+) + VOD</t>
  </si>
  <si>
    <t>COMPROVANTE DE ENDEREÇO (DMAE) EM ANEXO
NOME NO COMPROVANTE: VALDINEI ANTONIO SOUZA (ASSINANTE)</t>
  </si>
  <si>
    <t>MK END: LORIANE APARECIDA CARDOSO DE SOUZA (FILHA DO TITULAR) - POSSUI CONEXÃO CONOSCO DESDE 08/2024, ATIVA E ADIMPLENTE. CLIENTE DISSE QUE A MESMA MUDOU DE ENDEREÇO E IRÁ SOLICITAR CONOSCO.
MK NOME: VALDINEI ANTONIO SOUZA (TITULAR) - POSSUI CONEXÃO CONOSCO DESDE 07/2023, ATIVA E ADIMPLENTE.
REALIZOU UMA NOVA SOLICITAÇÃO EM SEU NOME EM 08/2024, MAS FOI APROVADO PARA O NOME DA SUA FILHA (LORIANE APARECIDA CARDOSO DE SOUZA).</t>
  </si>
  <si>
    <t>ENDEREÇO NOVO: RUA DOS CURIÓS, 562
COMPLEMENTO: CASA FRENTE
CEP: 38412242
BAIRRO: JARDIM DAS PALMEIRAS</t>
  </si>
  <si>
    <t>COMPROVANTE DE ENDEREÇO (CEMIG) EM ANEXO
NOME NO COMPROVANTE: LEONARDO SEVERINO MACHADO (DISSE SER O DONO DO IMÓVEL)</t>
  </si>
  <si>
    <t>MUD END THAIS CAROLINA LEMES DA CUNHA PROT:2604.15791 PIX (JOSÉ Jr) - OSVALDO REZENDE /</t>
  </si>
  <si>
    <t>ENDEREÇO NOVO: RUA POÇOS DE CALDAS, 870
COMPLEMENTO: CASA UNICA
CEP: 38400410
BAIRRO: OSVALDO REZENDE</t>
  </si>
  <si>
    <t>COMPROVANTE DE ENDEREÇO (CEMIG) EM ANEXO
NOME NO COMPROVANTE: GABRIEL RODRIGUES JUNQUEIRA (CLIENTE DIZ QUE É O MORADOR ANTIGO)</t>
  </si>
  <si>
    <t xml:space="preserve">
MK END:N/C
MK NOMES:
   GABRIEL RODRIGUES JUNQUEIRA CPF: 125.9**.***-** (CLIENTE DIZ QUE É O MORADOR ANTIGO)CONEXÃO CANCELADA EM 02/02/2024. EQUIPAMENTOS DEVOLVIDOS E SEM DÉBITOS PENDENTES.</t>
  </si>
  <si>
    <t>RESERVA - ANALISE 90 DIAS MUD END RONNY ERIK FARIA DA SILVA COSTA PROT: DINHEIRO (RAMONY) - SHOPPING PARK</t>
  </si>
  <si>
    <t>34 99632-9952</t>
  </si>
  <si>
    <t>ENDEREÇO NOVO: AVENIDA MINISTRO HOMERO SANTOS, 331
COMPLEMENTO: RESIDENCIAL DÉBORA ROCHA II, BLOCO1, APT. 101
CEP: 38425498
BAIRRO: SHOPPING PARK</t>
  </si>
  <si>
    <t>COMPROVANTE DE ENDEREÇO (CONTRATO DE COMPRA E VENDA CAIXA) EM ANEXO
NOME NO COMPROVANTE: RONNY ERIK FARIA DA SILVA COSTA (ASSINANTE)</t>
  </si>
  <si>
    <t>MK END: N/C
MK NOMES:
&gt; ALIENANTE / CONSTRUTORA (VENDEDORA)
BONALDI EMPREENDIMENTOS IMOBILIÁRIOS LTDA - N/C
CNPJ: 30.657.791/0001-98
REPRESENTANTE: JOSE CARLOS BONALDI - N/C
CPF: 049.705.076-51
&gt; COMPRADORES
RONNY ERIK FARIA DA SILVA COSTA 
CPF: 021.439.226-04
ASSINANTE, CONEXÃO ATIVA E ADIMPLENTE
JOSEANE MARCELINO BARBOSA SILVA (CÔNJUGE) - N/C
CPF: 107.346.974-30
&gt; INSTITUIÇÃO FINANCEIRA (CREDORA FIDUCIÁRIA)
CAIXA ECONÔMICA FEDERAL - N/C
CNPJ: 00.360.305/0001-04
GESIANE LUIZA DE MIRANDA SANTOS - N/C
CPF: 051.355.416-59</t>
  </si>
  <si>
    <t>ENDEREÇO NOVO: RUA JOÃO BALBINO, 1780
COMPLEMENTO: CASA FUNDO
CEP: 38408262
BAIRRO: SANTA MÔNICA</t>
  </si>
  <si>
    <t xml:space="preserve">VINICIUS (SÓCIO) </t>
  </si>
  <si>
    <t>63 99259-1727</t>
  </si>
  <si>
    <t>COMPROVANTE DE ENDEREÇO (CONTA DA CLARO, TELEFONIA MOVEL) EM ANEXO
NOME NO COMPROVANTE: VINICIOS DANIEL MOREIRA QUEIROZ (DISSE SER NAMORADO DA SUA SOCIA)</t>
  </si>
  <si>
    <t xml:space="preserve">MK END: N/C 
MK NOMES: 
VINICIOS DANIEL MOREIRA QUEIROZ (SOCIO) N/C 
THAUANY DE PAULA TERRA (SOCIA) N/C </t>
  </si>
  <si>
    <t xml:space="preserve">MUD END OTAVIO AUGUSTO SOBRINHO PROT:.2605.6194 CARTAO (LAUREN) - JARAGUÁ   </t>
  </si>
  <si>
    <t>ENDEREÇO NOVO: RUA DAS MANGABEIRAS, 1222
COMPLEMENTO: FUNDOS
CEP: 38413012
BAIRRO: JARAGUÁ</t>
  </si>
  <si>
    <t>COMPROVANTE DE ENDEREÇO (CEMIG) EM ANEXO
NOME NO COMPROVANTE: RAQUEL APARECIDA DOS SANTOS (DIZ SER IRMÃ DE OTAVIO)</t>
  </si>
  <si>
    <t>MK END - N/C
MK NOMES - 
SONIA REGINA OLIVEIRA CPF 393.543.776-53 (DIZ SER IRMÃ) - ATIVA E ADIMPLENTE COM A EMPRESA. ADESÃO NA DATA DE 11/09/2025.
MARIA MADELANA OLIVEIRA (DIZ SER IRMÃ) - N/C
OTAVIO AUGUSTO SOBRINHO CPF 501.973.806-97 (ASSINANTE) - ATIVO E ADIMPLENTE COM A EMPRESA.</t>
  </si>
  <si>
    <t>MUD END + ALT PLANO DANIEL ALVES DA SILVA PROT:2605.747 ISENTO (JOSÉ Jr) - SANTA MÔNICA</t>
  </si>
  <si>
    <t xml:space="preserve">APÓS AS 11:00 HORAS </t>
  </si>
  <si>
    <t>ENDEREÇO NOVO: AVENIDA DOUTOR MISAEL RODRIGUES DE CASTRO, 1563
COMPLEMENTO: CONDOMÍNIO RESIDENCIAL BELA VISTA  AP101
CEP: 38408184
BAIRRO: SANTA MÔNICA</t>
  </si>
  <si>
    <t>COMPROVANTE DE ENDEREÇO (CONTRATO DE LOCAÇÃO) EM ANEXO
NOME NO COMPROVANTE: DANIEL ALVES DA SILVA (ASSINANTE)</t>
  </si>
  <si>
    <t>MK END:N/C
MK NOMES:
   JOSÉ LUCIANO DA SILVA CPF:161.391.196-34(LOCADOR)N/C
   DANIEL ALVES DA SILVA CPF:114.536.936-70(TITULAR DA CONEXÃO)</t>
  </si>
  <si>
    <t xml:space="preserve">MUD END WELLINGTON MARTINS FAGUNDES PROT:2605.3166 PIX (LUIS) - GRAND VILLE **PRÉDIO COM PRUMADA** </t>
  </si>
  <si>
    <t>PENDENTE VALIDAÇÃO COM ASSINANTE
demais validações ok . 
removido da agenda</t>
  </si>
  <si>
    <t>(34) 99769-5521</t>
  </si>
  <si>
    <t>ENDEREÇO NOVO: RUA CIANO, 155
COMPLEMENTO: COND. MIRANTE DOS VENTOS, BL 02 APT 203
CEP: 38407885
BAIRRO: GRAND VILLE</t>
  </si>
  <si>
    <t>PATRICIA (ESPOSA DE WELLINGTON)
CLEUZA (SOGRA)</t>
  </si>
  <si>
    <t>COMPROVANTE DE ENDEREÇO (CONTRATO DE LOCAÇÃO) EM ANEXO
NOME NO COMPROVANTE:  WELLINGTON MARTINS FAGUNDES (ASSINANTE)</t>
  </si>
  <si>
    <t xml:space="preserve">MK END: N/C
MK NOMES:
- MARIA EDUARDA PALMENZONE DE OLIVEIRA - CPF: 700.511.826-02 - LOCADORA - N/C;
- WELLINGTON MARTINS FAGUNDES - CPF: 021.829.071-30 - LOCATÁRIO E ASSINANTE - CLIENTE ATIVO E ADIMPLENTE COM A EMPRESA; 
- PATRICIA DA SILVA DIONIZIO - CPF: 016.533.886-50 - ESPOSA DE WELLINGTON - FICHA CADASTRAL REALIZADA EM 06/2023 PARA O ENDEREÇO RUA MONTE CARMELO, 480 - MARTINS NA QUAL FOI REPROVADA. </t>
  </si>
  <si>
    <t>ENDEREÇO NOVO: RUA CLARICE LISPECTOR, 34
COMPLEMENTO:  CASA 1 
CEP: 38406189
BAIRRO: JARDIM IPANEMA</t>
  </si>
  <si>
    <t>PLANO ATUAL: 1000 MEGA/99,90 CONTRATADO EM 10/2025 COM FIDELIDADE DE 12 MESES. ROTEADOR: ONT TP-LINK X530v2
PLANO OFERTADO: 1 GIGA (1.000 MEGA) R$99,90. BENEFÍCIOS: ACESSO GRATUITO AO APP MZTV (CDNTV+) + VOD</t>
  </si>
  <si>
    <t>COMPROVANTE DE ENDEREÇO (CEMIG) EM ANEXO
NOME NO COMPROVANTE: FLAVIO FURLANETO DOS SANTOS (ASSINANTE)</t>
  </si>
  <si>
    <t>MK END: N/C 
MK NOMES: 
FLAVIO FURLANETO DOS SANTOS (ASSINANTE)
ASSINANTE, CONTRATOU EM 11/2021 - CONEXÃO ATIVA E ADIMPLENTE</t>
  </si>
  <si>
    <t>ENDEREÇO NOVO: RUA JOÃO RODRIGUES DE CASTRO, 55
COMPLEMENTO: PARQUE TRILHAS DA SERRA, BL 24 AP 102
CEP: 38414122
BAIRRO: JARDIM PATRÍCIA</t>
  </si>
  <si>
    <t xml:space="preserve">PLANO ATUAL: 500 MEGA/79,90 CONTRATADO EM 08/2023 COM FIDELIDADE DE 12 MESES. ROTEADOR: ONT ZTE F 670-L
PLANO OFERTADO: 600 MEGA/79,90. BENEFÍCIOS: ACESSO GRATUITO AO APP MZTV (CDNTV+)
</t>
  </si>
  <si>
    <t>COMPROVANTE DE ENDEREÇO (CONTRATO DE COMPRA E VENDA) EM ANEXO
NOME NO COMPROVANTE: ALCIMAR DA SILVA SANTOS (COMPRADOR/ESPOSO DE TANIA)</t>
  </si>
  <si>
    <t>MK END - N/C	
MK NOME:
ALCIMAR DA SILVA SANTOS (COMPRADOR / ESPOSO DE TANIA) N/C
MRV ENGENHARIA E PARTICIPAÇOES S/A (VENDEDOR) N/C		
KELY LEONARDA DE FREITAS GURGEL CPF: 735.396.866-49 (TESTEMUNHA 1) N/C
ROZELMIRA PAULINO COSTA CPF:817.634.416-87 (TESTEMUNHA 2) N/C</t>
  </si>
  <si>
    <t>ENDEREÇO NOVO: RUA ESTRELA DALVA, 860
COMPLEMENTO: PONTO COMERCIAL- LOJA 01 ENTRADAS SEPARADAS
CEP: 38401428
BAIRRO: JARDIM BRASÍLIA</t>
  </si>
  <si>
    <t>COMPROVANTE DE ENDEREÇO (TAXA DE IPTU) EM ANEXO
NOME NO COMPROVANTE: OSWALDO MARQUES NAZARIO FILHO (PROPRIETÁRIO)</t>
  </si>
  <si>
    <t>MK END:
   GABRIEL FONSECA JUSTINO CPF:110.898.086-40 CONEXÃO CANCELADA EM 02/2021. CLIENTE INADIMPLENTE. POSSUI DÉBITOS PENDENTES NO VALOR DE R$ 1.139,40. EQUIPAMENTOS NÃO FORAM DEVOLVIDOS.
MK NOMES:
   OSWALDO MARQUES NAZARIO FILHO CPF:262.438.146-93 N/C</t>
  </si>
  <si>
    <t xml:space="preserve">MUD END TULIO DUARTE MENDES PROT:2605.150 CARTAO (PEDRO) - DANIEL FONSECA **PRÉDIO SEM PRUMADA - ENVIAR TÉCNICO DUPLADO** </t>
  </si>
  <si>
    <t xml:space="preserve">
ENDEREÇO NOVO: RUA BARRETOS, 249
COMPLEMENTO: COND. RECANTO DO PARQUE, AP.306
CEP: 38400318
BAIRRO: DANIEL FONSECA</t>
  </si>
  <si>
    <t>COMPROVANTE DE ENDEREÇO (CONTRATO DE LOCAÇÃO) EM ANEXO
NOME NO COMPROVANTE: TULIO DUARTE MENDES (ASSINANTE)</t>
  </si>
  <si>
    <t>MK END: N/C
MK NOME:  LUCAS NUNES QUEIROZ (LOCADOR / CPF: 020.465.116-62) - N/C
TULIO DUARTE MENDES (LOCATÁRIO / CPF: 091.871.586-55) - POSSUI CONEXÃO CONOSCO DESDE 02/2026, ATIVA E ADIMPLENTE
THATIANE DUARTE MENDES ARANTES (FIADORA / CPF: 070.538.626-07) - N/C
WELLINGTON FRANCO ARANTES (FIADOR / CPF: 014.188.126-76) - N/C</t>
  </si>
  <si>
    <t xml:space="preserve">MUD END LORIANE APARECIDA CARDOSO DE SOUZA PROT:2605.3743 CARTAO (PEDRO) - JARDIM CANAÃ   </t>
  </si>
  <si>
    <t>ENDEREÇO NOVO: RUA DECÁPOLIS, 223
COMPLEMENTO: CASA FRENTE
CEP: 38412380
BAIRRO: JARDIM CANAÃ</t>
  </si>
  <si>
    <t>COMPROVANTE DE ENDEREÇO (DMAE) EM ANEXO
NOME NO COMPROVANTE: LEMUEL SOARES DA SILVA (DISSE SER O PROPRIETÁRIO DO IMÓVEL)</t>
  </si>
  <si>
    <t>MK END: N/C
MK NOME: LEMUEL SOARES DA SILVA (DISSE SER O PROPRIETÁRIO DO IMÓVEL) - N/C
LORIANE APARECIDA CARDOSO DE SOUZA (TITULAR) - POSSUI CONEXÃO CONOSCO DESDE 08/2024, ATIVA E ADIMPLENTE.</t>
  </si>
  <si>
    <t xml:space="preserve">MUD END FL CONSTRUCOES E ARMACOES LTDA (ALOJAMENTO) PROT:2605.2264 PIX (VAGNER) - TABAJARAS  </t>
  </si>
  <si>
    <t>ENDEREÇO NOVO: RUA SOUZA COSTA, 213
COMPLEMENTO: CASA UNICA
CEP: 38400232
BAIRRO: TABAJARAS</t>
  </si>
  <si>
    <t>COMPROVANTE DE ENDEREÇO (CEMIG) EM ANEXO
NOME NO COMPROVANTE: FABIO LUIZ DE OLIVEIRA NASCIMENTO (SOCIO PROPRIETÁRIO DA FL CONSTRUCOES E ARMACOES LTDA (ALOJAMENTO))</t>
  </si>
  <si>
    <t>MK END: N/C
MK NOME: FABIO LUIZ DE OLIVEIRA NASCIMENTO (SOCIO PROPRIETÁRIO DA FL CONSTRUCOES E ARMACOES LTDA (ALOJAMENTO))- N/C</t>
  </si>
  <si>
    <t xml:space="preserve">MUD END GLEICIELLE BARBOSA CALISTO PROT:.2605.1947 CARTAO (LAUREN) - JARDIM EUROPA   </t>
  </si>
  <si>
    <t xml:space="preserve">VALIDAÇÃO OK.
INFORMADO NA CONTRATAÇÃO QUE CASA É PROPRIA, IRMÃO MORA NA CASA 1 (FRENTE) E MÃE MORA NA CASA DO MEIO.CLIENTE NAO QUIS INFORMAR MOTIVO DE SE MUDAR PARA CASA DO MEIO. </t>
  </si>
  <si>
    <t>ENDEREÇO NOVO: RUA FRIBURGO, 85
COMPLEMENTO: CASA 02 MEIO
CEP: 38414560
BAIRRO: JARDIM EUROPA</t>
  </si>
  <si>
    <t>COMPROVANTE DE ENDEREÇO (DMAE) EM ANEXO
NOME NO COMPROVANTE: GLEICIELLE BARBOSA CALISTO (ASSINANTE)</t>
  </si>
  <si>
    <t>MK END - N/C
MK NOMES - 
ALEXANDRE EDMUNDO RODRIGUES DE OLIVEIRA (DIZ SER ESPOSO) - N/C
GLEICIELLE BARBOSA CALISTO (ASSINANTE) - ADIMPLENTE COM A EMPRESA, INSTALADO NA DATA 05/03/2026.</t>
  </si>
  <si>
    <t xml:space="preserve">MUD END + ALT PLANO SEG TECNOLOGIA LTDA (UN DANIEL FONSECA) PROT:2605.2270 ISENTO (PEDRO) - JARDIM PATRÍCIA  </t>
  </si>
  <si>
    <t>ENDEREÇO NOVO: AVENIDA DOS EUCALIPTOS, 820
COMPLEMENTO: EQUIPAMENTO FICARÃO NA SALA CPD
CEP: 38414123
BAIRRO: JARDIM PATRÍCIA</t>
  </si>
  <si>
    <t>PLANO ATUAL: 300 MEGA + IP FIXO /279,90 CONTRATADO EM 04/2025 COM FIDELIDADE DE 12 MESES. ROTEADOR: ONT TP-LINK X530
PLANO OFERTADO: 300 MEGA/269,90 + IP FIXO. BENEFÍCIOS: ACESSO GRATUITO AO APP MZTV (CDNTV+)</t>
  </si>
  <si>
    <t>RICARDO (DIRETOR DE OPERAÇÕES)</t>
  </si>
  <si>
    <t>(38) 99989-3636</t>
  </si>
  <si>
    <t>COMPROVANTE DE ENDEREÇO (CEMIG) EM ANEXO
NOME NO COMPROVANTE:  SUPERMERCADOS BH COM ALIMENTOS SA (LOJA PRESENTE NO MESMO TERRENO)</t>
  </si>
  <si>
    <t>MK END: CENCONSUD BRASIL COMERCIAL LTDA - CADASTRO INATIVO, SEM REGISTROS DE SOLICITAÇÃO.
MK NOME: SUPERMERCADOS BH COM ALIMENTOS SA (LOJA PRESENTE NO MESMO TERRENO) - N/C
SEG TECNOLOGIA LTDA (UN DANIEL FONSECA) -  POSSUI CONEXÃO CONOSCO DESDE 08/2024, ATIVA E ADIMPLENTE.
SEG TECNOLOGIA LTDA (DANIEL FONSECA-WI FI) - POSSUI CONEXÃO CONOSCO DESDE 04/2025, ATIVA E ADIMPLENTE.</t>
  </si>
  <si>
    <t xml:space="preserve">MUD END + ALT PLANO GIAN FERNANDO DIAS CARVALHO PROT:2605.2017 ISENTO (JHONATAN) - JARDIM BOTÂNICO **PRÉDIO COM PRUMADA** //  </t>
  </si>
  <si>
    <t>ENDEREÇO NOVO: AVENIDA VEREADOR CARLITO CORDEIRO, 1895
COMPLEMENTO: COND. PARK KARAIBA -BLOCO A - APTO 1405
CEP: 38410665
BAIRRO: JARDIM BOTÂNICO</t>
  </si>
  <si>
    <t>PLANO ATUAL: 1000 MEGA/99,90 CONTRATADO EM 12/2024 COM FIDELIDADE DE 12 MESES. ROTEADOR: ONT TP-LINK X530
PLANO OFERTADO: 1 GIGA (1.000 MEGA) R$99,90. BENEFÍCIOS: ACESSO GRATUITO AO APP MZTV (CDNTV+) + VOD</t>
  </si>
  <si>
    <t>COMPROVANTE DE ENDEREÇO (CONTRATO DE LOCAÇÃO) EM ANEXO
NOME NO COMPROVANTE: GIAN FERNANDO DIAS CARVALHO (ASSINANTE)</t>
  </si>
  <si>
    <t>MK END
N/C 
MK NOME
→ GIAN FERNANDO DIAS CARVALHO (LOCATÁRIO): N/C 
→ RAFAEL CÂNDIDO DE OLIVEIRA SILVA (LOCADOR/PROPRIETÁRIO DO IMÓVEL): N/C
→ OBJETIVA IMÓVEIS S/S LTDA (IMOBILIÁRIA): N/C
→ CREMILDA PEREIRA LIMA (REPRESENTANTE DA IMOBILIÁRIA): N/C
→ SIMONE DE OLIVEIRA COSTA (REPRESENTANTE DA IMOBILIÁRIA): N/C</t>
  </si>
  <si>
    <t>ENDEREÇO NOVO: RUA ALFREDO BOSI, 242
COMPLEMENTO: RESIDENCIAL RECANTO VERDE - AP 103 - BL 02
CEP: 38409120
BAIRRO: NOVO MUNDO</t>
  </si>
  <si>
    <t xml:space="preserve"> MARIA APARECIDA DE MEDEIROS MOREIRA (MAE)</t>
  </si>
  <si>
    <t>34 9 8400-0639</t>
  </si>
  <si>
    <t>COMPROVANTE DE ENDEREÇO (CEMIG) EM ANEXO
NOME NO COMPROVANTE:  LAIS MEDEIROS GONCALVES (ASSINANTE)</t>
  </si>
  <si>
    <t>MK END
→ N/C
MK NOME
→ LAIS MEDEIROS GONCALVES (ASSINANTE DA CONEXÃO): CONEXÃO ADIMPLENTE</t>
  </si>
  <si>
    <t xml:space="preserve">MUD END + ALT PLANO SEG TECNOLOGIA LTDA (DANIEL FONSECA-WI FI) PROT:2605.2256 ISENTO (PEDRO) - JARDIM PATRÍCIA  </t>
  </si>
  <si>
    <t>ENDEREÇO NOVO: AVENIDA DOS EUCALIPTOS, 820
COMPLEMENTO: SALA DIRETORIA
CEP: 38414123
BAIRRO: JARDIM PATRÍCIA</t>
  </si>
  <si>
    <t xml:space="preserve">PLANO ATUAL: 600 MEGA/79,90 CONTRATADO EM 04/2025 COM FIDELIDADE DE 12 MESES. ROTEADOR: ONT TP-LINK X530
PLANO OFERTADO: 600 MEGA/79,90. BENEFÍCIOS: ACESSO GRATUITO AO APP MZTV (CDNTV+)
</t>
  </si>
  <si>
    <t xml:space="preserve">MUD END + ALT PLANO VALDINEI ANTONIO SOUZA PROT:2605.3573 ISENTO (PEDRO) - JARDIM CANAÃ  //  </t>
  </si>
  <si>
    <t xml:space="preserve">MUD END STEPHANIE SANTOS SOARES (MARIA/IRMA) PROT:2604.30181 PIX (RONALD) - ACLIMAÇÃO  </t>
  </si>
  <si>
    <t>+1 (561) 788-4347</t>
  </si>
  <si>
    <t>ENDEREÇO NOVO: RUA EUCLIDES FERREIRA TAVARES, 1759
COMPLEMENTO: CASA FRENTE
CEP: 38406178
BAIRRO: ACLIMAÇÃO</t>
  </si>
  <si>
    <t>MARIA EDUARDA MARTINS FREITAS (IRMÃ DE STEPHANIE)</t>
  </si>
  <si>
    <t>COMPROVANTE DE ENDEREÇO (DMAE) EM ANEXO
NOME NO COMPROVANTE:  VILMAR ALBINO DA SILVA (TIO DE STEPHANIE)</t>
  </si>
  <si>
    <t>MK END;
N/C
MK NOME; 
STEPHANIE SANTOS SOARES 093.038.366-42 (ASSINANTE)
CONEXÃO ATIVA E ADIMPLENTE
JOÃO ANTONIO SANTOS VIEIRA (CUNHADO DE STEPHANIE) 
N/C
MARIA EDUARDA MARTINS FREITAS (IRMÃ DE STEPHANIE)
SOLCIITOU CONTRATAÇÃO, PORÉM NÃO FOI APROVADO EM SEU NOME E SIM NO DE SUA IRMÃ STEPHANIE SANTOS SOARES 
VILMAR ALBINO DA SILVA (TIO DE STEPHANIE)
N/C</t>
  </si>
  <si>
    <t>MUD END + ALT PLANO EDUARDO HENRIQUE BATISTA DE SOUZA PROT:2605.2268 ISENTO (LUIS) - SÃO JORGE  //  *TROCA DE EQUIPAMENTO*</t>
  </si>
  <si>
    <t>ENDEREÇO NOVO: RUA SERRA DO CACHIMBO, 1112
COMPLEMENTO: CASA 01
CEP: 38410376
BAIRRO: SÃO JORGE</t>
  </si>
  <si>
    <t>PLANO ATUAL: 1000 MEGA/99,90 CONTRATADO EM 12/2023 COM FIDELIDADE DE 12 MESES. ROTEADOR: ONT TP-LINK XC220
PLANO OFERTADO: 1 GIGA (1.000 MEGA) R$99,90. BENEFÍCIOS: ACESSO GRATUITO AO APP MZTV (CDNTV+) + VOD</t>
  </si>
  <si>
    <t xml:space="preserve">COMPROVANTE DE ENDEREÇO (DMAE) EM ANEXO
NOME NO COMPROVANTE: DENISE BASILIO FERREIRA SOUZA (EDUARDO ALEGA SER DONO DA CASA)
</t>
  </si>
  <si>
    <t xml:space="preserve">MK END: N/C
MK NOMES: 
- DENISE BASILIO FERREIRA SOUZA (EDUARDO ALEGA SER DONO DA CASA) - N/C;
- EDUARDO HENRIQUE BATISTA DE SOUZA  - CPF: 702.546.276-41 - ASSINANTE - CLIENTE ATIVO E ADIMPLENTE COM A EMPRESA. </t>
  </si>
  <si>
    <t xml:space="preserve">MUD END ANTONIO MARCOS DEFENSOR PROT:2604.12567 PIX (PEDRO) - SARAIVA   </t>
  </si>
  <si>
    <t>COMPROVANTE DE ENDEREÇO (DMAE) EM ANEXO
NOME NO COMPROVANTE: JOSÉ JANUÁRIO DA SILVA (DISSE SER O DONO DO IMÓVEL)</t>
  </si>
  <si>
    <t>MK END: ANNA LAURA VIEIRA CORREA (CAFEZINHO NO PONTO) / (CASA ÚNICA (PORTÃO GRANDE) - CONTRATOU CONOSCO EM 07/2024, PORÉM FOI FEITO O CANCELAMENTO EM 08/2025 E ATIVAÇÃO PARA O CADASTRO DO DANILO XAVIER DA SILVA (AMIGO DA CLIENTE). A MESMA QUITOU SEU DÉBITOS E DEVOLVEU OS EQUIPAMENTOS.
DANILO XAVIER DA SILVA (CASA 02 - FUNDO) - POSSUI CONEXÃO CONOSCO DESDE 08/2025, ATIVO E ADIMPLENTE.
MK NOME: JOSÉ JANUÁRIO DA SILVA (DISSE SER O DONO DO IMÓVEL) - N/C
ANTONIO MARCOS DEFENSOR (TITULAR) - POSSUI CONEXÃO CONOSCO DESDE 01/2026, ATIVO E ADIMPLENTE.</t>
  </si>
  <si>
    <t xml:space="preserve">reserva mud end ROSANGELA MARTINS - ronald/jhonatan </t>
  </si>
  <si>
    <t xml:space="preserve">ENDEREÇO NOVO: RUA IVALDO ALVES NASCIMENTO, 126
COMPLEMENTO: CASA 
CEP: 38400628
BAIRRO: BOM JESUS </t>
  </si>
  <si>
    <t>PLANO ATUAL: 1000 MEGA/99,90 CONTRATADO EM 10/2024 COM FIDELIDADE DE 12 MESES. ROTEADOR: ONT TP-LINK XC220
PLANO OFERTADO: 1 GIGA (1.000 MEGA) R$99,90. BENEFÍCIOS: ACESSO GRATUITO AO APP MZTV (CDNTV+) + VOD</t>
  </si>
  <si>
    <t xml:space="preserve">COMPROVANTE DE ENDEREÇO (CEMIG) EM ANEXO
NOME NO COMPROVANTE: CLEOSIO DOS REIS SILVA (DISSE SER ANTIGO INQUILINO)
</t>
  </si>
  <si>
    <t>MK END; - N/C
MK NOME;
ROSANGELA MARTINS 075.203.788-96 (ASSINANTE) - CONEXÃO ATIVA E ADIMPLENTE
CLEOSIO DOS REIS SILVA (DISSE SER ANTIGO INQUILINO) - N/C</t>
  </si>
  <si>
    <t>ENDEREÇO NOVO: RUA GERALDA FRANCISCA BORGES, 836
COMPLEMENTO: CASA ÚNICA
CEP: 38410178
BAIRRO: SÃO JORGE</t>
  </si>
  <si>
    <t xml:space="preserve">PLANO ATUAL: 1000 MEGA/99,90 CONTRATADO EM 07/2025 COM FIDELIDADE DE 12 MESES. ROTEADOR: ONT ZTE F 670-L
PLANO OFERTADO: 1 GIGA (1.000 MEGA) R$99,90. BENEFÍCIOS: ACESSO GRATUITO AO APP MZTV (CDNTV+) + VOD
</t>
  </si>
  <si>
    <t>COMPROVANTE DE ENDEREÇO (CEMIG) EM ANEXO
NOME NO COMPROVANTE: FABIO LOPES DA SILVA (ASSINANTE)</t>
  </si>
  <si>
    <t>MK END; -N/C
MK NOME;
FABIO LOPES DA SILVA 037.9**.***-** (ASSINANTE) - CONEXÃO ATIVA EM SEU CNPJ 42.305.141/0001-62 (FORMAT INFO) E ADIMPLENTE</t>
  </si>
  <si>
    <t xml:space="preserve">SEM OS GERADA </t>
  </si>
  <si>
    <t>ENDEREÇO NOVO: AVENIDA CALIXTO FELIPE MILKEM, 590
COMPLEMENTO: CASA FRENTE
CEP: 38412470
BAIRRO: JARDIM CANAÃ</t>
  </si>
  <si>
    <t>PLANO ATUAL: 100 MEGA/59,90 CONTRATADO EM 10/2024 COM FIDELIDADE DE 12 MESES. ROTEADOR: ONT ZTE F 670-L
PLANO OFERTADO: 150 MEGA/59,90. BENEFÍCIOS: ACESSO GRATUITO AO APP MZTV (CDNTV+)</t>
  </si>
  <si>
    <t>COMPROVANTE DE ENDEREÇO (CONTRATO DE LOCAÇÃO) EM ANEXO
NOME NO COMPROVANTE: GEISA ALVES BISPO (ASSINANTE)</t>
  </si>
  <si>
    <t xml:space="preserve">MK END: N/C
MK NOMES:
- PETRONILIO CAMILO DE BARROS - CPF: 476.039.766-34 - LOCADOR - N/C
- GEISA ALVES BISPO - CPF: 076.665.205-06 - LOCATÁRIA E ASSINANTE - CLIENTE ATIVO E ADIMPLENTE COM A EMPRESA. </t>
  </si>
  <si>
    <t xml:space="preserve">MUD END HERMES JUNIOR DE CARVALHO (BAR DO ADAILTON) PROT:2605.6390 DINHEIRO (VITOR M.) - NOSSA SENHORA DAS GRAÇAS   </t>
  </si>
  <si>
    <t>ENDEREÇO NOVO: RUA PEDRO IVO, 490
COMPLEMENTO: COMERCIO DA ESQUINA
CEP: 38402074
BAIRRO: NOSSA SENHORA DAS GRAÇAS</t>
  </si>
  <si>
    <t>COMPROVANTE DE ENDEREÇO (CEMIG) EM ANEXO
NOME NO COMPROVANTE: JOSE XISTO ALVES (ASSINANTE DISSE SER PROPRIETÁRIO DO LOCAL)</t>
  </si>
  <si>
    <t>MK END: 
JOEL MARCOS ARAUJO DA SILVA : CANCELOU A CONEXÃO EM 01/2026, SEM DEBITOS PENDENTES.
MK NOME:
JOSE XISTO ALVES (ASSINANTE DISSE SER PROPRIETÁRIO DO LOCAL): N/C</t>
  </si>
  <si>
    <t xml:space="preserve">MUD END IVAN DA SILVA LIMA PROT:2605.4839 PIX (JHONATAN) - JARDIM BRASÍLIA   </t>
  </si>
  <si>
    <t xml:space="preserve">
ja possui conexão ativa no local, conexão possui extend.. ponto principal 2º andar (apt.01) e segundo ponto no terreo
EM ANALISE COM KAROL 
WILLIAN APARECE NO CADASTRO COMO FILHO DE JOZILENE (ESPOSA DE IVAN).</t>
  </si>
  <si>
    <t>ENDEREÇO NOVO: RUA CARLITO COELHO DIAS, 83
COMPLEMENTO: CASA UNICA
CEP: 38401656
BAIRRO: JARDIM BRASÍLIA</t>
  </si>
  <si>
    <t>COMPROVANTE DE ENDEREÇO (CEMIG) EM ANEXO
NOME NO COMPROVANTE: JOZILENE DOS SANTOS LIMA (DISSE QUE É A ESPOSA)</t>
  </si>
  <si>
    <t xml:space="preserve">MUD END GILBERTO MARINHO DE LIMA PROT:2605.7145 PIX (JOSÉ Jr) - JARAGUÁ  </t>
  </si>
  <si>
    <t>ENDEREÇO NOVO: RUA DAS PEROBAS, 395 
COMPLEMENTO: CASA FRENTE
CEP: 38413045
BAIRRO: JARAGUÁ</t>
  </si>
  <si>
    <t>CRISTINA (ESPOSA DE GILBERTO)</t>
  </si>
  <si>
    <t>COMPROVANTE DE ENDEREÇO (CEMIG) EM ANEXO
NOME NO COMPROVANTE:  CELEIDA DE OLIVEIRA BASTOS (CLIENTE DIZ QUE É O LOCADOR)</t>
  </si>
  <si>
    <t>MK END:N/C
MK NOMES:CELEIDA DE OLIVEIRA BASTOS CPF:574.5**-***-**(CLIENTE INFORMA QUE É O LOCADOR)N/C</t>
  </si>
  <si>
    <t>PENDENTE COMPROVANTE
AGUARDAR ATÉ AS 10H 
DEMAIS INFORMAÇÕES OK 
REMOVIDO DA AGENDA</t>
  </si>
  <si>
    <t>ENDEREÇO NOVO: RUA ANTÔNIO REZENDE CHAVES, 877
COMPLEMENTO: ED. ALVINO NUNES APTO 101
CEP: 38408236
BAIRRO: SANTA MÔNICA</t>
  </si>
  <si>
    <t xml:space="preserve">PLANO ATUAL: 600 MEGA/79,90 CONTRATADO EM 05/2025 COM FIDELIDADE DE 12 MESES. ROTEADOR: ONT ZTE F 670-L
PLANO OFERTADO: 600 MEGA/79,90. BENEFÍCIOS: ACESSO GRATUITO AO APP MZTV (CDNTV+)
</t>
  </si>
  <si>
    <t xml:space="preserve">reserva - MUD END DAYANE ARAUJO DO CARMO PROT:2605.6451 PIX (VAGNER) - ALTO UMUARAMA   </t>
  </si>
  <si>
    <t>MENSALIDADE EM ABERTO
PENDENTE COMPROVANTE</t>
  </si>
  <si>
    <t>ENDEREÇO NOVO: AVENIDA LAERTE CAETANO DA SILVA, 1447
COMPLEMENTO: CASA 2
CEP: 38405371
BAIRRO: ALTO UMUARAMA</t>
  </si>
  <si>
    <t xml:space="preserve">
&lt;b&gt;ONT = ONT TP LINK 530 // CONECTOR = VERDE.&lt;/b&gt;</t>
  </si>
  <si>
    <t>COMPROVANTE DE ENDEREÇO (CEMIG) EM ANEXO
NOME NO COMPROVANTE: MARIA DAS CHAGAS SILVA(ANTIGA MORADORA)
COMPROVANTE DE ENDEREÇO (DMAE) EM ANEXO
NOME NO COMPROVANTE: ANTONIO SILVA SAMPAIO(ANTIGA MORADORA)</t>
  </si>
  <si>
    <t>MK END: - N/C
MK NOME: MARIA DAS CHAGAS SILVA(ANTIGA MORADORA) - N/C
ANTONIO SILVA SAMPAIO(ANTIGO MORADOR) -  N/C</t>
  </si>
  <si>
    <t xml:space="preserve">MUD END + ALT PLANO ERIVANDA ALVES MATEUS PROT:2605.3355 ISENTO (VICTOR H.) - LUIZOTE DE FREITAS  //  </t>
  </si>
  <si>
    <t>ENDEREÇO NOVO: RUA JOÃO CÂNDIDO PEREIRA, 82
COMPLEMENTO: CASA UNICA
CEP: 38414232
BAIRRO: LUIZOTE DE FREITAS</t>
  </si>
  <si>
    <t>PLANO ATUAL: 1000 MEGA/99,90 CONTRATADO EM 08/2025 COM FIDELIDADE DE 12 MESES. ROTEADOR: ONT TP-LINK X530v2
PLANO OFERTADO: 1 GIGA (1.000 MEGA) R$99,90. BENEFÍCIOS: ACESSO GRATUITO AO APP MZTV (CDNTV+) + VOD</t>
  </si>
  <si>
    <t>WALDILSON FERNANDO RODRIGUES DOS SANTOS (ESPOSO DE ERIVANDA)</t>
  </si>
  <si>
    <t>COMPROVANTE DE ENDEREÇO (CEMIG) EM ANEXO
NOME NO COMPROVANTE: EURIPEDES BENEDITO SILVA OLIVEIRA (DISSE SER PROPRIETARIO DO IMOVEL)</t>
  </si>
  <si>
    <t>MK END: N/C 
MK NOMES: 
EURIPEDES BENEDITO SILVA OLIVEIRA (DISSE SER PROPRIETARIO DO IMOVEL) - N/C 
WALDILSON FERNANDO RODRIGUES DOS SANTOS (ESPOSO) 
PROTOCOLO DE ADESÃO 2207.1818
INSTALAÇÃO APROVADA PARA ERIVANDA ALVES MATEUS (ATUAL ASSINANTE) CONEXÃO ATIVA E ADIMPLENTE</t>
  </si>
  <si>
    <t xml:space="preserve">MUD END ERICKY SOUZA RAMALHO (RURAL MAQUINAS) PROT:2605.3050 CARTAO (RONALD) - JARDIM PATRÍCIA   </t>
  </si>
  <si>
    <t>ENDEREÇO NOVO: RUA REINO ARRUDA, 100
COMPLEMENTO: CASA 2
CEP: 38414151
BAIRRO: JARDIM PATRÍCIA</t>
  </si>
  <si>
    <t>COMPROVANTE DE ENDEREÇO (CEMIG) EM ANEXO
NOME NO COMPROVANTE: SILVIO ALVES RAMALHO (PAI DE ERICKY)
COMPROVANTE DE ENDEREÇO (DMAE) EM ANEXO
NOME NO COMPROVANTE: ERICKY SOUZA RAMALHO (ASSINANTE)</t>
  </si>
  <si>
    <t>MK END; - N/C
MK NOME;
ERICKY SOUZA RAMALHO 136.892.326-78 (RURAL MAQUINAS) - CONEXÃO ATIVA E CLIENTE ADIMPLENTE
SILVIO ALVES RAMALHO 939.6**.***-** (PAI DE ERICKY) - N/C</t>
  </si>
  <si>
    <t xml:space="preserve">MUD END + ALT PLANO JOAO BATISTA DA SILVA PROT. 2604.7746 ISENTO (JHONATAN) MORUMBI / </t>
  </si>
  <si>
    <t>ENDEREÇO NOVO: RUA DO PINTASSILGO, 313
COMPLEMENTO: CASA ÚNICA
CEP: 38407-396
BAIRRO: MORUMBI</t>
  </si>
  <si>
    <t>PLANO ATUAL: 1000 MEGA/99,90 CONTRATADO EM 12/2024 COM FIDELIDADE DE 12 MESES. ROTEADOR: ONT TP-LINK XC230
PLANO OFERTADO: 1 GIGA (1.000 MEGA) R$99,90. BENEFÍCIOS: ACESSO GRATUITO AO APP MZTV (CDNTV+) + VOD</t>
  </si>
  <si>
    <t>QUENIA ANDERLINA DO SANTOS BERNARDES (ESPOSA)</t>
  </si>
  <si>
    <t>34 99265-1075</t>
  </si>
  <si>
    <t>COMPROVANTE DE ENDEREÇO (CEMIG) EM ANEXO
NOME NO COMPROVANTE: LORRANE CASTRO DA SILVA (JOAO BATISTA ALEGA SER A DONA DO IMÓVEL)</t>
  </si>
  <si>
    <t xml:space="preserve">MUD END + ALT PLANO IRIS CRISTINA GOMES FERREIRA (IRIS BIQUINIS) PROT:2605.4413 ISENTO (VICTOR H.) - GAVEA **PRÉDIO COM PRUMADA** //  </t>
  </si>
  <si>
    <t>ENDEREÇO NOVO: AVENIDA NICOMEDES ALVES DOS SANTOS, 6711
COMPLEMENTO:  TRILHAS DO GAVEA BL. 2, APTO. 1501
CEP: 38425377
BAIRRO: SHOPPING PARK</t>
  </si>
  <si>
    <t>PLANO ATUAL: 600 MEGA/79,90 CONTRATADO EM 01/2025 COM FIDELIDADE DE 12 MESES. ROTEADOR: ZTE H199-A
PLANO OFERTADO: 600 MEGA/79,90. BENEFÍCIOS: ACESSO GRATUITO AO APP MZTV (CDNTV+)</t>
  </si>
  <si>
    <t>JEAN CARLOS DE OLIVEIRA SILVA (EPSOSO)</t>
  </si>
  <si>
    <t>(34) 99762-8876</t>
  </si>
  <si>
    <t>COMPROVANTE DE ENDEREÇO (CEMIG) EM ANEXO
NOME NO COMPROVANTE: LUIZ FERNANDO SANTOS DA SILVA (DISSE SER SEU CUNHADO)</t>
  </si>
  <si>
    <t>MK NOMES: 
LUIZ FERNANDO SANTOS DA SILVA (DISSE SER SEU CUNHADO) - N/C
JEAN CARLOS DE OLIVEIRA SILVA (EPSOSO) - N/C</t>
  </si>
  <si>
    <t>PENDENTE COMPROVANTE
REMOVIDO DA AGENDA</t>
  </si>
  <si>
    <t>ENDEREÇO NOVO: AVENIDA JORGE ISAAC, 1397
COMPLEMENTO: CASA ÚNICA
CEP: 38412472
BAIRRO: JARDIM CANAÃ</t>
  </si>
  <si>
    <t>MUD END THAYNARA SOBRINHO DE ANDRADE PROT:2605.4649 PIX (BRUNA) - LOTEAMENTO RESIDENCIAL PEQUIS   //</t>
  </si>
  <si>
    <t>ENDEREÇO NOVO: RUA MARRECA-CANELEIRA, 201
COMPLEMENTO: JARDIM DO CERRADO II - CASA 31
CEP: 38421006
BAIRRO: LOTEAMENTO RESIDENCIAL PEQUIS</t>
  </si>
  <si>
    <t>COMPROVANTE DE ENDEREÇO (CEMIG) EM ANEXO
NOME NO COMPROVANTE: LIDIANA DE OLIVEIRA (DIZ SER A PROPRIETARIA DO IMOVEL)</t>
  </si>
  <si>
    <t>MK END: N/C
MK NOMES:
LIDIANA DE OLIVEIRA (PROPRIETARIA DO IMOVEL): N/C</t>
  </si>
  <si>
    <t>(38) 99812-9349</t>
  </si>
  <si>
    <t xml:space="preserve">ENDEREÇO NOVO: AVENIDA EUROPA, 1300 
COMPLEMENTO: CASA 02
CEP: 38405088
BAIRRO: TIBERY </t>
  </si>
  <si>
    <t>PLANO ATUAL: 150 MEGA/59,90 CONTRATADO EM 07/2025 COM FIDELIDADE DE 12 MESES. ROTEADOR: ZTE H199-A
PLANO OFERTADO: 150 MEGA/59,90. BENEFÍCIOS: ACESSO GRATUITO AO APP MZTV (CDNTV+)</t>
  </si>
  <si>
    <t>JOICE(IRMA/ROSANGELA)</t>
  </si>
  <si>
    <t>COMPROVANTE DE ENDEREÇO (CEMIG) EM ANEXO
NOME NO COMPROVANTE: MARIA DE FATIMA DA SILVA (DISSE QUE É A ANTIGA MORADORA)</t>
  </si>
  <si>
    <t>MK END
N/C
MK NOME 
MARIA DE FATIMA DA SILVA (DISSE QUE É A ANTIGA MORADORA): N/C
JOICE ALVES DA SILVA SANTOS (IRMA): SOLICITAÇÃO DE CONEXÃO EM 02/2024 - RECUSADA</t>
  </si>
  <si>
    <t xml:space="preserve">MUD END + ALT PLANO ARDISSOM ANTONIO ERNESTO PROT:2605.9394 ISENTO (LUIS) - JARDIM HOLANDA **PRÉDIO COM PRUMADA** //  </t>
  </si>
  <si>
    <t>VALIDAÇÃO OK 
JÁ CONFIRMADO COM LEANDRO QUE PODE SEGUIR DIRETO</t>
  </si>
  <si>
    <t>ENDEREÇO NOVO: ALAMEDA JOSÉ DE OLIVEIRA GUIMARÃES, 700
COMPLEMENTO: CONDOMINIO UNITED KINGDOM, BL 19 APT 203
CEP: 38412324
BAIRRO: JARDIM HOLANDA</t>
  </si>
  <si>
    <t>PLANO ATUAL: 1000 MEGA/99,90 CONTRATADO EM 08/2025 COM FIDELIDADE DE 12 MESES. ROTEADOR: ONT TP-LINK X530
PLANO OFERTADO: 1 GIGA (1.000 MEGA) R$99,90. BENEFÍCIOS: ACESSO GRATUITO AO APP MZTV (CDNTV+) + VOD</t>
  </si>
  <si>
    <t>COMPROVANTE DE ENDEREÇO (CONTRATO DE LOCAÇÃO) EM ANEXO
NOME NO COMPROVANTE: ARDISSOM ANTONIO ERNESTO (ASSINANTE)</t>
  </si>
  <si>
    <t xml:space="preserve">MK END:  N/C
MK  NOMES: 
ARISTOTELES JOSE DE MELO – LOCADOR – CPF: 941.102.126-50 - N/C;
ARDISSOM ANTONIO ERNESTO – LOCATÁRIO – CPF: 951.397.026-49 - CLIENTE ATIVO E ADIMPLENTE COM A EMPRESA. </t>
  </si>
  <si>
    <t>ENDEREÇO NOVO: RUA CAFARNAUM, 173
COMPLEMENTO: CASA 1
CEP: 38412400
BAIRRO: JARDIM CANAÃ</t>
  </si>
  <si>
    <t>JHENIFER LOPES (ESPOSA)</t>
  </si>
  <si>
    <t>COMPROVANTE DE ENDEREÇO (COMPRA E VENDA) EM ANEXO
NOME NO COMPROVANTE: WALISTON SABINO SILVA (ASSINANTE)</t>
  </si>
  <si>
    <t>MK END; - N/C
MK NOME;
WALISTON SABINO SILVA 114.580.536-10 (ASSINANTE) - CONEXÃO ATIVA E ADIMPLENTE
MIRIAM COSTA SILVA 931.366.256-68 (VENDEDORA) - N/C
JHENIFER SILVA LOPES 112.827.836-70 (ESPOSA DE WALISTON) - N/C
OSMAYR MENDES AMARAL 665.587.196-49 (TESTEMUNHA) - N/C</t>
  </si>
  <si>
    <t xml:space="preserve">MUD END ANTONIA CAMILA DE ALMEIDA PROT:2605.6475 CARTAO (VAGNER) - PAMPULHA   </t>
  </si>
  <si>
    <t>ENDEREÇO NOVO: RUA OLIVEIRA VIANA, 582
COMPLEMENTO: FUNDOS
CEP: 38408654
BAIRRO: PAMPULHA</t>
  </si>
  <si>
    <t>COMPROVANTE DE ENDEREÇO (CEMIG) EM ANEXO
NOME NO COMPROVANTE: CLEUDES MARIA DA SILVA (ANTONIA DISSE SER A ANTIGA MORADORA)</t>
  </si>
  <si>
    <t>MK END: N/C
MK NOME: CLEUDES MARIA DA SILVA (ANTONIA DISSE SER A ANTIGA MORADORA) N/C</t>
  </si>
  <si>
    <t xml:space="preserve">MUD END DEBRETES MARCELINO DOS SANTOS PROT:2605.5227 PIX (RONALD) - DANIEL FONSECA   </t>
  </si>
  <si>
    <t>ENDEREÇO NOVO: AVENIDA ARAGUARI, 2644
COMPLEMENTO: CASA FRENTE
CEP: 38400313
BAIRRO: DANIEL FONSECA</t>
  </si>
  <si>
    <t>COMPROVANTE DE ENDEREÇO (CEMIG) EM ANEXO
NOME NO COMPROVANTE: VILMA DE OLIVEIRA MACHADO (BIZAVÓ DE DEBRETES)</t>
  </si>
  <si>
    <t>MK END; - N/C
MK NOME; 
DEBRETES MARCELINO DOS SANTOS 067.931.916-67 (ASSINANTE) - CONEXÃO ATIVA E CLIENTE ADIMPLENTE
VILMA DE OLIVEIRA MACHADO 288.0**.***-** (BIZAVÓ DE DEBRETES) - N/C</t>
  </si>
  <si>
    <t xml:space="preserve">MUD END ADELIO JOSE DA MOTA PROT:2605.5566 PIX (HALYSON) - CIDADE JARDIM **SOBRADO** </t>
  </si>
  <si>
    <t>ENDEREÇO NOVO: RUA DAS PETÚNIAS, 450 
COMPLEMENTO: SOBRADO
CEP: 38412112
BAIRRO: CIDADE JARDIM</t>
  </si>
  <si>
    <t>ARTHUR MEDEIROS DE FREITAS MOTA (FILHO)</t>
  </si>
  <si>
    <t>(34) 99295-7080</t>
  </si>
  <si>
    <t>COMPROVANTE DE ENDEREÇO (DMAE) EM ANEXO
NOME NO COMPROVANTE: ADELIO JOSE DA MOTA (ASSINANTE)</t>
  </si>
  <si>
    <t>MK END: N/C
MK NOMES:
- ADELIO JOSE DA MOTA (ASSINANTE): POSSUI CONEXÃO ATIVA E ADIMPLENTE
- ARTHUR MEDEIROS DE FREITAS MOTA (FILHO DO ASSINANTE): N/C</t>
  </si>
  <si>
    <t>MUD END ERIVALDO MELO DA SILVA - REFRIGERACAO LTDA PROT:2605.5500 PIX (RONALD) - RESIDENCIAL FRUTA DO CONDE</t>
  </si>
  <si>
    <t>ENDEREÇO NOVO: AVENIDA MANSUR, 1130
COMPLEMENTO: COMERCIO
CEP: 38418558
BAIRRO: RESIDENCIAL FRUTA DO CONDE</t>
  </si>
  <si>
    <t>COMPROVANTE DE ENDEREÇO (CEMIG) EM ANEXO
NOME NO COMPROVANTE: RODRIGO CARVALHO DINIZ (ANTIGO PROPRIETÁRIO)</t>
  </si>
  <si>
    <t>MK END; - N/C
MK NOME;
ERIVALDO MELO DA SILVA (ASSINANTE) - CONEXÃO ATIVA EM SEU CNPJ 58.455.174/0001-29 (REFRIGERACAO LTDA) E ADIMPLENTE
RODRIGO CARVALHO DINIZ 052.2**.***-** (ANTIGO PROPRIETÁRIO) - N/C</t>
  </si>
  <si>
    <t>MUD END LUZIA ZELIA FERREIRA DA SILVA PROT:2605.6010 PIX (RONALD) - BOM JESUS  *PODE ANTECIPAR*</t>
  </si>
  <si>
    <t>ENDEREÇO NOVO: RUA SEBASTIÃO DE FREITAS, 312
COMPLEMENTO: CASA ÚNICA
CEP: 38400756
BAIRRO: BOM JESUS</t>
  </si>
  <si>
    <t>AYME THAIS FERREIRA DA SILVA (FILHA)</t>
  </si>
  <si>
    <t>COMPROVANTE DE ENDEREÇO (CEMIG) EM ANEXO
NOME NO COMPROVANTE: IGOR DIAS FERREIRA (PROPRIETÁRIO DO IMÓVEL)</t>
  </si>
  <si>
    <t>MK END; - N/C
MK NOME ;
LUZIA ZELIA FERREIRA DA SILVA 055.291.596-30 (ASSINANTE) - CONEXÃO ATIVA E ADIMPLENTE
IGOR DIAS FERREIRA (PROPRIETÁRIO DO IMÓVEL) - N/C
ALEXANDER PRECIOSO RAMOS (ESPOSO DE LUZIA) - N/C</t>
  </si>
  <si>
    <t xml:space="preserve">MUD END JOSINEIDE CARDOSO PROT:2601.30329 PIX (JOSÉ Jr) - MANSOUR **PRÉDIO COM PRUMADA** </t>
  </si>
  <si>
    <t>ENDEREÇO NOVO: RUA LUCIA FONSECA ATTIÊ, 151
COMPLEMENTO: COND. ANDIROBA BL. 06, APTO 108
CEP: 38414501
BAIRRO: MANSOUR</t>
  </si>
  <si>
    <t>COMPROVANTE DE ENDEREÇO (CEMIG) EM ANEXO
NOME NO COMPROVANTE:TERSON ANASTACIO DE SOUZA(JOSINEIDE DISSE PROPRIETÁRIO)</t>
  </si>
  <si>
    <t>MK END; N/C
MK NOME:
TERSON ANASTACIO DE SOUZA - POSSUI CONTRATO ATIVO ADIMPLENTE NO ENDEREÇO RUA UNIVERSAL 221 JARDIM BRASILIA.</t>
  </si>
  <si>
    <t xml:space="preserve">RESERVA RONALD / MUD END / MARCELO DE AGUIAR MENDONCA
</t>
  </si>
  <si>
    <t>ENDEREÇO NOVO: RUA FELICIANO DE MORAIS, 1958
COMPLEMENTO: CASA ÚNICA
CEP: 38400691
BAIRRO: BRASIL</t>
  </si>
  <si>
    <t>PLANO ATUAL: 600 MEGA/79,90 CONTRATADO EM 03/2025 COM FIDELIDADE DE 12 MESES. ROTEADOR: ONT TP-LINK XC230
PLANO OFERTADO: 600 MEGA/79,90. BENEFÍCIOS: ACESSO GRATUITO AO APP MZTV (CDNTV+)</t>
  </si>
  <si>
    <t>COMPROVANTE DE ENDEREÇO (CONTRATO DE LOCAÇÃO) EM ANEXO
NOME NO COMPROVANTE: MARCELO DE AGUIAR MENDONCA  (ASSINANTE)</t>
  </si>
  <si>
    <t>MK END; - N/C
MK NOME;
MARCELO DE AGUIAR MENDONCA 106.938.716-95 (ASSINANTE) - CONEXÃO ATIVA E ADIMPLENTE. 
MICHELLE CANDIDO DE SALES MENDONÇA 061.360.686-80 (ESPOSA DE MARCELO) - N/C
JOSÉ MIGUEL GIARETTA 060.816.306-68 (LOCADOR) - N/C</t>
  </si>
  <si>
    <t>MUD END + ALT PLANO MARIA EDNA OLIVEIRA DO NASCIMENTO PROT:2605.6108 ISENTO (HALYSON) - GUARANI **SOBRADO** //  *TROCA DE EQUIPAMENTO*</t>
  </si>
  <si>
    <t xml:space="preserve">SEM OS GERADA
ENDEREÇO NÃO ALTERADO 
COMPROVANTE DE RESIDENCIA NAO TEM COMPLEMENTO SOLICITAR JUSTIFICATIVA </t>
  </si>
  <si>
    <t xml:space="preserve">ENDEREÇO NOVO: AVENIDA CLÁSSICA, 873
COMPLEMENTO: SOBRADO
CEP: 38415399
BAIRRO: GUARANI
IRÁ SE MUDAR </t>
  </si>
  <si>
    <t>VALDENEIZ ALVES DE SOUZA (ESPOSO)</t>
  </si>
  <si>
    <t>COMPROVANTE DE ENDEREÇO (CEMIG) EM ANEXO
NOME NO COMPROVANTE: MARLENE MENEZES (PREPRIETÁRIA DO IMOVEL)</t>
  </si>
  <si>
    <t>MK END: N/C
MK NOMES:
- MARLENE MENEZES (PREPRIETÁRIA DO IMOVEL): N/C
- VALDENEI ALVES DE SOUZA (ESPOSO DA ASSINANTE): N/C
- MARIA EDNA OLIVEIRA DO NASCIMENTO (ASSINANTE): POSSUI CONEXÃO ATIVA E ADIMPLENTE</t>
  </si>
  <si>
    <t xml:space="preserve">MUD END GUILHERME FILIPE OLIVEIRA RAMOS PROT:2605.10744 PIX (GABRIEL M.) - RESIDENCIAL INTEGRAÇÃO   </t>
  </si>
  <si>
    <t>ENDEREÇO NOVO: RUA DOS LARES, 85
COMPLEMENTO: CASA UNICA
CEP: 38407524
BAIRRO: RESIDENCIAL INTEGRAÇÃO</t>
  </si>
  <si>
    <t>COMPROVANTE DE ENDEREÇO (CEMIG) EM ANEXO
NOME NO COMPROVANTE: ANTONIO JOSE DA SILVA (ANTIGO MORADOR)</t>
  </si>
  <si>
    <t>MK END: N/C
MK NOMES: ANTONIO JOSE DA SILVA (ANTIGO MORADOR) - N/C</t>
  </si>
  <si>
    <t xml:space="preserve">MUD END + ALT PLANO ANDERSON ROBERTO DA SILVA PROT:2605.8430 ISENTO (PEDRO) - LUIZOTE DE FREITAS  //  </t>
  </si>
  <si>
    <t>ENDEREÇO OS/PESSOAS E EMPRESAS NÃO ALTERADO
MENSALIDADE EM ABERTO
reagendado</t>
  </si>
  <si>
    <t>ENDEREÇO NOVO: RUA JOÃO CAMPOS LEITE, 26
COMPLEMENTO: CASA 2 (FRENTE)
CEP: 38414268
BAIRRO: LUIZOTE DE FREITAS</t>
  </si>
  <si>
    <t>PLANO ATUAL: 1000 MEGA/99,90 CONTRATADO EM 01/2025 COM FIDELIDADE DE 12 MESES. ROTEADOR: ONT TP-LINK XC230
PLANO OFERTADO: 1 GIGA (1.000 MEGA) R$99,90. BENEFÍCIOS: ACESSO GRATUITO AO APP MZTV (CDNTV+) + VOD</t>
  </si>
  <si>
    <t>COMPROVANTE DE ENDEREÇO (CEMIG) EM ANEXO
NOME NO COMPROVANTE: GEOVANNA VITORIA ROCHA (DISSE SER FILHA DA DONA DA CASA)</t>
  </si>
  <si>
    <t>ENDEREÇO NOVO: AVENIDA LÁZARA ALVES FERREIRA, 89
COMPLEMENTO: APTO 101
CEP: 38408092
BAIRRO: SANTA MÔNICA</t>
  </si>
  <si>
    <t>PLANO ATUAL: 1000 MEGA/99,90 CONTRATADO EM 05/2023 COM FIDELIDADE DE 12 MESES. ROTEADOR: ONT ZTE F 670-L
PLANO OFERTADO: 1 GIGA (1.000 MEGA) R$99,90. BENEFÍCIOS: ACESSO GRATUITO AO APP MZTV (CDNTV+) + VOD</t>
  </si>
  <si>
    <t>COMPROVANTE DE ENDEREÇO (CEMIG) EM ANEXO
NOME NO COMPROVANTE: MARIA LUCIA LOBATO LINO (DISSE QUE É A PROPRIETARIA DO IMOVÉL)</t>
  </si>
  <si>
    <t xml:space="preserve">MK END
JANAINA LOBATO LINO MACEDO (MARIA/ MAE) - APTO 101: CONEXÃO CANCELADA EM 02/2024 - EQUIPAMENTOS RECOLHIDOS - SEM DÉBITOS 
MK NOME 
GABRIEL MACHADO FLORIZ (ASSINANTE DA CONEXÃO)
MARIA LUCIA LOBATO LINO (DISSE QUE É A PROPRIETARIA DO IMOVÉL): N/C </t>
  </si>
  <si>
    <t>MUD END + ALT PLANO CELUMIEL LAURINDO DOS SANTOS PROT:2605.6700 ISENTO (RAMONY) - GUARANI  //  *TROCA DE EQUIPAMENTO*</t>
  </si>
  <si>
    <t>ENDEREÇO NOVO: RUA DA LAMBADA, 431
COMPLEMENTO: CASA FUNDOS
CEP: 38415447
BAIRRO: GUARANI</t>
  </si>
  <si>
    <t xml:space="preserve">PLANO ATUAL: 1000 MEGA/99,90 CONTRATADO EM 12/2022 COM FIDELIDADE DE 12 MESES. ROTEADOR: HUAWEI AX2
PLANO OFERTADO: 1 GIGA (1.000 MEGA) R$99,90. BENEFÍCIOS: ACESSO GRATUITO AO APP MZTV (CDNTV+) + VOD
</t>
  </si>
  <si>
    <t>COMPROVANTE DE ENDEREÇO (CONTRATO DE LOCAÇÃO) EM ANEXO
NOME NO COMPROVANTE: SONIA FERREIRA BORGES (ESPOSA DE CELUMIEL)</t>
  </si>
  <si>
    <t>MK END: N/C
MK NOMES:
LOCADORA:
ADEMARCI MACIEL DE MOURA - CPF: 463.280.176-34  - N/C
LOCATÁRIA:
SONIA FERREIRA BORGES - CPF: 530.062.081-53 - N/C
(ESPOSA DE CELUMIEL)
FIADORA:
SILA ROBERTA BATISTA - CPF: 066.709.936-09 - N/C</t>
  </si>
  <si>
    <t>ENDEREÇO NOVO: AVENIDA TAYLOR SILVA, 1324
COMPLEMENTO: CASA UNICA
CEP: 38415381
BAIRRO: TOCANTINS</t>
  </si>
  <si>
    <t>ALDENORA (ESPOSA DE IVANILSON)</t>
  </si>
  <si>
    <t>COMPROVANTE DE ENDEREÇO (CEMIG) EM ANEXO
NOME NO COMPROVANTE:  ANTONIO DONIZETTI BORGES (PROPRIETÁRIO DO IMOVEL)</t>
  </si>
  <si>
    <t>MK END: N/C
MK NOMES:
ANTONIO DONIZETTI BORGES (PROPRIETÁRIO DO IMÓVEL) - N/C</t>
  </si>
  <si>
    <t xml:space="preserve">MUD END +ALT PLANO ELTON JHON BORGES DE JESUS PROT:2605.8082 (JOSE JR) - SÃO JORGE </t>
  </si>
  <si>
    <t>ENDEREÇO NOVO: RUA CHAPADA DOS GUIMARÃES, 830
COMPLEMENTO: APT 2
CEP: 38410348
BAIRRO: SÃO JORGE</t>
  </si>
  <si>
    <t>&lt;b&gt;ONT = ONT XC230// CONECTOR = VERDE.&lt;/b&gt;</t>
  </si>
  <si>
    <t>PLANO ATUAL: 1000 MEGA/99,90 CONTRATADO EM 12/2023 COM FIDELIDADE DE 12 MESES. ROTEADOR: ONT TP-LINK XC230
PLANO OFERTADO: 1 GIGA (1.000 MEGA) R$99,90. BENEFÍCIOS: ACESSO GRATUITO AO APP MZTV (CDNTV+) + VOD</t>
  </si>
  <si>
    <t>BRENA MAIRA DA CRUZ SENA (ESPOSA)</t>
  </si>
  <si>
    <t>(34)99197-6114</t>
  </si>
  <si>
    <t>COMPROVANTE DE ENDEREÇO (CONTRATO DE LOCAÇÃO) EM ANEXO
NOME NO COMPROVANTE: BRENA MAIRA DA CRUZ  SENA (ESPOSA DO TITULAR)</t>
  </si>
  <si>
    <t xml:space="preserve">MUD END + ALT PLANO JULYA GUIMARAES ALVES PROT:2605.8146 ISENTO (RONALD) - MARTA HELENA  // **(POSSUI WI-FI EXTEND)**  </t>
  </si>
  <si>
    <t>VALIDADO POR VAGNER</t>
  </si>
  <si>
    <t>ENDEREÇO NOVO: RUA JOSÉ MARCELINO DE SALES, 104
COMPLEMENTO: CASA 1 (PORTÃO ESQUERDO)
CEP: 38414060
BAIRRO: DONA ZULMIRA</t>
  </si>
  <si>
    <t>COMPROVANTE DE ENDEREÇO (CONTRATO DE LOCAÇÃO) EM ANEXO
NOME NO COMPROVANTE: VICTORIA GARCIA FERNANDES (DISSE SER SUA NAMORADA)</t>
  </si>
  <si>
    <t>MK END: CLAUDIVANIA FERREIRA DOS SANTOS - CONTRATOU CONOSCO EM 08/2023, PORÉM FOI CANCELADO EM 12/2023 POR INADIMPLÊNCIA. SEGUE COM PENDÊNCIAS FINANCEIRAS E NÃO DEVOLVEU OS EQUIPAMENTOS DESDE ENTÃO. PENDÊNCIAS: 3 MENSALIDADES (R$99,90), MULTA CONTRATUAL (R$824,08) E EQUIPAMENTOS (R$599,00 - ONT ZTE F670L)
NAYDISSON FLAVIO SIMOES - CONTRATOU CONOSCO EM 09/2021, MAS FOI CANCELADO EM 04/2022 POR INADIMPLÊNCIA. SEGUE COM PENDÊNCIAS FINANCEIRAS E NÃO DEVOLVEU OS EQUIPAMENTOS DESDE ENTÃO. PENDÊNCIAS: 3 MENSALIDADES (R$99,90), MULTA CONTRATUAL (R$407,75) E EQUIPAMENTOS (R$560,00 - ROTEADOR ZTE H199A E ONU DATA)
MK NOME: GILBERTO MARTINS DA SILVA (LOCADOR / CPF: 746.890.706-44) - POSSUI CADASTRO CONOSCO, MAS SEM REGISTRO DE INSTALAÇÃO OU ATENDIMENTO.
VICTORIA GARCIA FERNANDES (LOCATÁRIA / CPF: 155.759.806-18) - N/C
SIMONE DE SOUSA MENEZES (FIADORA / CPF: 063.558.686-07) - N/C
LUIZ FELIPE DE SOUZA FERNADES (TITULAR) - POSSUI CONEXÃO CONOSCO DESDE 10/2025, ATIVA E ADIMPLENTE.</t>
  </si>
  <si>
    <t xml:space="preserve">ENDEREÇO NÃO ALTERADO </t>
  </si>
  <si>
    <t>ENDEREÇO NOVO: ALAMEDA JARDIM HOLANDA, 1350
COMPLEMENTO:  CONDOMÍNIO TOPAZIO RESIDENCE BLOCO B AP 103
CEP: 38412330
BAIRRO: JARDIM HOLANDA</t>
  </si>
  <si>
    <t>PLANO ATUAL: 1000 MEGA/99,90 CONTRATADO EM 01/2025 COM FIDELIDADE DE 12 MESES. ROTEADOR: ONT TP-LINK X530
PLANO OFERTADO: 1 GIGA (1.000 MEGA) R$99,90. BENEFÍCIOS: ACESSO GRATUITO AO APP MZTV (CDNTV+) + VOD</t>
  </si>
  <si>
    <t>MATHEUS FELIPE ALVEZ PACHECO (FILHO)</t>
  </si>
  <si>
    <t>COMPROVANTE DE ENDEREÇO (CONTRATO DE LOCAÇÃO) EM ANEXO
NOME NO COMPROVANTE: MATHEUS FELIPE ALVEZ PACHECO (DIZ SER SEU FILHO)</t>
  </si>
  <si>
    <t>MK END: N/C
MK NOMES:
CENTRAL 10 EMPREENDIMENTOS LTDA (CENTRAL 10 IMOBILIÁRIA) (IMOBILIÁRIA): N/C
JÁDER PIERRE ALVES (SÓCIO ADMINISTRADOR DA CENTRAL 10 EMPREENDIMENTOS LTDA): N/C
MATHEUS FELIPE ALVES PACHECO (LOCATÁRIO DO IMÓVEL): CLIENTE POSSUÍA CONEXÃO ATIVA, PORÉM, DEVIDO À EXISTÊNCIA DE DÉBITOS EM ABERTO, FORAM REALIZADAS COBRANÇAS REFERENTES À PENDÊNCIA FINANCEIRA. EM 29/08/2025, O MESMO REALIZOU NEGOCIAÇÃO DOS VALORES E EFETUOU A DEVOLUÇÃO DOS EQUIPAMENTOS.
CONEXÃO CANCELADA E SEM DÉBITOS PENDENTES.</t>
  </si>
  <si>
    <t xml:space="preserve">MUD END + ALT PLANO FILOMENA PIO DE JESUS PROT:2605.9447 ISENTO (LUIS) - MARTA HELENA  //  </t>
  </si>
  <si>
    <t>ENDEREÇO NOVO: AVENIDA COMENDADOR ALEXANDRINO GARCIA, 1767
COMPLEMENTO: CASA FUNDO
CEP: 38402228
BAIRRO: MARTA HELENA</t>
  </si>
  <si>
    <t>PLANO ATUAL: 600 MEGA/79,90 CONTRATADO EM 09/2024 COM FIDELIDADE DE 12 MESES. ROTEADOR: ONT TP-LINK XC230
PLANO OFERTADO: 600 MEGA/79,90. BENEFÍCIOS: ACESSO GRATUITO AO APP MZTV (CDNTV+)</t>
  </si>
  <si>
    <t>COMPROVANTE DE ENDEREÇO (CONTRATO DE LOCAÇÃO) EM ANEXO
NOME NO COMPROVANTE: FILOMENA PIO DE JESUS (ASSINANTE)</t>
  </si>
  <si>
    <t>MK END:  N/C
MK  NOMES: 
CLÁUDIO HUMBERTO LEMES MATIAS – LOCADOR – CPF: 658.877.276-91 - N/C;
FILOMENA PIO DE JESUS – LOCATÁRIO – CPF: 973.896.416-49 - ASSINANTE - CLIENTE ATIVO E ADIMPLENTE COM A EMPRESA;
LAIS CRISTINA RODRIGUES OLIVEIRA – FIADORA – CPF: 159.852.646-45 - N/C</t>
  </si>
  <si>
    <t xml:space="preserve">MUD END + ALT PLANO RITA DE CASSIA DE MORAIS PROT:2605.9725 ISENTO (LUIS) - RESIDENCIAL INTEGRAÇÃO  //  </t>
  </si>
  <si>
    <t xml:space="preserve">VALIDAÇÃO OK 
 </t>
  </si>
  <si>
    <t>ENDEREÇO NOVO: AVENIDA JOÃO COSTA AZEVEDO, 416
COMPLEMENTO: CASA ÚNICA
CEP: 38407568
BAIRRO: RESIDENCIAL INTEGRAÇÃO</t>
  </si>
  <si>
    <t>COMPROVANTE DE ENDEREÇO (CEMIG) EM ANEXO
NOME NO COMPROVANTE: RITA DE CASSIA DE MORAIS (ASSINANTE)</t>
  </si>
  <si>
    <t>MK END: N/C
MK NOMES : 
-RITA DE CASSIA DE MORAIS - CPF: 055.987.406-56  - ASSINANTE - CLIENTE ATIVA E ADIMPLENTE COM A EMPRESA.</t>
  </si>
  <si>
    <t>ENDEREÇO NOVO: RUA HEITOR PAPPARÔTO, 75
COMPLEMENTO: COMÉRCIO
CEP: 38408440
BAIRRO: VIGILATO PEREIRA</t>
  </si>
  <si>
    <t>COMPROVANTE DE ENDEREÇO (CEMIG) EM ANEXO
NOME NO COMPROVANTE: PEDRO HENRIQUE DE OLIVEIRA LIMA FERRARI (DISSE SER O DONO DO IMÓVEL)</t>
  </si>
  <si>
    <t>MK END: N/C
MK NOME: PEDRO HENRIQUE DE OLIVEIRA LIMA FERRARI (DISSE SER O DONO DO IMÓVEL) - N/C
CLINICA MEDICA NOSSA SENHORA DA ABADIA LTDA - POSSUI CONEXÃO CONOSCO DESDE 07/2025, ATIVA E ADIMPLENTE.</t>
  </si>
  <si>
    <t>ENDEREÇO NOVO: RUA ALFREDO BOSI, 242
COMPLEMENTO: COND. RECANTO VERDE BL 3 AP 807
CEP: 38409120
BAIRRO: NOVO MUNDO</t>
  </si>
  <si>
    <t>PLANO ATUAL: 1000 MEGA/99,90 CONTRATADO EM 01/24 COM FIDELIDADE DE 12 MESES. ROTEADOR: ONT TP-LINK XC220
PLANO OFERTADO: 1 GIGA (1.000 MEGA) R$99,90. BENEFÍCIOS: ACESSO GRATUITO AO APP MZTV (CDNTV+) + VOD</t>
  </si>
  <si>
    <t>COMPROVANTE DE ENDEREÇO (CONTRATO DE COMPRA E VENDA) EM ANEXO
NOME NO COMPROVANTE: NILZABETE PEREIRA DO NASCIMENTO (TITULAR )</t>
  </si>
  <si>
    <t>MK END: N/C
MK NOMES:
&gt; PESSOAS JURIDICAS:
OPÇÃO EMPREENDIMENTOS IMOBILIÁRIOS EIRELI (PROPRIETÁRIA INICIAL / INCORPORADORA): N/C
CAIXA ECONÔMICA FEDERAL (CREDORA): N/C
BANCO ITAÚ (INSTITUIÇÃO ONDE FOI RECOLHIDO O IMPOSTO (ITBI)):N/C
&gt; PESSOAS FISICAS:
NILZABETE PEREIRA DO NASCIMENTO (ADQUIRENTE/TITULAR): CONEXÃO ATIVA, SEM PENDENCIAS.
JOÃO PAULO NAVES CAMARGO (SÓCIO/ADMINISTRADOR DA EMPRESA TRANSMITENTE): N/C
JOÃO CESAR DE SOUZA (RESIDENTE/DOMICILIADO CITADO EM AVERBAÇÃO DE DÍVIDA ATIVA): N/C
&gt; OFICIAIS E ESCREVENTES (RESPONSÁVEIS PELO DOCUMENTO)
MÁRCIO RIBEIRO PEREIRA ( OFICIAL): N/C
PATRICIA TESTA PEREIRA (OFICIAL SUBSTITUTA): N/C
DENISE TESTA PEREIRA (OFICIAL SUBSTITUTA): N/C
JOELIA DA SILVA RIBEIRO (ESCREVENTE): N/C
DANIELE AMSTALDEN DE OLIVEIRA ( ESCREVENTE): N/C
LORENA MARQUES DE SOUSA (ESCREVENTE): N/C</t>
  </si>
  <si>
    <t>CONFERIDO POR VAGNER</t>
  </si>
  <si>
    <t>ENDEREÇO NOVO: RUA AERONAUTA, 1750
COMPLEMENTO: CASA 2
CEP: 38406292
BAIRRO: JARDIM IPANEMA</t>
  </si>
  <si>
    <t xml:space="preserve">MUD END + ALT PLANO ELZA MARIA SOARES DE SOUZA PROT:2605.9596 ISENTO (ANDREZA) - JARDIM BRASÍLIA **PRÉDIO COM PRUMADA** //  </t>
  </si>
  <si>
    <t>ENDEREÇO NOVO: RUA PLUTÃO, 370
COMPLEMENTO: COND. GREEN VILLE - BLOCO B, APTO 202
CEP: 38401394
BAIRRO: JARDIM BRASÍLIA</t>
  </si>
  <si>
    <t>PLANO ATUAL: 600 MEGA/79,90 CONTRATADO EM 07/2025 COM FIDELIDADE DE 12 MESES. ROTEADOR: ONT TP-LINK XC220
PLANO OFERTADO: 600 MEGA/79,90. BENEFÍCIOS: ACESSO GRATUITO AO APP MZTV (CDNTV+)</t>
  </si>
  <si>
    <t>DIVINO ALVES DOS SANTOS (ESPOSO)</t>
  </si>
  <si>
    <t>34 98433-3010</t>
  </si>
  <si>
    <t>COMPROVANTE DE ENDEREÇO (CONTRATO DE LOCAÇÃO) EM ANEXO
NOME NO COMPROVANTE: DIVINO ALVES DOS SANTOS (ESPOSO DA ASSINANTE)</t>
  </si>
  <si>
    <t>MK END: N/C
_________________________________________________________________
MK NOMES:
-&gt; RICARDO LÚCIO TOMÉ VIEIRA (LOCADOR) - CPF 105.508.036-88: N/C
-&gt; DIVINO ALVES DOS SANTOS (ESPOSO DA ASSINANTE/LOCATÁRIO) - CPF 409.368.051-53: N/C
-&gt; RODRIGO RODRIGUES BATISTA (AVALISTA) - CPF 004.188.486-88: CONEXÃO ATIVA DESDE 11/2024 E ADIMPLENTE COM A EMPRESA.</t>
  </si>
  <si>
    <t xml:space="preserve">MUD END + ALT PLANO RITA VANUZA DE CASSIA PROT:2605.9497 ISENTO (JHONATAN) - JARDIM EUROPA **PRÉDIO COM PRUMADA** //  </t>
  </si>
  <si>
    <t>ENDEREÇO NOVO: RUA ALFREDO VIEIRA, 280 
COMPLEMENTO: APTO 403 - BLOCO A
CEP: 38414582
BAIRRO: JARDIM EUROPA</t>
  </si>
  <si>
    <t>PLANO ATUAL: 600 MEGA/79,90 CONTRATADO EM 03/2025 COM FIDELIDADE DE 12 MESES. ROTEADOR: HUAWEI AX2
PLANO OFERTADO: 600 MEGA/79,90. BENEFÍCIOS: ACESSO GRATUITO AO APP MZTV (CDNTV+)</t>
  </si>
  <si>
    <t>COMPROVANTE DE ENDEREÇO (CONTRATO DE LOCAÇÃO) EM ANEXO
NOME NO COMPROVANTE: TAINA NUNES CAMPOS (DISSE SER SUA FILHA)</t>
  </si>
  <si>
    <t xml:space="preserve">MK END
→ DANIEL PEREIRA DA SILVA - CONEXÃO CANCELADA EM 10/2023 - EQUIPAMENTO RECOLHIDOS - SEM DÉBITO (COND. VERTENTES 3, BL.A, APT. 403)
MK NOME
→ UESLEI ELIAS SILVA SANTOS (LOCADOR): CONEXÃO ATIVA DESDE 03/2026 - SEM DÉBITO
→ JOICE DE SOUSA SILVA SANTOS (LOCADORA): N/C
→ TAINA NUNES CAMPOS (LOCATÁRIA): SOLICITAÇÃO DE CONEXÃO EM 07/2020 - APROVADA COM TAXA / ENCERRADA
→ DEBORA ISAAC DE OLIVEIRA (CONTATO DE REFERÊNCIA): CONEXÃO CANCELADA EM 09/2021 - EQUIPAMENTO RECOLHIDOS - SEM DÉBITO
	→ DEBORA ISAAC DE OLIVEIRA (MANGA ROSA): SOLICITAÇÃO DE CONEXÃO NO CNPJ EM 05/2023 - DESISTIU ANTES DA INSTALAÇÃO </t>
  </si>
  <si>
    <t xml:space="preserve">
PENDENTE COMPROVANTE DE RESIDENCIA
ENDEREÇO NÃO ALTERADO
removido da agenda</t>
  </si>
  <si>
    <t>ENDEREÇO NOVO: RUA ENGENHEIRO AZELLI, 1375
COMPLEMENTO: COMÉRCIO
CEP: 38400390
BAIRRO: OSVALDO REZENDE</t>
  </si>
  <si>
    <t xml:space="preserve">MUD END + ALT PLANO YASMIN FAGUNDES BARBOSA CARVALHO PROT:2605.10225 ISENTO (GABRIEL M.) - TAIAMAN  //  
</t>
  </si>
  <si>
    <t>ENDEREÇO NOVO: RUA DOS PIANOS, 1139
COMPLEMENTO: CASA UNICA
CEP: 38415132
BAIRRO: TAIAMAN</t>
  </si>
  <si>
    <t>COMPROVANTE DE ENDEREÇO (CONTRATO DE LOCAÇÃO) EM ANEXO
NOME NO COMPROVANTE: YASMIN FAGUNDES BARBOSA CARVALHO (ASSINANTE)</t>
  </si>
  <si>
    <t xml:space="preserve">JA VALIDADO ANTERIORMENTE </t>
  </si>
  <si>
    <t xml:space="preserve">
PENDENTE COMPROVANTE DE PAGAMENTO</t>
  </si>
  <si>
    <t>ENDEREÇO NOVO: RUA EUFRATES, 1100
COMPLEMENTO: APT 202 
CEP: 38412428
BAIRRO: JARDIM CANAÃ</t>
  </si>
  <si>
    <t>COMPROVANTE DE ENDEREÇO (CONTRATO DE COMPRA E VENDA) EM ANEXO
NOME NO COMPROVANTE: FABIO LOURENÇO MARTINS  (ESPOSO)</t>
  </si>
  <si>
    <t>MK END:N/C
MK NOMES:
    BANCO DO BRASIL 00.000.000/0001-91(CREDOR)N/C
    BANCO DO BRASIL  AGENCIA 00.000.000/4788-06(CREDOR)N/C
    LUIS ANTONIO DA SILVA CPF:260.995.498-03 (PROCURADOR)N/C
    ANDREA PAULA BRANCO NOVAIS CPF:128.435.958-19(VENDEDOR)N/C 
    SAMUEL MOURA DE NOVAIS CPF:323.377.876-72(CONJUGE DE ANDREA PAULA BRANCO NOVAIS)N/C
    FABIO LOURENÇO MARTINS CPF:073.019.736-08 (ESPOSO DE SUSANA CRISTINA SANTOS)N/C</t>
  </si>
  <si>
    <t xml:space="preserve">MUD END + ALT PLANO HANNA BEATRIZ GOMES MIRANDA PROT:2605.10874 ISENTO (LUIS) - SHOPPING PARK  //  </t>
  </si>
  <si>
    <t>ENDEREÇO NOVO: RUA RODRIGO ANTÔNIO DE MORAIS, 26
COMPLEMENTO: CASA ÚNICA
CEP: 38425553
BAIRRO: SHOPPING PARK</t>
  </si>
  <si>
    <t>. &lt;b&gt;ONT = ONT TP LINK 220 // CONECTOR = VERDE.&lt;/b&gt;</t>
  </si>
  <si>
    <t>COMPROVANTE DE ENDEREÇO (CEMIG) EM ANEXO
NOME NO COMPROVANTE: JULIA HELENA DA SILVA (HANNA ALEGA SER A DONA DA CASA)</t>
  </si>
  <si>
    <t>MK END: N/C
MK NOMES: 
- JULIA HELENA DA SILVA - (HANNA ALEGA SER DONA DA RESIDÊNCIA) N/C; 
- HANNA BEATRIZ GOMES MIRANDA - CPF: 026.773.202-31 - ASSINANTE - CLIENTE ATIVA E ADIMPLENTE COM A EMPRESA.</t>
  </si>
  <si>
    <t>MUD END + ALT PLANO THOME DE FREITAS CAIRES JUNIOR PROT:2605.7939 ISENTO (HALYSON) - LÍDICE **PRÉDIO SEM PRUMADA - ENVIAR TÉCNICO DUPLADO** //  *TROCA DE EQUIPAMENTO* JÁ TEVE CLIENTE INSTALADO NO MESMO AP DA SOLICITAÇÃO, VEIO DA CTO*</t>
  </si>
  <si>
    <t>ENDEREÇO NOVO: RUA PADRE ANCHIETA, 46 
COMPLEMENTO: AP 801
CEP: 38400132
BAIRRO: LÍDICE</t>
  </si>
  <si>
    <t xml:space="preserve">PLANO ATUAL: 1000 MEGA/99,90 CONTRATADO EM 01/2023 COM FIDELIDADE DE 12 MESES. ROTEADOR: ZTE H199-A
PLANO OFERTADO: 1 GIGA (1.000 MEGA) R$99,90. BENEFÍCIOS: ACESSO GRATUITO AO APP MZTV (CDNTV+) + VOD
</t>
  </si>
  <si>
    <t>MARIA APARECIDA ALMEIDA CAIRES (ESPOSA )</t>
  </si>
  <si>
    <t>(34) 99676-2513</t>
  </si>
  <si>
    <t>COMPROVANTE DE ENDEREÇO (CONTRATO DE LOCAÇÃO) EM ANEXO.
NOME NO COMPROVANTE:  THOME DE FREITAS CAIRES JUNIOR (ASSINANTE)</t>
  </si>
  <si>
    <t>MK END:
- LUCIANA MARTINEZ GROSSI: CONEXÃO CANCELADA SEM DÉBITOS // CLIENTE SE MUDOU PARA ENDEREÇO ONDE JÁ POSSUIA CONEXÃO. 
CONEXÃO ATIVA E ADIMPLENTE NO ENDEREÇO (LUCIANA MARTINEZ GROSSI (APT.2302 BL.A, COND.DUO)) NO ENDEREÇO R. Jose Elias 150 BL A, APTO 2302 
MK NOMES:
- DANILO DIAS DE MORAES 191.320.006-00 (LOCADOR): N/C
- DELTA IMÓVEIS E ADMINISTRAÇÃO LTDA  23.976.590/0001-98 (ADMINISTRADORA): N/C
- FRANCIS HEME CESAR PEREIRA 086.429.536-75 (REPRESENTANTE DA DELTA IMÓVEIS E ADMINISTRAÇÃO LTDA): N/C
- THOMÉ DE FREITAS CAIRES JUNIOR 460.459.966-15 (ASSINANTE E LOCATÁRIO):
- MARIA APARECIDA DE ALMEIDA CAIRES 652.305.826-34 (ESPOSA DO ASSINANTE): N/C
- STOESSEL LUIZ VINHAS RIBEIRO 019.733.768-65 (FIADOR): N/C
- MARIA TEREZINHA CARRARA LELIS 020.647.608-65 (ESPOSA DO FIADOR): N/C
- VALERIA CRISTINA FERREIRA DE CARVALHO (TESTEMUNHA): N/C
- RHAYANNE MYCHELLE INÁCIO DE PAULA (TESTEMUNHA): POSSUI CONEXÃO ATIVA E ADIMPLENTE NO ENDEREÇO: JOÃO RODRIGUES DA SILVA Nº60 CASA 1 
- REDE VISTORIAS UBERLÂNDIA (EMPRESA RESPONSÁVEL PELA VISTORIA): N/C
- ALESSANDRO LUIZ QUEIROZ (VISTORIADOR): CLIENTE POSSUI CONEXÃO ATIVA E ADIMPLENTE ENDEREÇO: AGUA VERMELHA Nº 112 BAIRRO GRANADA</t>
  </si>
  <si>
    <t xml:space="preserve">SOLICITAÇÃO DE MICHELA PARA MESMO ENDEREÇO: QUESTIONAR SE GABRIELE CONHECE E CONFIRMAR ENDEREÇO, SERÁ CASA FRENTE OU CASA FUNDOS? SÃO IRMÃS? SOLICITAR COMPROVANTE DE RESIDENCIA QUE INFORMA COMPLEMENTO CORRETO. </t>
  </si>
  <si>
    <t>ENDEREÇO NOVO: RUA GUAPEVA, 1038
COMPLEMENTO: CASA UNICA
CEP: 38407318
BAIRRO: MORUMBI</t>
  </si>
  <si>
    <t xml:space="preserve">MARIA DULCE BONIFACIO DE SOUZA (MÃE) </t>
  </si>
  <si>
    <t>COMPROVANTE DE ENDEREÇO (CEMIG) EM ANEXO
NOME NO COMPROVANTE:  MARIA APARECIDA BORGES (ANTIGO INQUILINO)</t>
  </si>
  <si>
    <t xml:space="preserve">MUD END DENIVALDO MARCOS DA COSTA PROT:2605.6496 PIX (PEDRO) - LAGOINHA   </t>
  </si>
  <si>
    <t>ENDEREÇO NOVO: RUA DARIA PEREIRA ALVIM, 214
COMPLEMENTO: CASA 2
CEP: 38408512
BAIRRO: LAGOINHA</t>
  </si>
  <si>
    <t>COMPROVANTE DE ENDEREÇO (CEMIG) EM ANEXO
NOME NO COMPROVANTE: JOSE RUBENS DIAS (DISSE QUE É O PROPRIETÁRIO)</t>
  </si>
  <si>
    <t>MK END
N/C 
MK NOME 
-&gt; DENIVALDO MARCOS DA COSTA: ASSINANTE DA CONEXÃO 
-&gt; JOSE RUBENS DIAS (DISSE QUE É O PROPRIETÁRIO): N/C</t>
  </si>
  <si>
    <t xml:space="preserve">MUD END ALEXANDRE PAVAO MORELATTO PROT:2605.8268 PIX (ANDREZA) - GUARANI   </t>
  </si>
  <si>
    <t>ENDEREÇO NOVO: RUA GUARÂNIA, 228
COMPLEMENTO: CASA 01
CEP: 38415456
BAIRRO: GUARANI</t>
  </si>
  <si>
    <t>COMPROVANTE DE ENDEREÇO (SOLICITAÇÃO DE FORNECIMENTO DE ENERGIA - CEMIG) EM ANEXO
NOME NO COMPROVANTE: ALEXANDRE PAVAO MORELATTO (ASSINANTE)</t>
  </si>
  <si>
    <t>MK END: N/C
________________________________________
MK NOMES:
-&gt; ALEXANDRE PAVAO MORELATTO - CPF 331.644.678-85: ASSINANTE DA CONEXÃO.</t>
  </si>
  <si>
    <t xml:space="preserve">MUD END LUCIMAR OLIVEIRA SANTOS PROT:2605.10019 PIX (PEDRO) - SANTA LUZIA   </t>
  </si>
  <si>
    <t>ENDEREÇO NOVO: AVENIDA ALÍPIO ABRÃO, 365
COMPLEMENTO: CASA 1 (FUNDO / PORTÃO PEQUENO)
CEP: 38408758
BAIRRO: SANTA LUZIA</t>
  </si>
  <si>
    <t>COMPROVANTE DE ENDEREÇO (CEMIG) EM ANEXO
NOME NO COMPROVANTE: OSVAIR MORAIS DOS SANTOS (DISSE SER O DONO DO IMÓVEL / PADRASTO DA TITULAR)</t>
  </si>
  <si>
    <t>MK END: N/C
MK NOME: OSVAIR MORAIS DOS SANTOS (DISSE SER O DONO DO IMÓVEL / PADRASTO DA TITULAR) - N/C
LUCIMAR OLIVEIRA SANTOS (TITULAR) - POSSUI CONEXÃO CONOSCO DESDE 03/2025, ATIVA E ADIMPLENTE.</t>
  </si>
  <si>
    <t>ENDEREÇO NOVO: RUA WESLEY CINTRA, 120
COMPLEMENTO: CASA 10
CEP: 38414626
BAIRRO: JARDIM EUROPA</t>
  </si>
  <si>
    <t>COMPROVANTE DE ENDEREÇO (DMAE) EM ANEXO
NOME NO COMPROVANTE: NAJARA SILVA SANTOS (DIZ SER SUA ESPOSA/PROPRIETARIA DO IMOVEL)</t>
  </si>
  <si>
    <t xml:space="preserve">MUD END + ALT PLANO EDER DE SOUSA BERDNASKI PROT:2601.30329 ISENTO (JOSÉ Jr) - JARDIM EUROPA  //  </t>
  </si>
  <si>
    <t>CONFERENCIAS INCOMPLETAS
INFORMAÇÕES DIVERGENTES ENTRE PROTOCOLO E OS, PROTOCOLO INFORMA QUE EDER VAI ACOMPANHAR MUDANÇA, OS INFORMA QUE TAMIRES(ESPOSA) IRÁ ACOMPANHAR MUDANÇA, FAVOR CORRIGIR A INFORMAÇÃO.</t>
  </si>
  <si>
    <t>34 98431-5840</t>
  </si>
  <si>
    <t>ENDEREÇO NOVO: RUA MARGARIDA DE CARVALHO, 189
COMPLEMENTO: CASA 1
CEP: 38414659
BAIRRO: JARDIM EUROPA</t>
  </si>
  <si>
    <t>PLANO ATUAL: 1000 MEGA/99,90 CONTRATADO EM 07/2024 COM FIDELIDADE DE 12 MESES. ROTEADOR: ONT ZTE F 670-L
PLANO OFERTADO: 1 GIGA (1.000 MEGA) R$99,90. BENEFÍCIOS: ACESSO GRATUITO AO APP MZTV (CDNTV+) + VOD</t>
  </si>
  <si>
    <t>TAMIRES SABRINA DA SILVA BERDNASKI (ESPOSA DE EDER)</t>
  </si>
  <si>
    <t>34 99979-4796</t>
  </si>
  <si>
    <t>COMPROVANTE DE ENDEREÇO (DMAE) EM ANEXO
NOME NO COMPROVANTE: EDER DE SOUSA BERDNASKI (ASSINANTE)</t>
  </si>
  <si>
    <t xml:space="preserve">MK END:
    JENNIFFER DOS REIS FAGUNDES CPF:091.295.336-51 CLIENTE CANCELOU NA DATA 12/2021 ANTES DA CONCLUSÃO DA INSTALAÇÃO. 
MK NOMES:
     EDER DE SOUSA BERDNASKI (PROPRITARIO)TITULAR DA CONEXÃO </t>
  </si>
  <si>
    <t xml:space="preserve">MUD END + ALT PLANO GIOVANNA ISABELLA LIMA REIS PROT:2605.8257 ISENTO (ANDREZA) - MANSOUR  //  </t>
  </si>
  <si>
    <t xml:space="preserve">
ENDEREÇO NOVO: RUA RIO TAQUARI, 101
COMPLEMENTO: CASA 01
CEP: 38414450
BAIRRO: MANSOUR</t>
  </si>
  <si>
    <t>COMPROVANTE DE ENDEREÇO (CEMIG) EM ANEXO
NOME NO COMPROVANTE: KEILA SILVA XAVIER (DISSE QUE É A PROPRIETÁRIA DO IMÓVEL)
________________________________________________
GIOVANNA DISSE QUE TEM SOMENTE ESSE COMPROVANTE POR ENQUANTO, MAS QUE VAI PEDIR ALGUM TALÃO ATUALIZADO PARA A PROPRIETÁRIA</t>
  </si>
  <si>
    <t>MK END: N/C
__________________________________________________
MK NOMES:
-&gt; KEILA SILVA XAVIER (DISSE QUE É A PROPRIETÁRIA DO IMÓVEL): N/C</t>
  </si>
  <si>
    <t>MUD END + ALT PLANO ENEIAS RODRIGUES DE SOUZA (NOVO VISUAL SERVICOS GRAFICA) PROT:2605.12219 ISENTO (VICTOR H.) - OSVALDO REZENDE  // *(POSSUI WI-FI EXTEND)*</t>
  </si>
  <si>
    <t>ENDEREÇO NOVO: RUA ANTÔNIO THOMAZ DE REZENDE, 201
COMPLEMENTO: SALA 5
CEP: 38400487
BAIRRO: OSVALDO REZENDE</t>
  </si>
  <si>
    <t>PLANO ATUAL: PLANO ATUAL: 1000 MEGA + WI-FI EXTEND/134,90 CONTRATADO EM 08/2025 COM FIDELIDADE DE 12 MESES. ROTEADOR: ONT TP-LINK X530
PLANO OFERTADO: 1 GIGA (1.000 MEGA); + WI-FI EXTEND (ROTEADOR ADICIONAL)  MENSALIDADE: R$134,90; EQUIPAMENTOS EMPRESTADOS EM REGIME DE COMODATO + INSTALAÇÃO/ATIVAÇÃO GRÁTIS; BENEFÍCIOS: ACESSO GRATUITO AO APP MZTV (CDNTV+) + VOD</t>
  </si>
  <si>
    <t>COMPROVANTE DE ENDEREÇO (ISS 2026) EM ANEXO
NOME NO COMPROVANTE: GRAFICA EDITORA UNIÃO PRINT LTDA (EMPRESA)</t>
  </si>
  <si>
    <t>MK END: NC
MK NOMES: 
GRAFICA EDITORA UNIÃO PRINT LTDA - NC
ENEIAS RODRIGUES DE SOUZA - NC
 ENEIAS RODRIGUES DE SOUZA (NOVO VISUAL SERVICOS GRAFICA) - CONEXÃO ATIVA E ADIMPLENTE</t>
  </si>
  <si>
    <t>ENDEREÇO NOVO: RUA SERRA DOS ENCANTADOS, 708
COMPLEMENTO: CASA FRENTE
CEP: 38410388
BAIRRO: SÃO JORGE</t>
  </si>
  <si>
    <t>MARIA NEDIR DOS SANTOS ROCHA (AVO)</t>
  </si>
  <si>
    <t>COMPROVANTE DE ENDEREÇO (CEMIG) EM ANEXO
NOME NO COMPROVANTE: MARIA NEDIR DOS SANTOS ROCHA (AVÓ DA ASSINANTE)</t>
  </si>
  <si>
    <t>MK END: N/C
MK NOMES
- MARINEZ RODRIGUES DA ROCHA PINHEIRO (ASSINANTE): POSSUI CONEXÃO ATIVA E ADIMPLENTE
- MARIA NEDIR DOS SANTOS ROCHA (AVÓ DA ASSINANTE): N/C</t>
  </si>
  <si>
    <t>MUD END + ALT PLANO JAQUELINE CAROLINA DA SILVA PROT:2605.10567 ISENTO (JHONATAN) - TOCANTINS  //  *TROCA DE EQUIPAMENTO*</t>
  </si>
  <si>
    <t>COLOCAR NOME COMPLETO E TELEFONE DA IRMÃ 
FAZER CONFERENCIAS DA IRMA</t>
  </si>
  <si>
    <t>ENDEREÇO NOVO: RUA BERNADETE SILVA ARANTES, 112 
COMPLEMENTO: CASA UNICA
CEP: 38415297
BAIRRO: TOCANTINS</t>
  </si>
  <si>
    <t>PLANO ATUAL: 1000 MEGA/99,90 CONTRATADO EM 09/2022 COM FIDELIDADE DE 12 MESES. ROTEADOR: ZTE H199-A
PLANO OFERTADO: 1 GIGA (1.000 MEGA) R$99,90. BENEFÍCIOS: ACESSO GRATUITO AO APP MZTV (CDNTV+) + VOD</t>
  </si>
  <si>
    <t xml:space="preserve">
LAIS ALVES DE OLIVEIRA SILVA (IRMÃ) </t>
  </si>
  <si>
    <t>34991644291 | 34988042083</t>
  </si>
  <si>
    <t>COMPROVANTE DE ENDEREÇO (CEMIG) EM ANEXO
NOME NO COMPROVANTE: JAQUELINE CAROLINA DA SILVA (ASSINANTE)</t>
  </si>
  <si>
    <t>MUD END + ALT PLANO GABRYELLA FERNANDA DOS ANJOS MARQUES SALES PROT:2605.10961 ISENTO (PEDRO) - JARDIM EUROPA **PRÉDIO COM PRUMADA** //  *TROCA DE EQUIPAMENTO*</t>
  </si>
  <si>
    <t>ENDEREÇO NOVO: RUA ALFREDO VIEIRA, 280
COMPLEMENTO: COND. VERTENTES III, BL.A, AP.301
CEP: 38414582
BAIRRO: JARDIM EUROPA</t>
  </si>
  <si>
    <t>PLANO ATUAL: 100 MEGA/79,90 CONTRATADO EM 11/2021 COM FIDELIDADE DE 12 MESES. ROTEADOR: TP LINK C-20
PLANO OFERTADO: 600 MEGA/79,90. BENEFÍCIOS: ACESSO GRATUITO AO APP MZTV (CDNTV+)</t>
  </si>
  <si>
    <t>COMPROVANTE DE ENDEREÇO (CONTRATO DE LOCAÇÃO) EM ANEXO
NOME NO COMPROVANTE: GABRYELLA FERNANDA DOS ANJOS MARQUES SALES (ASSINANTE)</t>
  </si>
  <si>
    <t>MK END: GRACIELE ALVES SANTANA DE ANDRADE - CONTRATOU CONOSCO EM 08/2020, MAS SOLICITOU CANCELAMENTO EM 09/2024 POIS MUDOU PARA OUTRO ENDEREÇO SEM VIABILIDADE. CLIENTE DEVOLVEU OS EQUIPAMENTOS E QUITOU OS DÉBITOS.
MK NOME: ISMAEL FRANCISCO DE ANDRADE (LOCADOR / CPF: 049.988.296-29) - N/C
GABRYELLA FERNANDA DOS ANJOS MARQUES SALES (LOCATÁRIA E TITULAR / CPF: 124.600.086-51) - POSSUI CONEXÃO CONOSCO DESDE 11/2021, ATIVA E ADIMPLENTE.</t>
  </si>
  <si>
    <t>MUD END + ALT PLANO ANTONIO PACHECO DA SILVA NETO PROT:2605.13220 ISENTO (JHONATAN) - PRESIDENTE ROOSEVELT  //   *TROCA DE EQUIPAMENTO*</t>
  </si>
  <si>
    <t>ENDEREÇO NOVO: AVENIDA ADRIANO BAILONI, 455 
COMPLEMENTO: CASA UNICA
CEP: 38401092
BAIRRO: PRESIDENTE ROOSEVELT</t>
  </si>
  <si>
    <t>PLANO ATUAL: 600 MEGA/79,90 CONTRATADO EM 01/2025 COM FIDELIDADE DE 12 MESES. ROTEADOR: GREATEK
PLANO OFERTADO: 600 MEGA/79,90. BENEFÍCIOS: ACESSO GRATUITO AO APP MZTV (CDNTV+)</t>
  </si>
  <si>
    <t>COMPROVANTE DE ENDEREÇO (CEMIG) EM ANEXO
NOME NO COMPROVANTE: MARIA DIVINA DOS SANTOS (DISSE QUE É SUA MÃE)</t>
  </si>
  <si>
    <t xml:space="preserve">MK END 
N/C
MK NOME
-&gt; MARIA DIVINA DOS SANTOS (DISSE QUE É SUA MÃE): N/C
-&gt; ANTONIO PACHECO DA SILVA NETO (ASSINANTE DA CONEXÃO) </t>
  </si>
  <si>
    <t>ENDEREÇO NOVO: RUA JOHEN CARNEIRO, 1281
COMPLEMENTO: CASA FUNDO
CEP: 38400072
BAIRRO: LÍDICE</t>
  </si>
  <si>
    <t xml:space="preserve">
&lt;b&gt;ONU = DATA // CONECTOR = VERDE.&lt;/b&gt;</t>
  </si>
  <si>
    <t>CLAUDIANE GOMES DE ARAUJO ESTEVO (MÃE)</t>
  </si>
  <si>
    <t>3499694-4171</t>
  </si>
  <si>
    <t>COMPROVANTE DE ENDEREÇO (CEMIG) EM ANEXO.
NOME NO COMPROVANTE:  GABRIEL MENDES DE SOUSA (DIZ SER INQUILINO DA CASA DA FRENTE)</t>
  </si>
  <si>
    <t>ENDEREÇO NOVO: RUA AMÉLIA RODRIGUES, 356
COMPLEMENTO: CASA FUNDOS
CEP: 38415333
BAIRRO: TOCANTINS</t>
  </si>
  <si>
    <t>COMPROVANTE DE ENDEREÇO (CONTRATO DE LOCAÇÃO) EM ANEXO
NOME NO COMPROVANTE: JOANA MARIA DE JESUS SANTANA (PROPRIETÁRIA DO IMOVEL)</t>
  </si>
  <si>
    <t>MK END: N/C
MK NOMES:
&gt; LOCADOR
JOANA MARIA DE JESUS SANTANA / CPF: 527.118.036-00 - N/C
(PROPRIETÁRIA DO IMOVEL)
&gt; LOCATÁRIO
ALINE MARQUES DURAES / CPF: 702.487.676-07
(TITULAR ASSINANTE DA CONEXÃO, CONEXÃO ATIVA E INADINPLENTE: FATURA 10/05/2026 EM ABERRTO)</t>
  </si>
  <si>
    <t>VALIDAÇÃO OK
COMPLEMENTO NO SISTEMA - DANIELA (COMPROVANTE) É MÃE DO VICTOR E POSSUI PENDENCIAS FINANCEIRAS</t>
  </si>
  <si>
    <t>ENDEREÇO NOVO: RUA ITABIRA, 1086
COMPLEMENTO: CASA FRENTE
CEP: 38400324
BAIRRO: DANIEL FONSECA</t>
  </si>
  <si>
    <t>MARIA HELENA CAETANO PEREIRA (AVÓ DE VICTOR)</t>
  </si>
  <si>
    <t>COMPROVANTE DE ENDEREÇO (CEMIG) EM ANEXO
NOME NO COMPROVANTE: DANIELA APARECIDA PEREIRA (DISSE SER A MORADORA DA CASA DO FUNDO)</t>
  </si>
  <si>
    <t>MK END: N/C
MK NOME: DANIELA APARECIDA PEREIRA (DISSE SER A MORADORA DA CASA DO FUNDO) - CONTRATOU CONOSCO EM 12/2024, MAS FOI CANCELADO EM 01/2026 POR INADIMPLÊNCIA. PENDÊNCIAS: 3 MENSALIDADE DE R$79,90, 1 ONT TPLINK X230 - R$559,00 E MULTA CONTRATUAL - R$96,00.
VICTOR HUGO PEREIRA (TITULAR) - POSSUI CONEXÃO CONOSCO DESDE 12/2023, ATIVA E ADIMPLENTE.</t>
  </si>
  <si>
    <t>MUD END SILVIA ELAINE OLIVEIRA MARTINS (LETICIA/FILHA) PROT:2605.9598 PIX (RONALD) - SEGISMUNDO PEREIRA **PRÉDIO SEM PRUMADA**</t>
  </si>
  <si>
    <t>ENDEREÇO NOVO: AVENIDA SALOMÃO ABRAHÃO, 1851
COMPLEMENTO: APT. 202
CEP: 38408160
BAIRRO: SEGISMUNDO PEREIRA</t>
  </si>
  <si>
    <t>LETICIA CRISTINA MARTINS DE ALMEIDA (FILHA DE SILVIA)</t>
  </si>
  <si>
    <t xml:space="preserve">COMPROVANTE DE ENDEREÇO (CONTRATO DE LOCAÇÃO) EM ANEXO
NOME NO COMPROVANTE: JOAO PEDRO SANTANA ALVES (LOCATARIO/NAMORADO DE LETÍCIA) </t>
  </si>
  <si>
    <t>MK END; - N/C
MK NOME;
SILVIA ELAINE OLIVEIRA MARTINS (ASSINANTE) - CONEXÃO ATIVA E ADIMPLENTE
LETICIA CRISTINA MARTINS DE ALMEIDA (FILHA DE SILVIA) - SOLICITOU INSTALAÇÃO EM 11/2025 PORÉM FOI APROVADO NO NOME DE SUA MÃE 
JOÃO PEDRO SANTANA ALVES (NAMORADO DE LETÍCIA) - N/C
ADALBERTO CALDEIRA BRANT 082.776.646-72 (LOCADOR) - N/C
MARIA ELIANE RIOS CALDEIRA BRANT 170.062.876-34 (CÔNJUGE DE ADALBERTO) - N/C
IVAN NEGOCIOS IMOBILIARIOS LTDA (IMOBILIARIA) - N/C
IVAN GRACIANO DA COSTA FILHO 040.246.836-83 (SÓCIO) - N/C
RICARDO GRACIANO DA COSTA 042.613.186-01 (SÓCIO) - N/C
VICENTE PAULO FERREIRA 435.173.826-04 (PROCURADOR) - N/C
JOYCE APARECIDA DIAS 058.367.476-36 (PROCURADORA)- N/C
RAIZ LAMARA BALESTERE TEIXEIRA ALVES 320.333.798-33 (PROCURADORA) - N/C</t>
  </si>
  <si>
    <t xml:space="preserve">MUD END HIGHLANDER DE SOUZA RODRIGUES PROT:2605.3102 PIX (IZABELA) - JARDIM CANAÃ   </t>
  </si>
  <si>
    <t>DAIANE TEIXEIRA BARCELOS (ESPOSA DE HIGHLANDER)</t>
  </si>
  <si>
    <t>3499763-2129</t>
  </si>
  <si>
    <t>COMPROVANTE DE ENDEREÇO (CEMIG) EM ANEXO
NOME NO COMPROVANTE:  GILBERTO JOSE DE LUCENA (DISSE SER O PROPRIETÁRIO DO IMÓVEL)</t>
  </si>
  <si>
    <t>MK END: N/C
MK NOME:
GILBERTO JOSE DE LUCENA - CPF 394.3**.***-** (DISSE SER O PROPRIETÁRIO DO IMÓVEL)  N/C
DAIANE TEIXEIRA BARCELOS (QUEM ACOMPANHA / ESPOSA) N/C</t>
  </si>
  <si>
    <t>ENDEREÇO NOVO: AVENIDA SUCUPIRA, 295
COMPLEMENTO: COMERCIO
CEP: 38407608
BAIRRO: RESIDENCIAL INTEGRAÇÃO</t>
  </si>
  <si>
    <t>COMPROVANTE DE ENDEREÇO (CEMIG) EM ANEXO
NOME NO COMPROVANTE: EDILENE CORREIA NUNES (CLIENTE DIZ QUE É O LOCADOR)</t>
  </si>
  <si>
    <t>MK END:N/C
MK NOMES:
   EDILENE CORREIA NUNES CPF: 078.8**.***-**(CLIENTE DIZ QUE É O LOCADOR)N/C
   COMPLEMENTO:COMPROVANTE FATURA PLANO MOVEL CLARO :LUIZ FERNANDO ROSA DA SILVA CPF:019.357.266-41(CLIENTE DIZ QUE É O LOCADOR)N/C</t>
  </si>
  <si>
    <t>ENDEREÇO NOVO: RUA INTERPLANETÁRIA, 359
COMPLEMENTO: CASA FRENTE
CEP: 38401398
BAIRRO: JARDIM BRASÍLIA</t>
  </si>
  <si>
    <t>COMPROVANTE DE ENDEREÇO (CONTRATO DE LOCAÇÃO) EM ANEXO
NOME NO COMPROVANTE: EMERSON APARECIDO DE ALMEIDA (CLIENTE DIZ QUE É O ESPOSO)</t>
  </si>
  <si>
    <t>MK END:N/C
MK NOMES:
   JOSE MARIA GOMES DA SILVA CPF:741.994.124-68(LOCADOR)N/C
   EMERSON APARECIDO DE ALMEIDA CPF:085.762.556-00(LOCATÁRIO)CLIENTE DIZ QUE É O SEU ESPOSO. N/C</t>
  </si>
  <si>
    <t>PENDENTE COMPROVANTE + PENDENTE MENSALIDADE
REMOVIDO DA AGENDA</t>
  </si>
  <si>
    <t>ENDEREÇO NOVO: RUA ENGENHEIRO AZELLI, 1335
COMPLEMENTO: CASA FRENTE
CEP: 38400390
BAIRRO: OSVALDO REZENDE</t>
  </si>
  <si>
    <t>&lt;b&gt;ONU = TENDA // CONECTOR = VERDE.&lt;/b&gt;</t>
  </si>
  <si>
    <t>FELIPE (FILHO DE ERICA)</t>
  </si>
  <si>
    <t xml:space="preserve">PENDENTE MENSALIDADE
DEMAIS INFORMAÇÕES
</t>
  </si>
  <si>
    <t>ENDEREÇO NOVO: ALAMEDA DOS MANDARINS, 200
COMPLEMENTO: AP 904 BL 6
CEP: 38407661
BAIRRO: GRAND VILLE</t>
  </si>
  <si>
    <t>COMPROVANTE DE ENDEREÇO (CEMIG) EM ANEXO
NOME NO COMPROVANTE: ARIANA DA SILVA JAGER (ASSINANTE)</t>
  </si>
  <si>
    <t>MK END:
N/C 
MK NOME:
-&gt; ARIANA DA SILVA JAGER (ASSINANTE DA CONEXÃO)</t>
  </si>
  <si>
    <t>MUD END + ALT PLANO EFRAIM MARTINS DE PAIVA PROT:2605.18138 ISENTO (ANDREZA) - JARDIM PATRÍCIA  //</t>
  </si>
  <si>
    <t>ENDEREÇO NOVO: RUA JOÃO ESTEVES JÚNIOR, 241
COMPLEMENTO: CASA ÚNICA
CEP: 38414279
BAIRRO: JARDIM PATRÍCIA</t>
  </si>
  <si>
    <t>PLANO ATUAL: 1000 MEGA/99,90 CONTRATADO EM 07/2024 COM FIDELIDADE DE 12 MESES. ROTEADOR: ONT TP-LINK XC230
PLANO OFERTADO: 1 GIGA (1.000 MEGA) R$99,90. BENEFÍCIOS: ACESSO GRATUITO AO APP MZTV (CDNTV+) + VOD</t>
  </si>
  <si>
    <t>COMPROVANTE DE ENDEREÇO (CONTRATO DE LOCAÇÃO) EM ANEXO
NOME NO COMPROVANTE: EFRAIM MARTINS DE PAIVA (ASSINANTE)</t>
  </si>
  <si>
    <t>MK END: N/C
______________________________________________________________
MK NOMES:
-&gt; ANTONIO DA GUIA CARMO NUNES (LOCADOR) - CPF 113.133.311-04: CONEXÃO ATIVA DESDE 10/2023 E ADIMPLENTE COM A EMPRESA.
-&gt; STELA MARES RIOS NUNES (CÔNJUGE DO LOCADOR) - CPF 276.884.701-10: N/C
-&gt; IVAN NEGÓCIOS IMOBILIÁRIOS LTDA (ADMINISTRADORA) - CNPJ 20.869.012/0001-64: N/C
-&gt; IVAN GRACIANO DA COSTA FILHO (SÓCIO GERENTE DA IMOBILIÁRIA) - CPF 040.246.836-83: N/C
-&gt; RICARDO GRACIANO DA COSTA (PROCURADOR DA IMOBILIÁRIA) - CPF 042.613.186-01: N/C
-&gt; VICENTE PAULO FERREIRA (PROCURADOR DA IMOBILIÁRIA / SIGNATÁRIO) - CPF 435.173.826-04: N/C
-&gt; JOYCE APARECIDA DIAS (PROCURADORA DA IMOBILIÁRIA) - CPF 058.367.476-36: N/C
-&gt; TAIZ LAMARA BALESTERE TEIXEIRA ALVES (PROCURADORA DA IMOBILIÁRIA) - CPF 320.333.798-33: N/C
-&gt; EFRAIM MARTINS DE PAIVA (LOCATÁRIO) - CPF 109.764.436-78: ASSINANTE DA CONEXÃO.
-&gt; SABRINA VILELA DE SOUZA (RESPONSÁVEL PELA CRIAÇÃO DO DOCUMENTO) - CPF 700.654.946-95: SOLICITAÇÃO DE ADESÃO EM 08/2022 CANCELADA PELA CLIENTE.
-&gt; LOFT SOLUÇÕES FINANCEIRAS S/A (GARANTIDORA FIDUCIÁRIA) - CNPJ 25.027.928/0001-90: N/C</t>
  </si>
  <si>
    <t>MUD END + ALT PLANO EDUARDO HENRIQUE BATISTA DE SOUZA PROT 2605.2268 ISENTO (LUIS) SÃO JORGE</t>
  </si>
  <si>
    <t xml:space="preserve">JA POSSUI MEU COMENTÁRIO
FALTA APENAS VALIDAÇÃO DA KAROL </t>
  </si>
  <si>
    <t>COMPROVANTE DE ENDEREÇO (DMAE) EM ANEXO
NOME NO COMPROVANTE: DENISE BASILIO FERREIRA SOUZA (EDUARDO ALEGA SER DONO DA CASA)</t>
  </si>
  <si>
    <t>(68) 99982-6542</t>
  </si>
  <si>
    <t>ENDEREÇO NOVO: RUA GUAPEVA, 1038
COMPLEMENTO: CASA ÚNICA
CEP: 38407318
BAIRRO: MORUMBI</t>
  </si>
  <si>
    <t>PLANO ATUAL: 600 MEGA/79,90 CONTRATADO EM 08/2025 COM FIDELIDADE DE 12 MESES. ROTEADOR: ONT TP-LINK XC230
PLANO OFERTADO: 600 MEGA/79,90. BENEFÍCIOS: ACESSO GRATUITO AO APP MZTV (CDNTV+)</t>
  </si>
  <si>
    <t>FRANCISCA (ESPOSA DE MICHELA)</t>
  </si>
  <si>
    <t>COMPROVANTE DE ENDEREÇO (CEMIG) EM ANEXO
NOME NO COMPROVANTE: MARIA APARECIDA BORGES (DISSE SER O ANTIGO MORADOR)</t>
  </si>
  <si>
    <t>MK END: GABRIELE DE SOUZA PAIXÃO - POSSUI CONEXÃO CONOSCO DESDE 07/2025, E ESTÁ MUDANDO PARA O ENDEREÇO NO DIA 15/05. CLIENTE ATIVA E ADIMPLENTE, SEGUNDO A TITULAR (MICHELA SOUZA NEGREIROS) NÃO POSSUI PARENTESCO E AMBAS IRÃO DIVIDIR A CASA.
MK NOME: MARIA APARECIDA BORGES (DISSE SER A ANTIGA INQUILINA) - NÃO HÁ CPF INDICADO NO COMPROVANTE DE ENDEREÇO, DEVIDO A ISSO COMO HÁ DOIS CADASTROS CONOSCO NESSE NOME, SEGUE A ANÁLISE DE CADA UM;
- MARIA APARECIDA BORGES (340.895.946-34) - POSSUI CONEXÃO CONOSCO DESDE 09/2023, ATIVA E ADIMPLENTE.
- MARIA APARECIDA BORGES (966.407.406-30) - CONTRATOU CONOSCO EM 03/2023, MAS FOI CANCELADO EM 04/2024 POR INADIMPLÊNCIA. PENDÊNCIAS: (3 MENSALIDADES DE R$99,90, 1 ONT ZTE F670L - R$559,00 E MULTA CONTRATUAL - R$224,75)
MICHELA SOUZA NEGREIROS (TITULAR) - POSSUI CONEXÃO CONOSCO DESDE 08/2024, ATIVA E ADIMPLENTE.
- SOLICITOU UMA NOVA CONTRATAÇÃO EM 04/2025,FOI PASSADO AS OPÇÕES DISPONÍVEIS, MAS A CLIENTE NÃO QUIS SEGUIR. FICOU DE GERAR O CONTRATO NO NOME DE SEU IRMÃO E DA SIMONE FREITAS BARBOSA (IRMÃ DA MICHELA), MAS NÃO HOUVE MAIS REGISTRO SOBRE.</t>
  </si>
  <si>
    <t xml:space="preserve">MUD END + ALT PLANO DANIEL CARVALHO COSTA PROT:2605.10858 ISENTO (LUIS) - OSVALDO REZENDE  //  </t>
  </si>
  <si>
    <t>PENDENTE COMPROVANTE DE RESIDENCIA</t>
  </si>
  <si>
    <t>ENDEREÇO NOVO: RUA ALFENAS, 10
COMPLEMENTO: CASA ÚNICA
CEP: 38400422
BAIRRO: OSVALDO REZENDE</t>
  </si>
  <si>
    <t>PLANO ATUAL: 600 MEGA/79,90 CONTRATADO EM 05/2025 COM FIDELIDADE DE 12 MESES. ROTEADOR: ZTE H199-A
PLANO OFERTADO: 600 MEGA/79,90. BENEFÍCIOS: ACESSO GRATUITO AO APP MZTV (CDNTV+)</t>
  </si>
  <si>
    <t>ENDEREÇO NOVO: RUA BOLERO, 115
COMPLEMENTO: FUNDOS
CEP: 38415444
BAIRRO: GUARANI</t>
  </si>
  <si>
    <t>PLANO ATUAL: 1000 MEGA/99,90 CONTRATADO EM 06/2025 COM FIDELIDADE DE 12 MESES. ROTEADOR: TP-LINK EX511
PLANO OFERTADO: 1 GIGA (1.000 MEGA) R$99,90. BENEFÍCIOS: ACESSO GRATUITO AO APP MZTV (CDNTV+) + VOD</t>
  </si>
  <si>
    <t>CLARICE SILVA DE OLIVEIRA (ESPOSA)</t>
  </si>
  <si>
    <t xml:space="preserve"> 34 988762823</t>
  </si>
  <si>
    <t>COMPROVANTE DE ENDEREÇO (CONTRATO DE LOCAÇÃO) EM ANEXO
NOME NO COMPROVANTE: CLARICE SILVA DE OLIVEIRA (ESPOSA DO ASSINANTE)</t>
  </si>
  <si>
    <t>MK END: N/C NO COMPLEMENTO FUNDOS
VANESSA FERNANDES DE PAULA ARANTES - HOUVE TENTATIVA DE CONTRATAÇÃO NO COMPLEMENTO CASA FRENTE (01), ONDE FOI INFORMADA A NECESSIDADE DE PAGAMENTO DA TAXA DE INSTALAÇÃO. A CLIENTE NÃO DEMONSTROU INTERESSE, SENDO ASSIM A INSTALAÇÃO NÃO FOI REALIZADA.
MK NOME;
GLEICE MARQUES REIS(LOCADORA) - N/C
CLARICE SILVA DE OLIVEIRA(LOCATÁRIO/ESPOSA DA ASSINANTE) - N/C
AMADEU MARQUES DA SILVA(ANTIGO INQUILINO DO LOCAL)- N/C</t>
  </si>
  <si>
    <t>(34) 99655-0209</t>
  </si>
  <si>
    <t>ENDEREÇO NOVO: AVENIDA QUILOMBO DOS PALMARES, 154
COMPLEMENTO: CASA FRENTE
CEP: 38402286
BAIRRO: MARTA HELENA</t>
  </si>
  <si>
    <t>JULIA (CUNHADA DO GABRIEL)</t>
  </si>
  <si>
    <t>COMPROVANTE DE ENDEREÇO (CEMIG) EM ANEXO
NOME NO COMPROVANTE: MARCOS CESAR MARQUES (DISSE SER O ANTIGO MORADOR)</t>
  </si>
  <si>
    <t>ENDEREÇO NOVO: RUA CATUABA, 370
COMPLEMENTO: CASA FUNDO
CEP: 38412597
BAIRRO: PANORAMA</t>
  </si>
  <si>
    <t>ALESSANDRA NAGIBE SILVA (FILHA)</t>
  </si>
  <si>
    <t>34 9882-6987</t>
  </si>
  <si>
    <t>COMPROVANTE DE ENDEREÇO (CEMIG) EM ANEXO
NOME NO COMPROVANTE: FUNDO DE ARRENDAMENTO RESIDENCIAL (DIZ SER A EMPRESA PROPRIETARIA DO IMOVEL)</t>
  </si>
  <si>
    <t>MK END: N/C
MK NOMES:
FUNDO DE ARRENDAMENTO RESIDENCIA: N/C
ALESSANDRA NAGIBE SILVA (FILHA DE JULIO): N/C</t>
  </si>
  <si>
    <t xml:space="preserve">MUD END + ALT PLANO DONATO DA CONCEICAO FORTUNATO PROT:2605.15780 ISENTO (ANDREZA) - SEGISMUNDO PEREIRA  //  </t>
  </si>
  <si>
    <t>ENDEREÇO NOVO: AVENIDA SALOMÃO ABRAHÃO, 2382
COMPLEMENTO: CASA FUNDOS
CEP: 38408160
BAIRRO: SEGISMUNDO PEREIRA</t>
  </si>
  <si>
    <t>DINAGILLA LUZIA DA SILVA FIGUEIREDO (ESPOSA)</t>
  </si>
  <si>
    <t>COMPROVANTE DE ENDEREÇO (DMAE) EM ANEXO
NOME NO COMPROVANTE:  HUMBERTO BELO E SILVA (DISSE QUE É O DONO DO IMÓVEL)
_______________________________________________
COMPROVANTE DE ENDEREÇO (MULTA DE TRÂNSITO) EM ANEXO
NOME NO COMPROVANTE:  BRENER RYAN PORTO MIRANDA (DISSE QUE É O ANTIGO MORADOR)</t>
  </si>
  <si>
    <t>MK END:
-&gt; SAMUEL VENANCIO DA SILVA - CPF 133.276.806-71: SOLICITAÇÃO DE ADESÃO EM 06/2023 REPROVADO.
__________________________________________________________________________
MK NOMES:
-&gt; DINAGILLA LUZIA DA SILVA FIGUEIREDO (ESPOSA DO ASSINANTE) - CPF 048.595.141-06: SOLICITAÇÃO DE ADESÃO EM 01/2025 APROVADO PARA ESPOSO DONATO DA CONCEICAO FORTUNATO.
-&gt; BRENER RYAN PORTO MIRANDA (DISSE QUE É O ANTIGO MORADOR): N/C
-&gt; HUMBERTO BELO E SILVA (DISSE QUE É O DONO DO IMÓVEL): N/C</t>
  </si>
  <si>
    <t>ENDEREÇO NOVO: RUA TEREZINHA LUIZA DE ARAÚJO, 200
COMPLEMENTO: CASA UNICA
CEP: 38418609
BAIRRO: RESIDENCIAL FRUTA DO CONDE</t>
  </si>
  <si>
    <t>COMPROVANTE DE ENDEREÇO (CONTRATO DE LOCAÇÃO) EM ANEXO
NOME NO COMPROVANTE: JEFERSON GONÇALVES GALVAO  (ESPOSO)</t>
  </si>
  <si>
    <t>MK END: N/C
JOEL BEZERRA JUNIOR (LOCADOR) CPF: 039.767.086-90 - N/C
KARINA ALMEIDA DOS SANTOS BEZERRA (LOCADORA) CPF: 050.543.336-22 - N/C
ELAINE DELMAR DE SOUZA TERENCIO (ADMINISTRADORA) CRECI: 11.666  - N/C
JEFERSON GONCALVES GALVÃO (LOCATÁRIO/ESPOSO) CPF: 162.823.116-59  - N/C</t>
  </si>
  <si>
    <t>ENDEREÇO NOVO: RUA MARLOS URQUIZA CAVALCANTI, 701
COMPLEMENTO: CASA UNICA
CEP: 38421546
BAIRRO: LOTEAMENTO MONTE HEBRON</t>
  </si>
  <si>
    <t>PLANO ATUAL: 1000 MEGA/99,90 CONTRATADO EM 09/2023 COM FIDELIDADE DE 12 MESES. ROTEADOR: ONT TP-LINK XC220
PLANO OFERTADO: 1 GIGA (1.000 MEGA) R$99,90. BENEFÍCIOS: ACESSO GRATUITO AO APP MZTV (CDNTV+) + VOD</t>
  </si>
  <si>
    <t>COMPROVANTE DE ENDEREÇO (DMAE) EM ANEXO
NOME NO COMPROVANTE: ROSILEIDE MARIA DOS SANTOS (DISSE SER PROPRIETÁRIA DO IMOVEL)</t>
  </si>
  <si>
    <t>MK END: N/C
MK NOMES: 
ROSILEIDE MARIA DOS SANTOS (DISSE SER PROPRIETÁRIA DO IMOVEL) N/C</t>
  </si>
  <si>
    <t>MUD END + ALT PLANO NISTERLAN DE ALMEIDA MUNIZ PROT:2605.12221 ISENTO (JOSÉ Jr) - CENTRO  //  *TROCA DE EQUIPAMENTO*</t>
  </si>
  <si>
    <t xml:space="preserve">
MENSALIDADE EM ABERTO</t>
  </si>
  <si>
    <t>ENDEREÇO NOVO: RUA MACHADO DE ASSIS, 921
COMPLEMENTO: CASA 3
CEP: 38400112
BAIRRO: CENTRO</t>
  </si>
  <si>
    <t>PLANO ATUAL: 1000 MEGA/99,90 CONTRATADO EM 12/2024 COM FIDELIDADE DE 12 MESES. ROTEADOR: ONT TP-LINK XC220
PLANO OFERTADO: 1 GIGA (1.000 MEGA) R$99,90. BENEFÍCIOS: ACESSO GRATUITO AO APP MZTV (CDNTV+) + VOD</t>
  </si>
  <si>
    <t>COMPROVANTE DE ENDEREÇO (CEMIG) EM ANEXO
NOME NO COMPROVANTE: VANIA BORGES DA SILVA (VIZINHA)</t>
  </si>
  <si>
    <t>MK END:N/C
MK NOMES:
   VANIA BORGES DA SILVA CPF:101.4**.***-**(VIZINHA)
   COMPLEMENTO: O CLIENTE POSSUI CONEXÃO ATIVA NO NOME DE NISTERLAN DE ALMEIDA MUNIZ (VANIA/AMIGA) NO ENDEREÇO RUA MACHADO DE ASSIS, 921, CASA 2, INSTALADA   PARA VANIA BORGES DA SILVA. ELE SOLICITOU A INSTALAÇÃO DA SUA CONEXÃO, TAMBÉM NO NOME DE NISTERLAN DE ALMEIDA MUNIZ, DO ENDEREÇO RUA CARAJÁS, 1053, PARA O    ENDEREÇO RUA MACHADO DE ASSIS, 921, CASA 3.</t>
  </si>
  <si>
    <t xml:space="preserve">MUD END + ALT PLANO BYTE ON TECNOLOGIA LTDA PROT:2605.12211 ISENTO (RONALD) - NOSSA SENHORA APARECIDA //  </t>
  </si>
  <si>
    <t>ENDEREÇO NOVO: RUA JERÔNIMO MARTINS NASCIMENTO, 1254
COMPLEMENTO: SALA 02
CEP: 38400681
BAIRRO: NOSSA SENHORA APARECIDA</t>
  </si>
  <si>
    <t>PLANO ATUAL: 1000 MEGA/99,90 CONTRATADO EM 02/2022 COM FIDELIDADE DE 12 MESES. ROTEADOR: ZTE H199-A
PLANO OFERTADO: 1 GIGA (1.000 MEGA) R$99,90. BENEFÍCIOS: ACESSO GRATUITO AO APP MZTV (CDNTV+) + VOD</t>
  </si>
  <si>
    <t xml:space="preserve">COMPROVANTE DE ENDEREÇO (CONTRATO DE LOCAÇÃO) EM ANEXO
NOME NO COMPROVANTE: BYTE ON TECNOLOGIA LTDA (LOCATARIO) </t>
  </si>
  <si>
    <t>MK END; - N/C
MK NOME;
BYTE ON TECNOLOGIA LTDA 09.291.694/0001-38 (LOCATÁRIO)
CONEXÃO ATIVA E ADIMPLENTE
ANDRE LUIZ ROSA DOMINGUES (SÓCIO DA BYTE / FIADOR) - N/C
WR IMOBILIÁRIA E LOCAÇÃO DE IMÓVEIS LTDA 49.487.160/0001-04 (LOCADOR) - N/C
WILSON ROSA 526.326.526-34 (PROPRIETARIO DO IMOVEL) - N/C</t>
  </si>
  <si>
    <t xml:space="preserve">MUD END + ALT PLANO ALEXANDRE DE SOUSA BELCHIOR PROT:2605.13418  ISENTO (VITOR M.) - LOTEAMENTO RESIDENCIAL PEQUIS </t>
  </si>
  <si>
    <t>ENDEREÇO NOVO: RUA DO CATETO, 50
COMPLEMENTO: CASA
CEP: 38421161
BAIRRO: LOTEAMENTO RESIDENCIAL PEQUIS</t>
  </si>
  <si>
    <t>COMPROVANTE DE ENDEREÇO (CONTRATO DE COMPRA) EM ANEXO
NOME NO COMPROVANTE: ALEXANDRE DE SOUSA BELCHIOR (ASSINANTE)</t>
  </si>
  <si>
    <t xml:space="preserve">MUD END + ALT PLANO ROSANA FERREIRA GONCALVES PROT:2605.12806 ISENTO (BRUNA) - JARDIM BRASÍLIA **PRÉDIO COM PRUMADA** // </t>
  </si>
  <si>
    <t>ENDEREÇO NOVO: AVENIDA RURAL, 68
COMPLEMENTO: COND. BOULEVARD  BL. 1A, APT. 404
CEP: 38401410
BAIRRO: JARDIM BRASÍLIA</t>
  </si>
  <si>
    <t>PLANO ATUAL: 300 MEGA/69,90 CONTRATADO EM 05/25 COM FIDELIDADE DE 12 MESES. ROTEADOR: ONT TP-LINK XC220
PLANO OFERTADO: 300 MEGA/69,90. BENEFÍCIOS: ACESSO GRATUITO AO APP MZTV (CDNTV+)</t>
  </si>
  <si>
    <t>COMPROVANTE DE ENDEREÇO (CONTRATO DE LOCAÇÃO) EM ANEXO
NOME NO COMPROVANTE: ROSANA FERREIRA GONCALVES (ASSINANTE)</t>
  </si>
  <si>
    <t>MK END:
FABIO NUNES DA SILVA: EM 18/02/2026 SOLICITOU INSTALAÇÃO, PORÉM, CANCELou O PEDIDO, INFORMANDO QUE NÃO IRIA PERMANECER NO LOCAL E QUE O IMÓVEL SERIA ALUGADO PARA OUTRA PESSOA.
MK NOMES:
FABIO NUNES DA SILVA (LOCADOR): EM 18/02/2026 SOLICITOU INSTALAÇÃO, PORÉM, CANCELou O PEDIDO, INFORMANDO QUE NÃO IRIA PERMANECER NO LOCAL E QUE O IMÓVEL SERIA ALUGADO PARA TERCEIROS.
ROSANA FERREIRA GONÇALVES (LOCATÁRIA): POSSUI CONEXÃO ATIVA, SEM PENDÊNCIAS FINANCEIRAS OU CADASTRAIS.
DISTRIBUIDORA DO TRIÂNGULO DA SORTE (EMPRESA/ATIVIDADE INFORMADA DA LOCATÁRIA): N/C.</t>
  </si>
  <si>
    <t xml:space="preserve">MUD END + ALT PLANO DAIANE VICENTE DOS SANTOS OLIVEIRA PROT:2 ISENTO (VICTOR H.) - RESIDENCIAL INTEGRAÇÃO  //  </t>
  </si>
  <si>
    <t>ENDEREÇO NOVO: RUA VINICIUS JOSÉ DA SILVA, 101
COMPLEMENTO: CASA UNICA
CEP: 38407584
BAIRRO: RESIDENCIAL INTEGRAÇÃO</t>
  </si>
  <si>
    <t>PLANO ATUAL: 600 MEGA/79,90 CONTRATADO EM /08/2024 COM FIDELIDADE DE 12 MESES. ROTEADOR: ONT TP-LINK XC230
PLANO OFERTADO: 600 MEGA/79,90. BENEFÍCIOS: ACESSO GRATUITO AO APP MZTV (CDNTV+)</t>
  </si>
  <si>
    <t>COMPROVANTE DE ENDEREÇO (CEMIG) EM ANEXO
NOME NO COMPROVANTE: JOSE VALDO DASILVA CAETANL (DISSE SER PROPRIETÁRIO DO IMOVEL)</t>
  </si>
  <si>
    <t>MK END: N/C
MK NOME: JOSE VALDO DASILVA CAETANL (DISSE SER PROPRIETÁRIO DO IMOVEL) N/C</t>
  </si>
  <si>
    <t>ENDEREÇO NOVO: RUA DAS AMOREIRAS, 310
COMPLEMENTO: CASA 4
CEP: 38413039
BAIRRO: JARAGUÁ</t>
  </si>
  <si>
    <t>PLANO ATUAL: 1000 MEGA/99,90 CONTRATADO EM 04/2025 COM FIDELIDADE DE 12 MESES. ROTEADOR: ONT TP-LINK X530
PLANO OFERTADO: 1 GIGA (1.000 MEGA) R$99,90. BENEFÍCIOS: ACESSO GRATUITO AO APP MZTV (CDNTV+) + VOD</t>
  </si>
  <si>
    <t>COMPROVANTE DE ENDEREÇO (CEMIG) EM ANEXO
NOME NO COMPROVANTE: JOSE ANTONIO DA SILVA CPF 713.3 (DISSE SER PROPRIETÁRIO DO IMOVEL)</t>
  </si>
  <si>
    <t>MK END: N/C 
MK NOMES: 
GUILHERME RAMOS VARGAS (PROPRIETARIO) N/C
MARIA CRISTIANE GONZAGA (ASSINANTE) 
CONTRATOU EM 03/2021, CONEXÃO ATIVA E ADIMPLENTE.
JOSE ANTONIO DA SILVA CPF 713.3 (DISSE SER PROPRIETÁRIO DO IMOVEL) N/C</t>
  </si>
  <si>
    <t xml:space="preserve">MUD END LUIS FELIPE ABREU FRANCO DE GODOY PROT:2412.18340 CARTÃO (BRUNA) - GUARANI  </t>
  </si>
  <si>
    <t>ENDEREÇO NOVO: RUA DO DOBRADO, 313
COMPLEMENTO: CASA ÚNICA
CEP: 38415453
BAIRRO: GUARANI</t>
  </si>
  <si>
    <t>THALIA (ESPOSA DE LUIS)</t>
  </si>
  <si>
    <t>COMPROVANTE DE ENDEREÇO (CONTRATO DE LOCAÇÃO) EM ANEXO
NOME NO COMPROVANTE: THALIA STEFANI SILVA MOREIRA (DIZ SER SUA ESPOSA)
&gt; O CONTRATO TAMBÉM CONSTA NO NOME DE LUIS;</t>
  </si>
  <si>
    <t>MK END: N/C
MK NOMES:
PAULO DANIEL DURAES DE OLIVEIRA (LOCADOR): N/C
THALIA STEFANI SILVA MOREIRA ( LOCATARIA/ESPOSA DE LUIS): POSSUI CONEXÃO ATIVA NO CNPJ (30.994.359/0001-92)  COM O SEGUINTE NOME (LOJA DO AXE (THALIA STEFANI SILVA MOREIRA)). SEM PENDENCIAS.
EM 01/11/2021 CLIENTE HAVIA SOLICITADO INSTALAÇÃO, PORÉM, NÃO FOI APROVADO NO CPF DA MESMA, APENAS NO CNPJ COM O ESPOSO ASSINANDO COMO AVALISTA. DESTA FORMA, THALIA CONCORDOU E A INSTALAÇÃO FOI REALIZADA.
LUIS FELIPE ABREU FRANCO DE GODOY (CÔNJUGE DA LOCATÁRIA / TITULAR DA CONEXÃO): CONEXÃO ATIVA, SEM PENDENCIAS.
BARBARA STEPHANE SOARES TORRES (FIADORA): N/C</t>
  </si>
  <si>
    <t xml:space="preserve">MUD END PEDRO RENATO SIMOES PINTO PROT:2601.30329 PIX (JOSÉ Jr) - TUBALINA   </t>
  </si>
  <si>
    <t>ENDEREÇO NOVO: RUA VISCONDE DO PIRAJÁ, 281
COMPLEMENTO: CASA UNICA
CEP: 38412094
BAIRRO: TUBALINA</t>
  </si>
  <si>
    <t>COMPROVANTE DE ENDEREÇO (DMAE) EM ANEXO
NOME NO COMPROVANTE: SOCIAL BUSINESS CORPORAÇOES (CLIENTE DIZ QUE É A EMPRESA DO LOCADOR)</t>
  </si>
  <si>
    <t>MK END:N/C
MK NOMES:
   SOCIAL BUSINESS CORPORAÇOES(CLIENTE DIZ QUE É A EMPRESA DO LOCADOR)N/C</t>
  </si>
  <si>
    <t>MUD END + ALT PLANO BRENO LUIZ ABDIAS DA SILVA PROT:2605.17916 ISENTO (BRUNA) - LUIZOTE DE FREITAS  //</t>
  </si>
  <si>
    <t>ENDEREÇO NOVO: RUA JOÃO BERNARDES DA SILVA, 1260
COMPLEMENTO: CASA ÚNICA
CEP: 38414270
BAIRRO: LUIZOTE DE FREITAS</t>
  </si>
  <si>
    <t>PLANO ATUAL: 1000 MEGA/99,90 CONTRATADO EM 06/25 COM FIDELIDADE DE 12 MESES. ROTEADOR: ONT TP-LINK X530
PLANO OFERTADO: 1 GIGA (1.000 MEGA) R$99,90. BENEFÍCIOS: ACESSO GRATUITO AO APP MZTV (CDNTV+) + VOD</t>
  </si>
  <si>
    <t>COMPROVANTE DE ENDEREÇO (CEMIG) EM ANEXO
NOME NO COMPROVANTE: BRENO LUIZ ABDIAS DA SILVA (ASSINANTE)</t>
  </si>
  <si>
    <t>MK END: N/C
MK NOMES: N/C</t>
  </si>
  <si>
    <t>MUD END TALITA CAMILA DUTRA SILVA (RICARROS CENTRO AUTOMOTIVO) PROT:2605.4622 PIX (JHONATAN) - OSVALDO REZENDE TAXA PAGA ANTECIPADA</t>
  </si>
  <si>
    <t>RICARDO DE AQUINO FERREIRA</t>
  </si>
  <si>
    <t>(34) 99892-1814</t>
  </si>
  <si>
    <t>COMPROVANTE DE ENDEREÇO (CONTRATO DE LOCAÇÃO) EM ANEXO
NOME NO COMPROVANTE: TALITA CAMILA DUTRA AQUINO SILVA (ASSINANTE)</t>
  </si>
  <si>
    <t>MK END:
N/C 
MK NOME:
-&gt; TALITA CAMILA DUTRA AQUINO SILVA (LOCADORA): ASSINANTE DA CONEXÃO 
-&gt; ENES EURÍPEDES MARTINS BARROS (LOCADOR): N/C
-&gt; RICARDO DE AQUINO FERREIRA (ESPOSO): N/C</t>
  </si>
  <si>
    <t xml:space="preserve">PENDENTE MENSALIDADE
PRAZO ATÉ AS 17 E PASSAR PARA VAGNER E EQUIPE NOITE ACOMPANHAR </t>
  </si>
  <si>
    <t>. &lt;b&gt;ONT = ONT TP LINK 230 // CONECTOR = VERDE.&lt;/b&gt;</t>
  </si>
  <si>
    <t>JOSE ROBERTO NUNES DA SILVA</t>
  </si>
  <si>
    <t>35 99915-8548</t>
  </si>
  <si>
    <t>MUD END BARBEARIA CATEL PROT:2605.16682 PIX (BRUNA) - GRANADA   /</t>
  </si>
  <si>
    <t>ENDEREÇO NOVO: AVENIDA SEME SIMÃO, 1830
COMPLEMENTO: SALA 4 (COMERCIO)
CEP: 38410131
BAIRRO: GRANADA</t>
  </si>
  <si>
    <t>THERCIO (SOCIO)</t>
  </si>
  <si>
    <t>COMPROVANTE DE ENDEREÇO (CONTRATO DE LOCAÇÃO) EM ANEXO
NOME NO COMPROVANTE:ERICA FERREIRA DA SILVA (DIZ SER SUA MÃE)</t>
  </si>
  <si>
    <t>MK END: N/C
MK NOMES:
JOAO NUNES DE SOUZA (LOCADOR): N/C
FRANCIS KLEI CESAR PEREIRA (PROPRIETÁRIO/REPRESENTADO PELA DELTA IMÓVEIS E ADMINISTRAÇÃO LTDA): N/C
ERICA FERREIRA DA SILVA (LOCATÁRIA/MÃE DE THERCIO): N/C
DELTA IMOVEIS E ADMINISTRACAO LTDA (ADMINISTRADORA/IMOBILIÁRIA): N/C
ALESSANDRO LUIZ QUEIROZ (VISTORIADOR): POSSUI CONEXÃO ATIVA DESDE 12/05. SEM PENDENCIAS.</t>
  </si>
  <si>
    <t xml:space="preserve">MUD END + ALT PLANO OTAVIO WENDER MARTINS GUSSO PROT:2605.18004 ISENTO (ANDREZA) - CHÁCARAS TUBALINA E QUARTEL **PRÉDIO COM PRUMADA** //  </t>
  </si>
  <si>
    <t>VALIDAÇÃO OK 
REAGENDADO</t>
  </si>
  <si>
    <t>ENDEREÇO NOVO: RUA JOSÉ GARIBALDINO, 350
COMPLEMENTO: COND. TOP LIFE ACAPULCO - BLOCO 19, APTO 304
CEP: 38413295
BAIRRO: CHÁCARAS TUBALINA E QUARTEL</t>
  </si>
  <si>
    <t>COMPROVANTE DE ENDEREÇO (CONTRATO DE LOCAÇÃO) EM ANEXO
NOME NO COMPROVANTE: OTAVIO WENDER MARTINS GUSSO (ASSINANTE)</t>
  </si>
  <si>
    <t>MK END:
-&gt; THALLYTA BARROS DOS ESPIRITO SANTO - CPF 156.676.016-05: SOLICITAÇÃO DE ADESÃO EM 05/2025 REPROVADA.
_____________________________________________________
MK NOMES:
-&gt; ROSEANE SOARES DE FRANÇA (LOCADORA) - CPF 109.219.20042-23: N/C
-&gt; OTÁVIO WENDER MARTINS GUSSO (LOCATÁRIO) - CPF 177.616.186-66: ASSINANTE DA CONEXÃO.
-&gt; JAQUELINE ROSÁLIA MARTINS (FIADORA 1 - MÃE): N/C
-&gt; JERRY ADRIANI GUSSO (FIADOR 2 - PAI): N/C</t>
  </si>
  <si>
    <t>MUD END EDSON SANTOS ALVES PROT:2605.14113 CARTAO (BRUNA) - TOCANTINS   //</t>
  </si>
  <si>
    <t>ENDEREÇO NOVO: RUA CELIDA MARIA SAMPAIO, 76
COMPLEMENTO: CASA ÚNICA
CEP: 38415207
BAIRRO: TOCANTINS</t>
  </si>
  <si>
    <t>SUZETE DE OLIVEIRA RUMAO BENÍCIO (ESPOSA)</t>
  </si>
  <si>
    <t>34 98422-9795</t>
  </si>
  <si>
    <t>COMPROVANTE DE ENDEREÇO (DMAE) EM ANEXO
NOME NO COMPROVANTE: VIVIANE DOS REIS GOMES (CLIENTE INFORMA QUE É O LOCADOR.)</t>
  </si>
  <si>
    <t>ENDEREÇO NOVO: RUA RIO DOCE, 100
COMPLEMENTO: COMERCIO
CEP: 38414500
BAIRRO: MANSOUR</t>
  </si>
  <si>
    <t>PLANO ATUAL: 600 MEGA/79,90 CONTRATADO EM 08/24 COM FIDELIDADE DE 12 MESES. ROTEADOR: ONT ZTE F 670-L
PLANO OFERTADO: 600 MEGA/79,90. BENEFÍCIOS: ACESSO GRATUITO AO APP MZTV (CDNTV+)</t>
  </si>
  <si>
    <t>COMPROVANTE DE ENDEREÇO (DMAE) EM ANEXO
NOME NO COMPROVANTE: JANIO DOS SANTOS GIL (DIZ SER PROPRIETARIO DO IMOVEL)</t>
  </si>
  <si>
    <t>MK END: N/C
MK NOMES:
JANIO DOS SANTOS GIL (PROPRIETARIO DO IMOVEL): N/C</t>
  </si>
  <si>
    <t xml:space="preserve">MUD END + ALT PLANO DIEGO ALVES CAMPOS PROT:2605.15733 ISENTO (ANDREZA) - LUIZOTE DE FREITAS  //  </t>
  </si>
  <si>
    <t>ENDEREÇO NOVO: RUA ADOMERVIL MOREIRA DE MIRANDA, 855
COMPLEMENTO: CASA TÉRREO
CEP: 38414300
BAIRRO: LUIZOTE DE FREITAS</t>
  </si>
  <si>
    <t>PLANO ATUAL: 1000 MEGA/99,90 CONTRATADO EM 06/2025 COM FIDELIDADE DE 12 MESES. ROTEADOR: ONT TP-LINK XC230
PLANO OFERTADO: 1 GIGA (1.000 MEGA) R$99,90. BENEFÍCIOS: ACESSO GRATUITO AO APP MZTV (CDNTV+) + VOD</t>
  </si>
  <si>
    <t>COMPROVANTE DE ENDEREÇO (CEMIG) EM ANEXO
NOME NO COMPROVANTE: ERIVANDA ALVES MATEUS (DISSE SER A ANTIGA INQUILINA)</t>
  </si>
  <si>
    <t>MK END:
-&gt; ETEVALDO MARTINS GONZAGA NETO (BARBEARIA DO NETO) - CNPJ 19.554.965/0001-54: CONEXÃO ATIVA DESDE 05/2023 E ADIMPLENTE COM A EMPRESA. (INSTALADA NO COMÉRCIO)
-&gt; ETEVALDO MARTINS GONZAGA NETO (BARBEARIA DO NETO) - CPF 077.132.846-05: SOLICITAÇÃO DE ADESÃO EM 05/2023 APROVADA PARA O CNPJ.
________________________________________
MK NOMES:
-&gt; ERIVANDA ALVES MATEUS (DISSE SER A ANTIGA INQUILINA) - CPF 083.291.724-90: CONTRATOU EM 04/2024 - CONEXÃO ATIVA E ADIMPLENTE.</t>
  </si>
  <si>
    <t xml:space="preserve">MUD END + ALT PLANO ELETICIA FERREIRA VIEIRA PROT:2605.16527 ISENTO (BRUNA) - LARANJEIRAS  //  </t>
  </si>
  <si>
    <t>ENDEREÇO NOVO: RUA TRIBUNA, 275
COMPLEMENTO: CASA FUNDO
CEP: 38410532
BAIRRO: LARANJEIRAS</t>
  </si>
  <si>
    <t>PLANO ATUAL: 1000 MEGA/99,90 CONTRATADO EM 09/25 COM FIDELIDADE DE 12 MESES. ROTEADOR: ONT TP-LINK X530
PLANO OFERTADO: 1 GIGA (1.000 MEGA) R$99,90. BENEFÍCIOS: ACESSO GRATUITO AO APP MZTV (CDNTV+) + VOD</t>
  </si>
  <si>
    <t>COMPROVANTE DE ENDEREÇO (CEMIG) EM ANEXO
NOME NO COMPROVANTE: ALEXANDRE OLIVEIRA DE JESUS (DIZ SER PROPRIETARIO DO IMOVEL)</t>
  </si>
  <si>
    <t>MK END: N/C
MK NOMES:
ALEXANDRE OLIVEIRA DE JESUS (PROPRIETARIO DO IMOVEL/ESPOSO DA TITULAR): FICHA REPROVADA EM NOME DO ALEXANDRE, PORÉM, APROVADA PARA ELETICIA.</t>
  </si>
  <si>
    <t xml:space="preserve">MUD END ILDA BARROS DA CRUZ PROT:2605.15166 DINHEIRO (RONALD) - MARIA REZENDE  </t>
  </si>
  <si>
    <t>ENDEREÇO NOVO: RUA JOSÉ ROSA NETO, 302 
COMPLEMENTO: CASA FUNDO
CEP: 38401848
BAIRRO: MARIA REZENDE</t>
  </si>
  <si>
    <t>MARCOS (FILHO DE ILDA)</t>
  </si>
  <si>
    <t>(34) 98804-1322</t>
  </si>
  <si>
    <t>COMPROVANTE DE ENDEREÇO (CONTRATO DE LOCAÇÃO) EM ANEXO.
NOME NO COMPROVANTE:  ENOQUE BARROS DA CRUZ FILHO (FILHO DE ILDA)</t>
  </si>
  <si>
    <t>MK END; - MIGUEL MAYKON HONORIO DE SOUZA - CLIENTE COM CONEXÃO ATIVA DE 12/2020 Á 03/2025 SOLICITOU O CANCELAMENTO POIS SE MUDOU DE CIDADE. DEVOLVEU OS EQUIPAMENTOS. CLIENTE COM DÉBITOS PENDENTES (509,97).
MK NOME; - 
ILDA BARROS DA CRUZ 690.024.443-20 (ASSINANTE) - ASSINANTE COM CONEXÃO ATIVA E ADIMPLENTE
MARCOS BARROS DA CRUZ 953.575.563-34 (FILHO DE ILDA) - ASSINANTE COM CONEXÃO ATIVA E ADIMPLENTE 
ENOQUE BARROS DA CRUZ FILHO (FILHO DE ILDA) - N/C
MONICA DE JESUS MORAIS (LOCADORA) - N/C</t>
  </si>
  <si>
    <t xml:space="preserve">MUD END ANGELO MAXIMO BARBOSA DE ALMEIDA PROT:2605.16553 CARTÃO (GABRIEL M.) - PLANALTO  </t>
  </si>
  <si>
    <t>ENDEREÇO NOVO: RUA DA COSTUREIRA, 314
COMPLEMENTO: CASA UNICA
CEP: 38413192
BAIRRO: PLANALTO</t>
  </si>
  <si>
    <t>ELIANE MARTINS SILVA (ESPOSA)</t>
  </si>
  <si>
    <t>34 99136-0826</t>
  </si>
  <si>
    <t>COMPROVANTE DE ENDEREÇO (CEMIG) EM ANEXO
NOME NO COMPROVANTE:  ANGELO MAXIMO BARBOSA DE ALMEIDA (ASSINANTE)</t>
  </si>
  <si>
    <t>MK END: N/C
MK NOMES: 
ELIANE MARTINS SILVA (ESPOSA) - N/C</t>
  </si>
  <si>
    <t>RESERVA JHONATAN - LUISE ARAUJO FERREIRA</t>
  </si>
  <si>
    <t>PENDENTE COMPROVANTE
OS NÃO GERADA AINDA 
REMOVIDO A AGENDA</t>
  </si>
  <si>
    <t>ENDEREÇO NOVO: RUA DO CARTEIRO, 721
COMPLEMENTO: CASA FUNDO
CEP: 38413195
BAIRRO: PLANALTO</t>
  </si>
  <si>
    <t>ENDEREÇO NOVO: RUA MONZA, 60
COMPLEMENTO: CASA 1 (FRENTE)
CEP: 38414550
BAIRRO: JARDIM EUROPA</t>
  </si>
  <si>
    <t>PLANO ATUAL: 150 MEGA/59,90 CONTRATADO EM 09/2025 COM FIDELIDADE DE 12 MESES. ROTEADOR: ONT TP-LINK XC220
PLANO OFERTADO: 150 MEGA/59,90. BENEFÍCIOS: ACESSO GRATUITO AO APP MZTV (CDNTV+)</t>
  </si>
  <si>
    <t>COMPROVANTE DE ENDEREÇO (DMAE) EM ANEXO
NOME NO COMPROVANTE: CLEIDIMAR HELENA DE SOUSA SILVA (NÃO SOUBE DIZER A RELAÇÃO COM O ENDEREÇO, PROVAVELMENTE ANTIGO MORADOR.)</t>
  </si>
  <si>
    <t>MK END: KARINA SOARES SILVA (CASA 2 - FUNDO) - SOLICITOU INSTALAÇÃO EM 12/2025, MAS APÓS EXPLICAR O FORMATO QUE O SISTEMA INDICOU E PEDIR O CONTRATO DE LOCAÇÃO, A MESMA CANCELOU SUA SOLICITAÇÃO.
NATHALIA CAROLINE VELOSO DE SOUZA (CASA 03) - CONTRATOU CONOSCO EM 05/2024, MAS SOLICITOU O CANCELAMENTO EM 05/2025, POIS MUDOU PARA OUTRA CIDADE. DEVOLVEU OS EQUIPAMENTOS, MAS AINDA POSSUI PENDÊNCIAS CONOSCO. DÉBITOS: R$ 631,84 [R$ 528,00 REF. A MULTA CONTRATUAL (PRO RATA 11 MESES), R$ 79,90 REF. A MENSALIDADE VENCIDA EM 15/05/25, R$ 23,94 REFERENTE AO PROPORCIONAL DE USO (DE 15/05/2025 A 23/05/2025)]. 
MARIA IANE MOREIRA DOS SANTOS (CASA 03) - SOLICITOU INSTALAÇÃO CONOSCO EM 07/2023, MAS FOI APROVADO PARA O SEU MARIDO (CLEBER BATISTA DOS SANTOS)
&gt; CLEBER BATISTA DOS SANTOS - POSSUI CONEXÃO CONOSCO DESDE 07/2023, ATIVA E ADIMPLENTE NO ENDEREÇO (Rua Josefina da Fonseca e Silva, 44).
MK NOME: JOSE LUCIDE ROCHA VARELA (MARIDO DA TITULAR) - SOLICITOU INSTALAÇÃO EM 08/2024, MAS FOI APROVADO PARA A SUA ESPOSA, VLADIA.
LEANDRA SOUSA DA SILVA (PROPRIETÁRIA / CPF:134.778.536-10) - N/C
VLADIA ARAUJO DE LIMA VARELA (TITULAR) - POSSUI CONEXÃO CONOSCO DESDE 08/2024, ATIVA E ADIMPLENTE.
CLEIDIMAR HELENA DE SOUSA SILVA - N/C</t>
  </si>
  <si>
    <t>COMPROVANTE INFORMA CASA FRENTE, PROTOCOLO INFORMA CASA FUNDOS
SEM OS GERADA</t>
  </si>
  <si>
    <t>ENDEREÇO NOVO: RUA PADRE PIO, 1398
COMPLEMENTO: FUNDO
CEP: 38400386
BAIRRO: MARTINS</t>
  </si>
  <si>
    <t>COMPROVANTE DE ENDEREÇO (CEMIG) EM ANEXO
NOME NO COMPROVANTE: GRACIELE DOS SANTOS (INQUILINA CASA FRENTE)</t>
  </si>
  <si>
    <t>MK END: 
DANIELA APARECIDA DOS REIS CANDIDO (MÃE DE GUSTAVO HENRIQUE): PROCESSO DE CONTRATAÇÃO EM ANDAMENTO PARA O ENDEREÇO RUA PADRE PIO, 1398 CASA 02 MARTINS
MK NOMES:
GUSTAVO HENRIQUE DOS REIS MACHADO (ASSINANTE): POSSUI CONEXÃO ATIVA E ADIMPLENTE
GRACIELE DOS SANTOS (INQUILINA DA CASA FRENTE): N/C</t>
  </si>
  <si>
    <t>MUD END LAIARA TALIA MAIA PROT:2605.16820 CARTAO (HALYSON) - SANTA MÔNICA **PRÉDIO SEM PRUMADA - ENVIAR TÉCNICO DUPLADO** *PODE ANTECIPAR*</t>
  </si>
  <si>
    <t>ENDEREÇO NOVO: AVENIDA DOUTOR MISAEL RODRIGUES DE CASTRO, 830
COMPLEMENTO:AP 403
CEP: 38408184
BAIRRO: SANTA MÔNICA</t>
  </si>
  <si>
    <t>COMPROVANTE DE ENDEREÇO (CONTRATO DE LOCAÇÃO) EM ANEXO
NOME NO COMPROVANTE: JULIO CESAR MOLINA (ESPOSO DA ASSINANTE)</t>
  </si>
  <si>
    <t>MK END: N/C
MK NOMES
- MARISE MARTINS COURY  262.220.436-15 (LOCADORA): N/C
- ALBUQUERQUE NEGÓCIOS IMOBILIÁRIOS LTDA 50.181.679/0001-30 (REPRESENTANTE DA LOCADORA): N/C
- GREGÓRIO ALBUQUERQUE  067.538.796-50 (SÓCIO REPRESENTANTE DA ALBUQUERQUE NEGÓCIOS IMOBILIÁRIOS LTDA): 
*POSSUI DUAS CONEXÕES ATIVAS*
GREGORIO ALBUQUERQUE (GALERIA JB VILLAGE) END: NICOMEDES ALVES DOS SANTOS 7208 SHOPPINGPARK (ADIMPLENTE)
GREGORIO ALBUQUERQUE (DOBRIANA/ INQUILINA) END: RUA COELHO NETO 267 TABAJARAS (ADIMPLENTE)
AMBAS AS CONEXÕES ATIVAS E ADIMPLENTES
- JULIO CESAR MOLINA 328.383.628-01 (ESPOSO DA ASSINANTE): SOLICITAÇÃO DE ADESÃO APROVADA PARA ESPOSA LAIARA TALITA MAIA 25/09/2025 PARA O ENDEREÇO: RUA MACHADO DE ASSIS Nº 1470 AP 102 SARAIVA
LAIARA TALITA MAIA CPF: 096.147.016-09 (LOCATÁRIA E ASSINANTE): POSSUI CONEXÃO ATIVA E ADIMPLENTE</t>
  </si>
  <si>
    <t xml:space="preserve">MUD END + ALT PLANO VANESSA APARECIDA DA SILVA GOMES PROT:2605.17384 ISENTO (RONALD) - PLANALTO  //  </t>
  </si>
  <si>
    <t>VALIDADO VAGNER</t>
  </si>
  <si>
    <t>ENDEREÇO NOVO: RUA DO RADIALISTA, 820 
COMPLEMENTO: CASA ÚNICA
CEP: 38413159
BAIRRO: PLANALTO</t>
  </si>
  <si>
    <t>PLANO ATUAL: 600 MEGA/79,90 CONTRATADO EM 06/2026 COM FIDELIDADE DE 12 MESES. ROTEADOR: HUAWEI AX2
PLANO OFERTADO: 600 MEGA/79,90. BENEFÍCIOS: ACESSO GRATUITO AO APP MZTV (CDNTV+)</t>
  </si>
  <si>
    <t>COMPROVANTE DE ENDEREÇO (CONTRATO DE LOCAÇÃO) EM ANEXO
NOME NO COMPROVANTE: AGNALDO AMORIM DA SILVA JUNIOR (CONJUGUE DE VANESSA)</t>
  </si>
  <si>
    <t>MK END; - N/C
MK NOME;
VANESSA APARECIDA DA SILVA GOMES (ASSINANTE) - CONEXÃO ATIVA E ADIMPLENTE
AGNALDO AMORIM DA SILVA JUNIOR (CONJUGUE DE VANESSA) - N/C
LIRIAN VANESSA FERREIRA AMARAL (LOCADORA) - N/C
RHAYANNE MYCHELLE INÁCIO DE PAULA (TESTEMUNHA)  - CONEXÃO ATIVA MZ NET E ADIMPLENTE
GLADSTON CESAR PEREIRA MODERNO (TESTEMUNHA) - N/C
DELTA IMÓVEIS E ADMINISTRAÇÃO LTDA (LOCADORA) - N/C
FRANCIS HEME CESAR PEREIRA (REPRESENTANTE DA LOCADORA) - N/C
LOFT SOLUÇÕES FINANCEIRAS S/A (TIPO DE FIANÇA) - N/C</t>
  </si>
  <si>
    <t>ENDEREÇO NOVO: RUA JOÃO RODRIGUES DE CASTRO, 55
COMPLEMENTO: COND. PARQ TRILHAS DA SERRA BL 22 AP 302
CEP: 38414122
BAIRRO: JARDIM PATRÍCIA</t>
  </si>
  <si>
    <t>PLANO ATUAL: 600 MEGA/79,90 CONTRATADO EM 04/25 COM FIDELIDADE DE 12 MESES. ROTEADOR: ONT ZTE F 670-L
PLANO OFERTADO: 600 MEGA/79,90. BENEFÍCIOS: ACESSO GRATUITO AO APP MZTV (CDNTV+)</t>
  </si>
  <si>
    <t>MARIA DAS DORES RAMALHO DANTAS (MÃE)</t>
  </si>
  <si>
    <t>COMPROVANTE DE ENDEREÇO (CERTIDÃO NEGATIVA) EM ANEXO
NOME NO COMPROVANTE: MARINEIA DANTAS RAMALHO (ASSINANTE)</t>
  </si>
  <si>
    <t>MK END:N/C
MK NOMES:
MARIA DAS DORES RAMALHO DANTAS (MÃE DE MARINEIA): N/C</t>
  </si>
  <si>
    <t>MUD END ARIANA DA SILVA JAGER PROT:2605.11792  PIX (JHONATAN) - GRAND VILLE</t>
  </si>
  <si>
    <t xml:space="preserve"> MARLENE RODRIGUES (MÃE DE  ARIANA)</t>
  </si>
  <si>
    <t>MK END:
N/C 
MK NOME:
-&gt; ARIANA DA SILVA JAGER (ASSINANTE DA CONEXÃO)
MK NOME
-&gt; MARLENE RODRIGUES (MÃE DA ASSINANTE): N/C</t>
  </si>
  <si>
    <t xml:space="preserve">MUD END LEDA OLIVEIRA ANDRADE PROT:2605.12198 PIX (JOSÉ Jr) - JARDIM HOLANDA **PRÉDIO COM PRUMADA** </t>
  </si>
  <si>
    <t>ENDEREÇO NOVO: ALAMEDA PAULO CÉSAR SANTANA, 530
COMPLEMENTO: CONDOMÍNIO PARQUE UBATÃ  BLOCO 10  AP 402
CEP: 38412326
BAIRRO: JARDIM HOLANDA</t>
  </si>
  <si>
    <t>COMPROVANTE DE ENDEREÇO (CONTRATO DE LOCAÇÃO) EM ANEXO
NOME NO COMPROVANTE: LEDA OLIVEIRA ANDRADE (ASSINANTE)</t>
  </si>
  <si>
    <t>MK END:N/C
MK NOMES:
   ANA CAROLINA BONIFACIO MARQUES CPF:113.244.686-45(LOCADOR)N/C
   LEDA OLIVEIRA ANDRADE CPF:493.522.702-82(LOCATARIO)TITULAR DA CONEXÃO
   COMPLEMENTO: O CLIENTE POSSUI OUTRA CONEXÃO NO ENDEREÇO RUA DA SECRETÁRIA, 961, COMÉRCIO – NOME DA CONEXÃO: LEDA OLIVEIRA ANDRADE (CENTRO DE TREINAMENTOS WM). A CONEXÃO ESTÁ ATIVA E SEM DÉBITOS ATRASADOS.</t>
  </si>
  <si>
    <t>ENDEREÇO NOVO: RUA ALBATROZ, 336
COMPLEMENTO: BLOCO 15 AP 303
CEP: 38407665
BAIRRO: GRAND VILLE</t>
  </si>
  <si>
    <t>COMPROVANTE DE ENDEREÇO (CEMIG) EM ANEXO
NOME NO COMPROVANTE: VITOR HUGO AQUINO SOARES (CLIENTE DIZ QUE É O LOCADOR)</t>
  </si>
  <si>
    <t>MK END:N/C
MK NOMES:
   VITOR HUGO AQUINO SOARES CPF:146.8**.***-**(CLIENTE DIZ QUE É O LOCADOR) N/C</t>
  </si>
  <si>
    <t>MUD END DEBORA BALARIM PRIETO PROT: 2605.20324 ISENTO (KAROLAYNE) JARIM KARAIBA *NÃO PODE ANTECIPAR*</t>
  </si>
  <si>
    <t xml:space="preserve">ROGERIO BARBOSA DOS SANTOS </t>
  </si>
  <si>
    <t>MENSALIDADE PENDENTE
removido da agenda</t>
  </si>
  <si>
    <t>ENDEREÇO NOVO: RUA FELDSPATO, 90
COMPLEMENTO: CASA ÚNICA
CEP: 38414142
BAIRRO: JARDIM PATRÍCIA</t>
  </si>
  <si>
    <t>PLANO ATUAL: 1000 MEGA/99,90 CONTRATADO EM 02/23 COM FIDELIDADE DE 12 MESES. ROTEADOR: ZTE H199-A
PLANO OFERTADO: 1 GIGA (1.000 MEGA) R$99,90. BENEFÍCIOS: ACESSO GRATUITO AO APP MZTV (CDNTV+) + VOD</t>
  </si>
  <si>
    <t>CÉLIA APARECIDA RODRIGUES PEREIRA (ESPOSA)</t>
  </si>
  <si>
    <t>COMPROVANTE DE ENDEREÇO (CEMIG) EM ANEXO
NOME NO COMPROVANTE:  JEFFERSON MARQUES GAIA (DIZ SER O PROPRIETARIO DO IMOVEL)</t>
  </si>
  <si>
    <t xml:space="preserve">MUD END LETICIA OLIVEIRA DOS SANTOS DIAS (VEM VAI FERRAGISTA) PROT:.2605.20116 CARTAO (LAUREN) - TOCANTINS   </t>
  </si>
  <si>
    <t>LETICIA OLIVEIRA DOS SANTOS DIAS (VEM VAI FERRAGISTA)</t>
  </si>
  <si>
    <t>AGUARDANDO INFORMAÇÕES 
cancelado</t>
  </si>
  <si>
    <t>ENDEREÇO NOVO: AVENIDA TAYLOR SILVA, 1063
COMPLEMENTO: COMERCIO
CEP: 38415381
BAIRRO: TOCANTINS</t>
  </si>
  <si>
    <t>COMPROVANTE DE ENDEREÇO (DMAE) EM ANEXO
NOME NO COMPROVANTE: OVIDIO LIMA DE BRITO (DIZ SER LOCADOR)</t>
  </si>
  <si>
    <t>JULIA MATOS VASCONCELOS</t>
  </si>
  <si>
    <t>ENDEREÇO NOVO: RUA CASTELA, 24
COMPLEMENTO: AP 506 BL 2
CEP: 38410727
BAIRRO: LARANJEIRAS</t>
  </si>
  <si>
    <t>COMPROVANTE DE ENDEREÇO (CEMIG) EM ANEXO
NOME NO COMPROVANTE: SEBASTIAO CAMILO DIAS (DISSE QUE É O PAI DO SEU NAMORADO)</t>
  </si>
  <si>
    <t>MK END
N/C
MK NOME
-&gt; JULIA MATOS VASCONCELOS (ASSINANTE DA CONEXÃO)
-&gt; SEBASTIAO CAMILO DIAS (DISSE QUE É O PAI DO SEU NAMORADO)
	.: CONEXÃO ATIVA DESDE DE 07/2024 - SEM DÉBITOS</t>
  </si>
  <si>
    <t xml:space="preserve">MUD END RODRIGO RODRIGUES BATISTA PROT:2605.19925 DINHEIRO (BRUNA) - JARDIM BRASÍLIA **SOBRADO** </t>
  </si>
  <si>
    <t>RODRIGO RODRIGUES BATISTA</t>
  </si>
  <si>
    <t>ENDEREÇO NOVO: RUA MARIA HELENA DE SOUSA, 59
COMPLEMENTO: CASA ÚNICA (SOBRADO)
CEP: 38401678
BAIRRO: JARDIM BRASÍLIA</t>
  </si>
  <si>
    <t>COMPROVANTE DE ENDEREÇO (CEMIG) EM ANEXO
NOME NO COMPROVANTE: DIVINO ALVES DOS SANTOS (DIZ SER O PROPRIETARIO DO IMOVEL)</t>
  </si>
  <si>
    <t>MK END:
JOSILENE DOS SANTOS SILVA : EM 31/01/2020 CLIENTE SOLICITOU INSTALAÇÃO, PORÉM, FOI APROVADO APENAS PAGANDO A TAXA DE COMPRA DOS EQUIPAMENTOS. DESTA FORMA, JOSILENE OPTOU EM NÃO PROSSEGUIR.
MK NOMES:
DIVINO ALVES DOS SANTOS (PROPRIETARIO DO IMOVEL): N/C</t>
  </si>
  <si>
    <t xml:space="preserve">MUD END + ALT PLANO CRISTINO DOS PASSOS VIEIRA PROT:2605.17620 ISENTO (LUIS) - JARDIM HOLANDA  //  </t>
  </si>
  <si>
    <t>CRISTINO DOS PASSOS VIEIRA</t>
  </si>
  <si>
    <t>ENDEREÇO NOVO: ALAMEDA JOSÉ DE OLIVEIRA GUIMARÃES, 243
COMPLEMENTO: COND PAZ - CASA 24
CEP: 38412324
BAIRRO: JARDIM HOLANDA</t>
  </si>
  <si>
    <t>COMPROVANTE DE ENDEREÇO (CEMIG) EM ANEXO
NOME NO COMPROVANTE: CRISTINO DOS PASSOS VIEIRA (ASSINANTE)</t>
  </si>
  <si>
    <t>MK END: N/C
MK NOMES: CRISTINO DOS PASSOS VIEIRA - CPF 033.140.176-26 - ASSINANTE - CLIENTE ATIVO E ADIMPLENTE COM A EMPRESA.</t>
  </si>
  <si>
    <t>SUSANA CRISTINA SANTOS</t>
  </si>
  <si>
    <t>OTAVIO WENDER MARTINS GUSSO</t>
  </si>
  <si>
    <t>HENZO CARVALHO CAVALCANTI (ROYAL ESTICA AUTOMOTIVA</t>
  </si>
  <si>
    <t>ENDEREÇO NOVO: RUA RIVELINO TADEU DE JESUS, 67
COMPLEMENTO: CASA UNICA
CEP: 38401130
BAIRRO: PRESIDENTE ROOSEVELT</t>
  </si>
  <si>
    <t>COMPROVANTE DE ENDEREÇO (CEMIG) EM ANEXO
NOME NO COMPROVANTE: CILMA CARVALHO DE FARIA (DISSE SER SUA MÃE)</t>
  </si>
  <si>
    <t>MK END: N/C 
MK NOMES: CILMA CARVALHO DE FARIA (DISSE SER SUA MÃE) N/C</t>
  </si>
  <si>
    <t xml:space="preserve"> FRANCIELLE DA CRUZ SILVA</t>
  </si>
  <si>
    <t>PENDENTE COMPROVANTE DE ENDEREÇO ... 
SEM OS GERADA
cancelada</t>
  </si>
  <si>
    <t>ENDEREÇO NOVO: RUA CHAPADA DO ARARIPE, 753
COMPLEMENTO: CASA UNICA
CEP: 38410344
BAIRRO: SÃO JORGE</t>
  </si>
  <si>
    <t>PLANO ATUAL: 500 MEGA/79,90 CONTRATADO EM 09/2023 COM FIDELIDADE DE 12 MESES. ROTEADOR: ONT TP-LINK XC220
PLANO OFERTADO: 600 MEGA/79,90. BENEFÍCIOS: ACESSO GRATUITO AO APP MZTV (CDNTV+)</t>
  </si>
  <si>
    <t xml:space="preserve">MUD END ALEXANDRE NORONHA NEVES PROT:2605.22428 CARTAO (JHONATAN) - TOCANTINS   </t>
  </si>
  <si>
    <t>ALEXANDRE NORONHA NEVES</t>
  </si>
  <si>
    <t>ENDEREÇO NOVO: RUA PROFESSORA MARIA LOURDES CUNHA, 226
COMPLEMENTO: CASA UNICA
CEP: 38415258
BAIRRO: TOCANTINS</t>
  </si>
  <si>
    <t>COMPROVANTE DE ENDEREÇO (DMAE) EM ANEXO
NOME NO COMPROVANTE: CRISTIANO TERRA PALAZZO (DISSE QUE É O ANTIGO PROPRIETÁRIO)</t>
  </si>
  <si>
    <t>MK END 
N/C
MK NOME 
&gt; ALEXANDRE NORONHA NEVES - ASSINANTE DA CONEXÃO 
&gt; CRISTIANO TERRA PALAZZO (DISSE QUE É O ANTIGO PROPRIETÁRIO):  N/C</t>
  </si>
  <si>
    <t xml:space="preserve">MUD END + ALT PLANO ERICK PALUMINIO ROCHA PROT:2605.20375 ISENTO (RONALD) - JARDIM PATRÍCIA </t>
  </si>
  <si>
    <t xml:space="preserve"> ERICK PALUMINIO ROCHA</t>
  </si>
  <si>
    <t>PENDENTE COMPROVANTE E CONFIRMAÇÃO DO TITULAR
SEM OS GERADA</t>
  </si>
  <si>
    <t>3499234774 / 34991598165</t>
  </si>
  <si>
    <t>ENDEREÇO NOVO: RUA JUVENAL MARTINS PIRES, 232
COMPLEMENTO: CASA ÚNICA
CEP: 38414186
BAIRRO: JARDIM PATRÍCIA</t>
  </si>
  <si>
    <t>ENDRY HENRIQUE PALUMINIO ROCHA (IRMÃO DE ERICK)</t>
  </si>
  <si>
    <t>COMPROVANTE DE ENDEREÇO (IPTU) EM ANEXO
NOME NO COMPROVANTE: CARLOS ROBERTO DA SILVA (PROPRIETÁRIO (LOCADOR))</t>
  </si>
  <si>
    <t xml:space="preserve">MK END; - N/C
MK NOME;
ERICK PALUMINIO ROCHA (ASSINANTE) - CONEXÃO ATIVA E ADIMPLENTE
ENDRY HENRIQUE PALUMINIO ROCHA (IRMÃO DE ERICK) - N/C
CARLOS ROBERTO DA SILVA CPF: 394.***.***-00 (PROPRIETÁRIO (LOCADOR)) - N/C
NÃO FOI IDENTIFICADO O CPF DO PROPRIETÁRIO NO COMPROVANTE, VERIFIQUEI DUAS CONEXÕES ATIVAS COM O MESMO NOME MAS CPF DIFERENTE, REGISTRO AMBOS PARA ANALISE. 
CARLOS ROBERTO DA SILVA  498.562.946-49 - ATIVO E ADIMPLENTE 
CARLOS ROBERTO DA SILVA  287.281.221-00 - ATIVO E ADIMPLENTE </t>
  </si>
  <si>
    <t>MUD END + ALT PLANO NAIANNY GOMEZ DA SILVA PROT:2605.20323 ISENTO (PEDRO) - JARDIM PATRÍCIA **PRÉDIO COM PRUMADA** //  *TROCA DE EQUIPAMENTO*</t>
  </si>
  <si>
    <t>NAIANNY GOMEZ DA SILVA</t>
  </si>
  <si>
    <t>CONFERIDO POR HIAGO</t>
  </si>
  <si>
    <t>ENDEREÇO NOVO: RUA JOÃO RODRIGUES DE CASTRO, 55
COMPLEMENTO: PARQUE TRILHAS DA SERRA – BLOCO 2 APTO 102
CEP: 38414122
BAIRRO: JARDIM PATRÍCIA</t>
  </si>
  <si>
    <t>PLANO ATUAL: 100 MEGA/79,90 CONTRATADO EM 08/2021 COM FIDELIDADE DE 12 MESES. ROTEADOR: TP-LINK 840
PLANO OFERTADO: 600 MEGA/79,90. BENEFÍCIOS: ACESSO GRATUITO AO APP MZTV (CDNTV+)</t>
  </si>
  <si>
    <t>COMPROVANTE DE ENDEREÇO (DMAE) EM ANEXO
NOME NO COMPROVANTE: NAIANNY GOMEZ DA SILVA (ASSINANTE)</t>
  </si>
  <si>
    <t xml:space="preserve">MUD END + ALT PLANO BEATRIZ FELICIA DE SOUSA PROT:2605.20854 ISENTO (ANDREZA) - SÃO JORGE  //  </t>
  </si>
  <si>
    <t>BEATRIZ FELICIA DE SOUSA</t>
  </si>
  <si>
    <t>ENDEREÇO NOVO: RUA FAUSTO HENRIQUE MATIAS, 420
COMPLEMENTO: CASA FRENTE
CEP: 38410184
BAIRRO: SÃO JORGE</t>
  </si>
  <si>
    <t xml:space="preserve">COMPROVANTE DE ENDEREÇO (CEMIG) EM ANEXO
NOME NO COMPROVANTE: INEIDE FELICIA DA SILVA (MÃE DA ASSINANTE)
___________________________________________________
BEATRIZ INFORMOU QUE VAI MORAR EM UM COMODO QUE FICA NA FRENTE, SEPARADO DA CASA, PORÉM EXPLICOU QUE É SOMENTE 1 TALÃO DE ENERGIA, POR ISSO, ELE VEM SEM COMPLEMENTO.
</t>
  </si>
  <si>
    <t>MK END: N/C
________________________________________
MK NOMES:
-&gt; INEIDE FELICIA DA SILVA (MÃE DA ASSINANTE): N/C</t>
  </si>
  <si>
    <t>VICTOR HUGO PEREIRA</t>
  </si>
  <si>
    <t xml:space="preserve">MUD END + ALT PLANO FABIANA MARIA ASSIS (KAMILLY/FILHA) PROT:2605.20182 ISENTO (VICTOR H.) - JARDIM BRASÍLIA **PRÉDIO SEM PRUMADA - ENVIAR TÉCNICO DUPLADO** //  </t>
  </si>
  <si>
    <t>FABIANA MARIA ASSIS (KAMILLY/FILHA)</t>
  </si>
  <si>
    <t>ENDEREÇO NOVO: RUA MARIA HELENA DE SOUSA, 1050
COMPLEMENTO: APTO 202
CEP: 38401678
BAIRRO: JARDIM BRASÍLIA</t>
  </si>
  <si>
    <t>PLANO ATUAL: 150 MEGA/59,90 CONTRATADO EM 09/2024 COM FIDELIDADE DE 12 MESES. ROTEADOR: ONT TP-LINK XC220
PLANO OFERTADO: 150 MEGA/59,90. BENEFÍCIOS: ACESSO GRATUITO AO APP MZTV (CDNTV+)</t>
  </si>
  <si>
    <t>KAMILLY VITORIA ASSIS RODRIGUES (FILHA)</t>
  </si>
  <si>
    <t>ELISABETH ANTUNES CARDOSO DE JESUS (ROBSON/FILHO)</t>
  </si>
  <si>
    <t>ENDEREÇO NOVO: RUA VINTE E UM DE ABRIL, 563 
COMPLEMENTO: CASA UNICA
CEP: 38401551
BAIRRO: VILA SATÉLITE</t>
  </si>
  <si>
    <t>VITORIA ANTUNES MOSCONI (NETA)</t>
  </si>
  <si>
    <t>COMPROVANTE DE ENDEREÇO (CONTRATO DE LOCAÇÃO) EM ANEXO
NOME NO COMPROVANTE:  VITORIA ANTUNES MOSCONI (NETA)</t>
  </si>
  <si>
    <t>MK END 
N/C 
MK NOME
ELISABETH ANTUNES CARDOSO DE JESUS: ASSINANTE DA CONEXÃO
JUPITER ANTONIO DE JESUS (SOLICITANTE/ESPOSO):
:. SOLICITAÇÃO EM 04/2024 APROVADA - ATIVA - SEM DÉBITO
  ::. SOLICITACÃO EM 05/2024 APROVADO PARA ELISABETH ANTUNAS CARDOSO DE JESUS (CONEXÃO ATUAL)
VITORIA ANTUNES MOSCONI (LOCATÁRIA/NETA): N/C
ANGELICA SCARIOT DE LIMA (LOCADORA): N/C
GRACIELE ANTUNES GONCALVES MOSCONI (FIADORA): N/C 
SERGIO HENRIQUE DE OLIVEIRA MOSCONI (FIADOR):
  :. SOLICITAÇÃO EM 07/2021 CANCELADA A PEDIDO CLIENTE 
SELMA CRISTINA DE SA (TESTEMUNHA): N/C 
FERNANDA FERNANDES CUNHA COSTA (TESTEMUNHA): N/C 
IMOBILIÁRIA:
MIRANDA NEGÓCIOS IMOBILIÁRIOS LTDA / VERUS IMOBILIARIA: N/C
PRISCILLA CUNHA SILVA MIRANDA (SÓCIA/REPRESENTANTE): N/C</t>
  </si>
  <si>
    <t xml:space="preserve">MUD END FLAVIA DOS SANTOS PEREIRA PROT:2605.21582 PIX (JOSÉ Jr) - LUIZOTE DE FREITAS **PRÉDIO COM PRUMADA** </t>
  </si>
  <si>
    <t>FLAVIA DOS SANTOS PEREIRA</t>
  </si>
  <si>
    <t>ENDEREÇO NOVO: RUA OSCAR BERNARDES DA COSTA, 75
COMPLEMENTO: RESIDENCIAL VEREDAS DE CRISTAL  BLOCO D APT708
CEP: 38414313
BAIRRO: LUIZOTE DE FREITAS</t>
  </si>
  <si>
    <t>COMPROVANTE DE ENDEREÇO (CONTRATO DE LOCAÇÃO) EM ANEXO
NOME NO COMPROVANTE: FLAVIA DOS SANTOS PEREIRA (ASSINANTE)</t>
  </si>
  <si>
    <t>MK END:N/C
MK NOMES:
   JÉSSICA PEREIRA ALMEIDA SILVA — CPF: 106.954.556-21 (LOCADORA)N/C
   FLÁVIA SOS SANTOS FERREIRA — CPF: 041.886.956-1 (LOCATÁRIA)TITULAR DA CONEXÃO
   LEANDRO FERREIRA DO NASCIMENTO — CPF: 058.861.096-84 (LOCATÁRIO)N/C
   MARIA DAS VITÓRIAS F. DO N. RODRIGUES — CPF: 063.737.106-29 (AVALISTA)N/C
   DIRCEU RODRIGUES DA SILVA — CPF: 744.676.626-34 (CÔNJUGE DA AVALISTA)N/C</t>
  </si>
  <si>
    <t>ANA BARBARA REIS SANTOS</t>
  </si>
  <si>
    <t xml:space="preserve">PENDENTE COMPROVANTE DE RESIDENCIA
COBRADO NO GRUPO </t>
  </si>
  <si>
    <t>ENDEREÇO NOVO: RUA DA REALIZAÇÃO, 100
COMPLEMENTO: CASA ÚNICA
CEP: 38407526
BAIRRO: RESIDENCIAL INTEGRAÇÃO</t>
  </si>
  <si>
    <t>PLANO ATUAL: 150 MEGA/59,90 CONTRATADO EM 05/2025 COM FIDELIDADE DE 12 MESES. ROTEADOR: ONT TP-LINK XC220
PLANO OFERTADO: 150 MEGA/59,90. BENEFÍCIOS: ACESSO GRATUITO AO APP MZTV (CDNTV+)</t>
  </si>
  <si>
    <t>MUD END + ALT PLANO FRANCISCA ADRIANA GUIMARAES (DRIKA SALÃO) PROT:2605.22443 PIX (BRUNA) - TABAJARAS  //  *TROCA DE EQUIPAMENTO*</t>
  </si>
  <si>
    <t>FRANCISCA ADRIANA GUIMARAES (DRIKA SALÃO)</t>
  </si>
  <si>
    <t>VALIDAÇÃO OK 
DÚVIDAS QUANTO A DEISE CONEXÃO CASA 1, NÃO LOCALIZEI FICHA DE CADASTRO .. E NÃO POSSUI INFORMAÇÃO SE SERIA NA MESMA CASA .</t>
  </si>
  <si>
    <t>ENDEREÇO NOVO: RUA SANTA VITÓRIA, 11
COMPLEMENTO: CASA FRENTE
CEP: 38400274
BAIRRO: TABAJARAS</t>
  </si>
  <si>
    <t xml:space="preserve">PLANO ATUAL: 150 MEGA/59,90 CONTRATADO EM 11/25 COM FIDELIDADE DE 12 MESES. ROTEADOR: TP LINK C-5
PLANO OFERTADO: 600 MEGA/79,90. BENEFÍCIOS: ACESSO GRATUITO AO APP MZTV (CDNTV+)
</t>
  </si>
  <si>
    <t>COMPROVANTE DE ENDEREÇO (CONTRATO DE LOCAÇÃO) EM ANEXO
NOME NO COMPROVANTE:  FRANCISCA ADRIANA GUIMARAES (ASSINANTE)</t>
  </si>
  <si>
    <t>MK END:
DEYSE SILVA (CASA 1): POSSUI CONEXÃO ATIVA, SEM PENDENCIAS.
EDNA ORLANDINA MENDES (CASA 3): EM  24/01/2025 ADNA SOLICITOU INSTALAÇÃO, SENDO REPROVADO EM SEU NOME, PORÉM, APROVADO NO NOME DO ESPOSO (ORLANDO JUSTINO DE OLIVEIRA). ATIVO E INADIMPLENTE NO ENDEREÇO (Rua Eduardo de Oliveira, 457, CASA 01)
MK NOMES:
ANA MARIA ALVES DE ALENCAR (LOCATÁRIA): N/C
FRANCISCA ADRIANA GUIMARÃES (LOCATÁRIA/TITULAR): POSSUI CONEXÃO ATIVA, SEM PENDENCIAS.
FRANCISCA ROSIMARY MOTA GUIMARÃES (LOCATÁRIA): N/C
FERNANDO FONTES DA COSTA (LOCADOR): N/C
AMANDA SANTOS PEREIRA (TESTEMUNHA): N/C
PONTUAL IMOVEIS UBERLANDIA LTDA (ADMINISTRADORA): N/C
CARLOS ALVES NETO (REPRESENTANTE DA ADMINISTRADORA): N/C
&gt; FRANCISCA INFORMOU QUE O NOVO LOCAL SERÁ UTILIZADO COMO SUA RESIDÊNCIA E TAMBÉM COMO SALÃO.
RELATOU AINDA QUE, NO ENDEREÇO DA OUTRA CONEXÃO (RUA OSCAR BERNARDES COSTA, 75), QUEM PERMANECERÁ UTILIZANDO O SERVIÇO SERÁ RITA DE CÁSSIA MOTA DA SILVA, SUA SOBRINHA.
MK NOMES:
RITA DE CÁSSIA MOTA DA SILVA (SOBRINHA DE FRANCISCA): N/C</t>
  </si>
  <si>
    <t xml:space="preserve">MUD END + ALT PLANO SILVANO TOSCANO DA SILVA (EX ESPOSA) PROT:2605.20251  ISENTO (JOSÉ Jr) - </t>
  </si>
  <si>
    <t xml:space="preserve">SILVANO TOSCANO DA SILVA (EX ESPOSA) </t>
  </si>
  <si>
    <t xml:space="preserve"> 
SILVANO TOSCANO DA SILVA - POSSUI CONEXÃO CANCELADA COM DÉBITOS COM A MZ. (R$719,70) REFERENTE A MENSALIDADES VENCIDAS + MULTA CONTRATUAL</t>
  </si>
  <si>
    <t>ENDEREÇO NOVO: RUA DOS CLARINETES, 137
COMPLEMENTO: CASA FRENTE
CEP: 38415078
BAIRRO: TAIAMAN</t>
  </si>
  <si>
    <t>PLANO ATUAL: 400MEGA/79,90 CONTRATADO EM 08/2022 COM FIDELIDADE DE 12 MESES. ROTEADOR:ZTE H199A
PLANO OFERTADO: 600MEGA/ R$79,90. BENEFÍCIOS: ACESSO GRATUITO AO APP MZTV (CDNTV+) + VOD</t>
  </si>
  <si>
    <t>SILVIA GOMES DE MELO (EX-ESPOSA)</t>
  </si>
  <si>
    <t>COMPROVANTE DE ENDEREÇO (CEMIG) EM ANEXO
NOME NO COMPROVANTE: HELIO MARTINS (CLIENTE DIZ QUE É O MORADOR ANTIGO)</t>
  </si>
  <si>
    <t>MK END:
JUNIOR PESSOA DA SILVA CPF: 075.878.506-27 PROCESSO DE ADESÃO CANCELADO EM 30/11/2021. MOTIVO: CLIENTE NÃO POSSUÍA O VALOR NO MOMENTO PARA CONTRATAR O SERVIÇO MEDIANTE À COMPRA DOS EQUIPAMENTOS.
OBS.: NO ENDEREÇO CADASTRADO PARA ESSE CLIENTE NÃO POSSUI COMPLEMENTO DE ENDEREÇO.
MK NOMES:
HELIO MARTINS CPF: 160.0**.*- (CLIENTE INFORMA QUE É O MORADOR ANTIGO) N/C.
SILVIA GOMES DE MELO (EX-ESPOSA) POSSUÍA UMA CONEXÃO NO ENDEREÇO RUA DOS PIANOS, 856. SOLICITOU O CANCELAMENTO EM 12/05/2023. CLIENTE INADIMPLENTE COM DÉBITOS NO VALOR DE R$ 59,00.
COMPLEMENTO: TITULAR POSSUI MAIS UMA CONEXÃO ATIVA EM NOME DE SILVANO TOSCANO DA SILVA NO ENDEREÇO RUA DAS HARPAS, 239. SOLICITOU O CANCELAMENTO E O CLIENTE SE ENCONTRA INADIMPLENTE COM DÉBITOS ATRASADOS NO VALOR DE R$ 719,70.
ANTERIORMENTE HAVIA OUTRA CONEXÃO EM NOME DE SILVANO TOSCANO DA SILVA (MARIA/MÃE) NO ENDEREÇO RUA DAS HARPAS, 239. NESSA CONEXÃO NÃO POSSUI DÉBITOS ATRASADOS.</t>
  </si>
  <si>
    <t xml:space="preserve">MUD END + ALT PLANO ROSA ELAINE DOS SANTOS SOUZA PROT:2605.23005 ISENTO (ANDREZA) - JARDIM KARAÍBA  //  </t>
  </si>
  <si>
    <t>ROSA ELAINE DOS SANTOS SOUZA</t>
  </si>
  <si>
    <t>ENDEREÇO NOVO: RUA ARACATY, 356
COMPLEMENTO: CASA ÚNICA
CEP: 38411358
BAIRRO: JARDIM KARAÍBA</t>
  </si>
  <si>
    <t>COMPROVANTE DE ENDEREÇO (CONTRATO DE LOCAÇÃO) EM ANEXO
NOME NO COMPROVANTE: ROSA ELAINE DOS SANTOS SOUZA (ASSINANTE)</t>
  </si>
  <si>
    <t>MK END: N/C
___________________________________________________
MK NOMES:
-&gt; FABRICIA GARCIA DE CARVALHO BOTELHO (LOCADORA) - CPF 931.769.296-68: N/C
-&gt; INOVARE NEGÓCIOS IMOBILIÁRIOS EIRELI (REPRESENTANTE/ADMINISTRADORA) - CNPJ 37.092.448/0001-92: N/C
-&gt; KAMYLA FÉLIX DE PAULA (SÓCIA/PROPRIETÁRIA): N/C
-&gt; ROSA ELAINE DOS SANTOS SOUZA (LOCATÁRIA) - CPF 529.193.586-34: ASSINANTE DA CONEXÃO.
-&gt; ALEXSANDRO SANTOS DE SOUZA (LOCATÁRIO/ESPOSO DA ASSINANTE) - CPF 766.027.026-53: N/C
-&gt; ALEXSANDRO SANTOS DE SOUZA JUNIOR (FIADOR) - CPF 115.768.256-12: CONEXÃO CANCELADA EM 04/2025 (SEM DÉBITOS/DEVOLVEU OS EQUIPAMENTOS).
-&gt; BARBARA GUERRA SANTOS (ESPOSA DO FIADOR) - CPF 123.221.086-26: N/C
-&gt; POLLYANNA PAULA SANTOS SOUZA (FIADORA 2) - CPF 080.686.736-10: N/C
-&gt; MICHELL DORNELO SANTOS (ESPOSO DA FIADORA 2) - CPF 080.420.886-71: CONEXÃO ATIVA DESDE 01/2023 E ADIMPLENTE COM A EMPRESA.
-&gt; KATHERINNE DOMINGOS (TESTEMUNHA): N/C</t>
  </si>
  <si>
    <t>LEIR MARIA DE MELO (LETICIA/FILHA)</t>
  </si>
  <si>
    <t>(34) 99200-0787</t>
  </si>
  <si>
    <t>ENDEREÇO NOVO: RUA SERRA DO TIRACAMBU, 375
COMPLEMENTO: CASA 1 (PORTÃO PEQUENO)
CEP: 38410364
BAIRRO: SÃO JORGE</t>
  </si>
  <si>
    <t>EVERTON MARTINS OLIVEIRA MELO (GENRO DA LEIR)</t>
  </si>
  <si>
    <t>34 9 9698-1827</t>
  </si>
  <si>
    <t>COMPROVANTE DE ENDEREÇO (CEMIG) EM ANEXO
NOME NO COMPROVANTE:  AURELIA LOURENÇO DA PAIXÃO (DISSE SER A DONA DO IMÓVEL)</t>
  </si>
  <si>
    <t>MK END: ERICLEUTON DE JESUS MONTEIRO (CS 3) - SOLICITOU INSTALAÇÃO EM 01/2022, MAS SÓ FOI AUTORIZADO COM A COMPRA DOS APARELHOS OU REAVALIANDO EM NOME DA SUA ESPOSA (ALESSANDRA PAGANINI DA SILVA), O CLIENTE OPTOU PELA REAVALIAÇÃO, MAS NÃO HOUVE MAIS REGISTRO SOBRE, PROVAVELMENTE ENCERRADO POR FALTA DE INTERAÇÃO. 
MK NOME: AURELIA LOURENÇO DA PAIXÃO (DISSE SER A DONA DO IMÓVEL) - N/C
EVERTON MARTINS OLIVEIRA MELO (GENRO DA LEIR) - SOLICITOU A INSTALAÇÃO EM SEU NOME EM 03/2026, MAS FOI APROVADO PARA A LEIR (SOGRA)
LETICIA MELO DA SILVA (FILHA) - N/C
LEIR MARIA DE MELO (TITULAR) - POSSUI CONEXÃO CONOSCO DESDE 03/2026, ATIVA E ADIMPLENTE.</t>
  </si>
  <si>
    <t>DENISIA DE ARAUJO VASQUES</t>
  </si>
  <si>
    <t>ENDEREÇO NOVO: AVENIDA AFONSO PENA, 2069
COMPLEMENTO: CASA 02
CEP: 38400708
BAIRRO: NOSSA SENHORA APARECIDA</t>
  </si>
  <si>
    <t>PLANO ATUAL: 300 MEGA/69,90 CONTRATADO EM 08/2025 COM FIDELIDADE DE 12 MESES. ROTEADOR: ONT TP-LINK XC220
PLANO OFERTADO: 300 MEGA/69,90. BENEFÍCIOS: ACESSO GRATUITO AO APP MZTV (CDNTV+)</t>
  </si>
  <si>
    <t>COMPROVANTE DE ENDEREÇO (CONTRATO DE LOCAÇÃO) EM ANEXO
NOME NO COMPROVANTE: DENISIA DE ARAUJO VASQUES (ASSINANTE)</t>
  </si>
  <si>
    <t>MK END:
- MARCIA APARECIDA AZEVEDO: 2 PROCESSOS DE ADESÃO REPROVADOS:
21/01/2023 - PEDIDO DE INSTALAÇÃO PARA O ENDEREÇO  Avenida Afonso Pena número 2069 CASA FUNDO Nossa Senhora Aparecida SOLICITAÇÃO CANCELADA A PEDIDO DA CLIENTE 
27/06/2023 - PEDIDO DE INSTALAÇÃO PARA O ENDEREÇO  Avenida Afonso Pena número 2069 CASA 02 FUNDO Nossa Senhora Aparecida APROVADO COM COMPRA DE EQUIPAMENTOS OU NO NOME DO SEU FILHO PORÉM NÃO HOUVE PROSSEGUIMENTO NO PEDIDO E O MESMO FOI FINALIZADO.
MK NOMES:
- NELSI DE ALMEIDA MELO	                025.058.726-27	(LOCADORA): N/C
- DENISIA DE ARAUJO VASQUES	        014.569.906-40	(LOCATÁRIA E ASSINANTE): POSSUI CONEXÃO ATIVA COM FATURA EM ABERTO 15/05/2026 R$69,90
- CRISTIANE DE ARAUJO VASQUES	        065.390.916-05	(LOCATÁRIA E IRMÃ DA ASSINANTE): N/C
- GENESIO CARVALHO DA SILVA	        069.628.476-6	(LOCATÁRIO E ESPOSO DO ASSINANTE): N/C
- PRISCILLA CUNHA SILVA MIRANDA	        043.799.466-06	(SÓCIA REPRESENTANTE DA IMOBILIÁRIA): N/C
- SELMA CRISTINA DE SA	                932.424.176-15	(TESTEMUNHA): N/C
- FERNANDA FERNANDES CUNHA COSTA	013.240.116-96	(TESTEMUNHA): N/C
- MIRANDA NEGÓCIOS IMOBILIÁRIOS LTDA	02.940.624/0001-14	(IMOBILIÁRIA / PROCURADORA DA LOCADORA): N/C
- VERUS IMOBILIARIA	                02.940.624/0001-14	(NOME FANTASIA DA IMOBILIÁRIA): N/C
- LOFT SOLUÇÕES FINANCEIRAS S/A	        25.027.928/0001-90	(EMPRESA RESPONSÁVEL PELA FIANÇA ALUGUEL): N/C</t>
  </si>
  <si>
    <t xml:space="preserve">MUD END DIEGO DE SOUZA ARAUJO PROT: 2604.22747 CARTAO (GABRIEL M) - SEGISMUNDO PEREIRA
</t>
  </si>
  <si>
    <t xml:space="preserve"> DIEGO DE SOUZA ARAUJO</t>
  </si>
  <si>
    <t>(34) 99668-7483</t>
  </si>
  <si>
    <t>ENDEREÇO NOVO: RUA JOÃO ÂNGELO SCHIAVINATO, 994
COMPLEMENTO: TORRE 1. APTO 606
CEP: 38408272
BAIRRO: SEGISMUNDO PEREIRA</t>
  </si>
  <si>
    <t>COMPROVANTE DE ENDEREÇO (CONTRATO DE HABITAÇÃO) EM ANEXO
NOME NO COMPROVANTE: LUANNA CAMPOS ALVARES DA SILVA (NAMORADA)</t>
  </si>
  <si>
    <t>MK END: N/C
ANA LUCIA SILVA (VENDEDORA) CPF: 086.916.376-09 - N/C
LUIZA PORFIRIO DA SILVA (REPRESENTANTE) - N/C
DEUSDETH PORFIRIO DA SILVA (REPRESENTANTE) - N/C
JOAO PAULO NAVES CAMARGO (REPRESENTANTE) - N/C
MARISE APARECIDA NAVES CAMARGO (REPRESENTANTE) CPF: 054.188.466-20 - N/C
JOAO BATISTA CAMARGO FILHO (REPRESENTANTE) - N/C
LUANNA CAMPOS ALVARES DA SILVA (COMPRADORA / NAMORADA DO ASSINANTE) CPF: 127.096.806-88 - N/C
DANIELE DA SILVA CAMPOS (TESTEMUNHA / SOGRA) - N/C
WENDEL GERALDO ALVARES DA SILVA (TESTEMUNHA / SOGRO)  - N/C
CAIXA ECONÔMICA FEDERAL (CREDORA FIDUCIÁRIA) CNPJ: 00.360.305/0001-04 - N/C
BRUNO AUGUSTO DE SOUSA BARBOSA (REPRESENTANTE) CPF: 080.474.716-43 - N/C</t>
  </si>
  <si>
    <t>RESERVA ANDREZA - MUD END + ALT PLANO LUCIENE MACENA DA SILVA PROT: 2605.15812 ISENTO (ANDREZA) - TUBALINA</t>
  </si>
  <si>
    <t>LUCIENE MACENA DA SILVA</t>
  </si>
  <si>
    <t>ENDEREÇO NOVO: RUA MARIA DIAS DINIZ, 213
COMPLEMENTO: CASA 03 (FUNDO)
CEP: 38412054
BAIRRO: TUBALINA</t>
  </si>
  <si>
    <t xml:space="preserve">PLANO ATUAL: 250 MEGA/69,90 CONTRATADO EM 09/2023 COM FIDELIDADE DE 12 MESES. ROTEADOR: ONT TP-LINK XC230
PLANO OFERTADO: 300 MEGA/69,90. BENEFÍCIOS: ACESSO GRATUITO AO APP MZTV (CDNTV+)
</t>
  </si>
  <si>
    <t>BRAINNER BORGES DE ARAÚJO (GENRO)</t>
  </si>
  <si>
    <t>COMPROVANTE DE ENDEREÇO (CEMIG) EM ANEXO
NOME NO COMPROVANTE:  GERALDINO JORGE ARAUJO (DISSE QUE É O DONO DO IMÓVEL)</t>
  </si>
  <si>
    <t>MK END: N/C
________________________________________
MK NOMES:
-&gt; EMANUELE RIBEIRO DA SILVA (FILHA DA ASSINANTE): N/C
-&gt; BRAINNER BORGES DE ARAÚJO (GENRO DA ASSINANTE): N/C
-&gt; GERALDINO JORGE ARAUJO (DISSE QUE É O DONO DO IMÓVEL): N/C</t>
  </si>
  <si>
    <t xml:space="preserve"> LUCINEIDE LUCIA DA COSTA</t>
  </si>
  <si>
    <t>ENDEREÇO NOVO: RUA DOUTOR MANOEL THOMAZ TEIXEIRA DE SOUZA, 945
COMPLEMENTO: APTO 06
CEP: 38415270
BAIRRO: TOCANTINS</t>
  </si>
  <si>
    <t>LUCÉLIA LÚCIA DA COSTA (IRMÃ)</t>
  </si>
  <si>
    <t>34 9 8445-4876</t>
  </si>
  <si>
    <t>COMPROVANTE DE ENDEREÇO (CONTRATO DE LOCAÇÃO) EM ANEXO
NOME NO COMPROVANTE: LUCINEIDE LÚCIA DA COSTA (ASSINANTE)</t>
  </si>
  <si>
    <t>MK END
N/C 
MK NOME
&gt; LUCINEIDE LÚCIA DA COSTA (LOCATÁRIA): ASSINANTE 
&gt; JUCILENE DA COSTA SILVA (LOCATÁRIA): N/C
&gt; MARCOS KENNEDY DOURADINHO (REPRESENTANTE/LOCADOR ASSINANTE): N/C
&gt; DOURADINHO EMPREENDIMENTOS E PARTICIPAÇÕES LTDA. (LOCADORA - PESSOA JURÍDICA): N/C</t>
  </si>
  <si>
    <t xml:space="preserve">MUD END NEIVALDO ANTUNES MORAIS PROT:2605.22826 PIX (JOSÉ Jr) - SANTA MÔNICA   </t>
  </si>
  <si>
    <t xml:space="preserve">NEIVALDO ANTUNES MORAIS </t>
  </si>
  <si>
    <t>ENDEREÇO NOVO: RUA ANTÔNIO SALVIANO DE REZENDE, 725
COMPLEMENTO: CASA 3
CEP: 38408228
BAIRRO: SANTA MÔNICA</t>
  </si>
  <si>
    <t>COMPROVANTE DE ENDEREÇO (CONTRATO DE LOCAÇÃO) EM ANEXO
NOME NO COMPROVANTE: NEIVALDO ANTUNES MORAIS (ASSINANTE)</t>
  </si>
  <si>
    <t>MK END:N/C
MK NOMES:
  ALEXANDRE MORAES — CPF: 672.288.106-78 (LOCADOR)N/C
  MARCELO MORAES — CPF: 753.558.096-34 (LOCADOR)N/C
  NEIVALDO ANTUNES MORAIS — CPF: 028.994.236-57 (LOCATÁRIO)TITULAR DA CONEXÃO
  KATIA REGINA ALMADA DE MELO — CPF: 442.314.312-72 (LOCATÁRIA)N/C
  SILVIO DIAS DE MORAIS — CPF: 240.632.316-15 (FIADOR)N/C
  ABADIA ANTUNES MORAIS — CPF: 431.548.596-91 (FIADORA)CLIENTE POSSUI CONEXÃO ATIVA DESDE 22/05/2025 E ENCONTRA-SE ADIMPLENTE.
  NEIVALDO ANTUNES MORAIS ME – NEXTWAVE SOLAR — CNPJ: 29.706.525/0001-29 (FIADOR)N/C
  WELLINGTON DOS REIS FERREIRA — CPF: 046.984.036-69 (TESTEMUNHA)CLIENTE POSSUI CONEXÃO ATIVA DESDE 19/04/2023 E ENCONTRA-SE ADIMPLENTE.
  JUNIO DE OLIVEIRA — CPF: 033.995.496-52 (TESTEMUNHA)N/C</t>
  </si>
  <si>
    <t>JESSICA MARTINS DE OLIVEIRA</t>
  </si>
  <si>
    <t>MUD END CARLOS ABEL DA SILVA (CANAL TV+) PROT: 2605.21873 (JHONATAN) - CUSTÓDIO PEREIRA</t>
  </si>
  <si>
    <t>CARLOS ABEL DA SILVA (CANAL TV+)</t>
  </si>
  <si>
    <t>ENDEREÇO NOVO: RUA FELICIANO DE MORAIS, 2320 
COMPLEMENTO: CASA UNICA
CEP: 38405188
BAIRRO: CUSTÓDIO PEREIRA</t>
  </si>
  <si>
    <t>PLANO ATUAL: 1000 MEGA/99,90 CONTRATADO EM 05/2025 COM FIDELIDADE DE 12 MESES. ROTEADOR: ONT TP-LINK X530
PLANO OFERTADO: 150 MEGA/59,90. BENEFÍCIOS: ACESSO GRATUITO AO APP MZTV (CDNTV+)</t>
  </si>
  <si>
    <t>COMPROVANTE DE ENDEREÇO (CEMIG) EM ANEXO
NOME NO COMPROVANTE: CARLOS ABEL DA SILVA (ASSINANTE)</t>
  </si>
  <si>
    <t>MK END 
&gt; MILENA CAMILA RIBEIRO SILVA: 
       :. SOLICITAÇÃO DE CONEXÃO REPROVADA EM 01/2023
       ::. SOLICITAÇÃO DE CONEXÃO REPROVADA EM 07/2023
MK NOME 
&gt; CARLOS ABEL DA SILVA (ASSINANTE DA CONEXÃO): N/C</t>
  </si>
  <si>
    <t xml:space="preserve">MUD END + ALT PLANO KAIKY CARROCINO PROT:2605.21697 ISENTO (LUIS) - PATRIMÔNIO **PRÉDIO SEM PRUMADA* //  </t>
  </si>
  <si>
    <t>KAIKY CARROCINO</t>
  </si>
  <si>
    <t>ENDEREÇO NOVO: RUA SÃO CONRADO, 58
COMPLEMENTO: APT 204
CEP: 38411094
BAIRRO: PATRIMÔNIO</t>
  </si>
  <si>
    <t>COMPROVANTE DE ENDEREÇO (CONTRATO DE LOCAÇÃO) EM ANEXO
NOME NO COMPROVANTE: KAIKY CARROCINO (ASSINANTE)</t>
  </si>
  <si>
    <t xml:space="preserve">MK END: N/C
MK NOMES:
- MARCIO HELENY ALVES BRAZAO - CPF: 577.910.076-49 - LOCADOR - N/C
- IVAN NEGÓCIOS IMOBILIÁRIOS LTDA. - CNPJ: 20.869.012/0001-64 -  ADMINISTRADORA DO CONTRATO DE LOCAÇÃO - N/C;
- IVAN GRACIANO DA COSTA FILHO - CPF: 040.246.836-83 -SÓCIO-GERENTE DA ADMINISTRADORA - N/C;
- RICARDO GRACIANO DA COSTA - CPF: 042.613.186-01 - SÓCIO / ADVOGADO DA ADMINISTRADORA - N/C 
- VICENTE PAULO FERREIRA - CPF: 435.173.826-04 - PROCURADOR DA ADMINISTRADORA - CONEXÃO CANCELADA EM 10/2025 - EQUIPAMENTOS DEVOLVIDOS E DÉBITOS QUITADOS;
- JOYCE APARECIDA DIAS - CPF: 058.367.476-36 - PROCURADORA DA ADMINISTRADORA - N/C; 
- TAIZ LAMARA BALESTERE TEIXEIRA ALVES - CPF: 320.333.798-33 -PROCURADORA DA ADMINISTRADORA - N/C
- KAIKY CARROCINO - CPF: 074.925.011-96 - LOCATÁRIO - CLIENTE ATIVO E ADIMPLENTE COM A EMPRESA,
- VANUSA APARECIDA DIONIZIO - CPF 493.823.491-20 - FIADOR - N/C. </t>
  </si>
  <si>
    <t>RAFAEL ALVES OLIVEIRA</t>
  </si>
  <si>
    <t>Ter</t>
  </si>
  <si>
    <t>ENDEREÇO NOVO: RUA MANOEL DA MATA GONÇALVES, 360
COMPLEMENTO: BL. 14, AP 402
CEP: 38413342
BAIRRO: CHÁCARAS TUBALINA E QUARTEL</t>
  </si>
  <si>
    <t>COMPROVANTE DE ENDEREÇO (CONTRATO DE LOCAÇÃO) EM ANEXO
NOME NO COMPROVANTE: RAFAEL ALVES OLIVEIRA (ASSINANTE)
OBS.:  CLIENTE INFORMOU QUE O MOTIVO DA MUDANÇA, SE DEVE POR CONTA QUE O DONO PAROU DE PAGAR O FINANCIAMENTO, E A CASA FOI LEILOADA. COM O NOVO DONO, O MESMO DEU UM PRAZO DE 30 DIAS PARA O CLIENTE MUDAR E ELE JÁ SOLICITOU A MUDANÇA PARA O NOVO ENDEREÇO.</t>
  </si>
  <si>
    <t>MK END: N/C
MK NOME: ROZA CÉZAR NOGUEIRA DE ALMEIDA (LOCADORA / CPF: 966.304.266-49) - N/C
RAFAEL ALVES OLIVEIRA (LOCATÁRIO E TITULAR/ CPF: 076.795.405-00) - CONTRATOU CONOSCO EM 05/2026, E ATIVO E ADIMPLENTE.</t>
  </si>
  <si>
    <t xml:space="preserve"> ALMIZETE GOMES ROCHA</t>
  </si>
  <si>
    <t>ENDEREÇO NOVO: AVENIDA DOUTOR BEZERRA DE MENEZES, 707
COMPLEMENTO: APTO. 402 - RESIDENCIAL ASTORIA
CEP: 38401426
BAIRRO: JARDIM BRASÍLIA</t>
  </si>
  <si>
    <t>PLANO ATUAL: 1000 MEGA/99,90 CONTRATADO EM 09/2024 COM FIDELIDADE DE 12 MESES. ROTEADOR: ONT TP-LINK XC230
PLANO OFERTADO: 1 GIGA (1.000 MEGA) R$99,90. BENEFÍCIOS: ACESSO GRATUITO AO APP MZTV (CDNTV+) + VOD</t>
  </si>
  <si>
    <t>VICTORIA (FILHA)</t>
  </si>
  <si>
    <t xml:space="preserve">MUD END + ALT PLANO MARIA DE LOURDES MAIA PROT:2605.14882 CARTÃO (JHONATHAN/VICTOR H.) - JARDIM KARAIBA **PRÉDIO COM PRUMADA** //  </t>
  </si>
  <si>
    <t xml:space="preserve"> MARIA DE LOURDES MAIA</t>
  </si>
  <si>
    <t>CRISTIANO MAIA QUINTAO (FILHO)</t>
  </si>
  <si>
    <t>COMPROVANTE DE ENDEREÇO (CEMIG) EM ANEXO
NOME NO COMPROVANTE: CRISTIANO MAIA QUINTAO (FILHO DE MARIA)</t>
  </si>
  <si>
    <t>MK NOMES: 
CRISTIANO MAIA QUINTAO (FILHO DE MARIA) N/C
MK END: N/C</t>
  </si>
  <si>
    <t>MUD END HENRIQUE ALVARES ARAUJO PROT:2605.24777 CARTÃO (BRUNA) - PRESIDENTE ROOSEVELT **PRÉDIO SEM PRUMADA**</t>
  </si>
  <si>
    <t>HENRIQUE ALVARES ARAUJO</t>
  </si>
  <si>
    <t>ENDEREÇO NOVO: AVENIDA JOÃO BERNARDES DE SOUZA, 40
COMPLEMENTO: COND. VILLAGIO FELICITÁ BL A AP 202
CEP: 38401016
BAIRRO: PRESIDENTE ROOSEVELT</t>
  </si>
  <si>
    <t>IVONETE BRASILEIRO GONÇALVES (SOGRA)</t>
  </si>
  <si>
    <t>COMPROVANTE DE ENDEREÇO (CEMIG) EM ANEXO.
NOME NO COMPROVANTE:  HENRIQUE ALVARES ARAUJO (ASSINANTE)</t>
  </si>
  <si>
    <t>MK END: N/C
MK NOMES:
KELLY GONCALVES DE FREITAS (ESPOSA DE HENRIQUE): N/C
IVONETE BRASILEIRO GONÇALVES (SOGRA DE HENRIQUE): N/C</t>
  </si>
  <si>
    <t xml:space="preserve">MUD END + ALT PLANO WASHINGTON ANTONIO PINTO PROT:2605.25083 ISENTO (BRUNA) - SÃO JORGE  //  </t>
  </si>
  <si>
    <t>WASHINGTON ANTONIO PINTO</t>
  </si>
  <si>
    <t>ENDEREÇO NOVO: RUA SERRA DO RONCADOR, 658
COMPLEMENTO: CASA ÚNICA
CEP: 38410412
BAIRRO: SÃO JORGE</t>
  </si>
  <si>
    <t>PLANO ATUAL: 1000 MEGA/99,90 CONTRATADO EM 07/25 COM FIDELIDADE DE 12 MESES. ROTEADOR: ONT TP-LINK X530
PLANO OFERTADO: 1 GIGA (1.000 MEGA) R$99,90. BENEFÍCIOS: ACESSO GRATUITO AO APP MZTV (CDNTV+) + VOD</t>
  </si>
  <si>
    <t>COMPROVANTE DE ENDEREÇO (CEMIG) EM ANEXO
NOME NO COMPROVANTE:  IZANI MENDES DA SILVA (DIZ SER SUA AVÓ)</t>
  </si>
  <si>
    <t>MK END: N/C
MK NOMES:
IZANI MENDES DA SILVA (AVÓ DE WASHINGTON): N/C</t>
  </si>
  <si>
    <t xml:space="preserve">MUD END JOHANNY GABRIELA MARTINEZ PROT:2605.24664 CARTAO (JOSÉ Jr) - NOSSA SENHORA APARECIDA   </t>
  </si>
  <si>
    <t>JOHANNY GABRIELA MARTINEZ</t>
  </si>
  <si>
    <t>ENDEREÇO NOVO: RUA NITERÓI, 408
COMPLEMENTO: CASA UNICA
CEP: 38400769
BAIRRO: NOSSA SENHORA APARECIDA</t>
  </si>
  <si>
    <t>COMPROVANTE DE ENDEREÇO (CONTRATO DE LOCAÇÃO) EM ANEXO
NOME NO COMPROVANTE: JOHANNY GABRIELA MARTINEZ (ASSINANTE)</t>
  </si>
  <si>
    <t>MK END:N/C
MK NOMES:
   MARCELO LUIZ DE OLIVEIRA CPF: 106.008.456-21 (LOCADOR)POSSUI CONEXÃO CANCELADA NO DIA 27/02/2024. CLIENTE INADIMPLENTE, POSSUI DÉBITOS ATRASADOS NO VALOR DE R$ 79,00.
   JOHANNY GABRIELA MARTINEZ CPF: 709.875.152-92 (LOCATÁRIO)TITULAR DA CONEXÃO</t>
  </si>
  <si>
    <t xml:space="preserve">MUD END JOYCE EDUARDA RAMOS DA SILVA PROT:2605.26182 PIX (ANDREZA) - JARDIM IPANEMA // COM FIBRA EXISTENTE </t>
  </si>
  <si>
    <t>JOYCE EDUARDA RAMOS DA SILVA</t>
  </si>
  <si>
    <t>ENDEREÇO NOVO: AVENIDA SIDERAL, 871
COMPLEMENTO: CASA FRENTE
CEP: 38406280
BAIRRO: JARDIM IPANEMA</t>
  </si>
  <si>
    <t>GABRIELLE BEATRIZ RAMOS SOARES (IRMÃ)</t>
  </si>
  <si>
    <t>34 99212-3760</t>
  </si>
  <si>
    <t>COMPROVANTE DE ENDEREÇO (DMAE) EM ANEXO
NOME NO COMPROVANTE:  CHAGAS BEZERRA DE MEDEIROS (ASSINANTE DISSE QUE É SEU AVÔ)
________________________________________________
COMPROVANTE DE ENDEREÇO (BOLETO TIM) EM ANEXO
NOME NO COMPROVANTE:  JOYCE EDUARDA RAMOS DA SILVA (ASSINANTE)</t>
  </si>
  <si>
    <t>MK END: N/C
________________________________________
MK NOMES:
-&gt; CHAGAS BEZERRA DE MEDEIROS (ASSINANTE DISSE QUE É SEU AVÔ): N/C
-&gt; JOYCE EDUARDA RAMOS DA SILVA - CPF 120.946.186-25: ASSINANTE DA CONEXÃO.
::. POSSUI UMA SOLICITAÇÃO DE ADESÃO EM 04/2025 APROVADA PARA ESPOSO CELIO ANTONIO VAZ JUNIOR. -&gt; JOYCE EDUARDA RAMOS DA SILVA (NOVA SOLICITACAO) .::
-&gt; GABRIELLE BEATRIZ RAMOS SOARES (IRMÃ DA ASSINANTE): N/C</t>
  </si>
  <si>
    <t>JOSE MATEUS VALENTIM SANTOS SILVA</t>
  </si>
  <si>
    <t>PENDENCIAS:
- ANEXAR COMPROVANTE
- REALIZAR CONFERENCIAS</t>
  </si>
  <si>
    <t>EDINALDO DOS SANTOS OLIVEIRA (DIVIDE CASA COM JOSE)</t>
  </si>
  <si>
    <t>(74) 99908-5638</t>
  </si>
  <si>
    <t>COMPROVANTE DE ENDEREÇO (CONTRATO DE LOCAÇÃO) EM ANEXO
NOME NO COMPROVANTE: GABRIEL WESLEY SANTOS DA SILVA (ASSINANTE)</t>
  </si>
  <si>
    <t>LAIS LARA DE OLIVEIRA</t>
  </si>
  <si>
    <t>ENDEREÇO NOVO: AVENIDA CLÁSSICA, 222
COMPLEMENTO: COMERCIO
CEP: 38415399
BAIRRO: GUARANI</t>
  </si>
  <si>
    <t>COMPROVANTE DE ENDEREÇO (CONTA DE INTERNET) EM ANEXO
NOME NO COMPROVANTE: LAZARO ALVES ARRUDA (CUNHADO DA ASSINANTE)</t>
  </si>
  <si>
    <t>MK END: N/C
MK NOMES.
- LAIS LARA DE OLIVEIRA 051.458.956-66 (ASSINANTE): POSSUI CONEXÃO ATIVA E ADIMPLENTE.
- LAIS LARA DE OLIVEIRA 051.458.956-66: CANCELAMENTO POR PARTE DO CLIENTE SEM DÉBITOS DIA 07/11/2024 ENTEEREÇO END: RUA DA MAZURKA 320 - TERREO - GUARANI.
- LAIS LARA DE OLIVEIRA - SOBRADO (23.169.794/0001-17): CONEXÃO CANCELADA SEM DÉBITOS 13/07/2022 END: RUA DA MAZURKA 320 - SOBRADO - GUARANI.
- LAZARO ALVES ARRUDA (CUNHADO DA ASSINANTE): N/C</t>
  </si>
  <si>
    <t>ROGERIO BARBOSA DOS SANTOS</t>
  </si>
  <si>
    <t xml:space="preserve">MK END: N/C
MK NOMES: 
CÉLIA APARECIDA RODRIGUES PEREIRA (ESPOSA DE ROGERIO): N/C
JEFFERSON MARQUES GAIA (PROPRIETARIO DO IMOVEL):  POSSUI 2 CONEXÕES ATIVAS CONOSCO (JEFFERSON MARQUES GAIA (EMPORIO NOVA ERA)). 
SEM PENDENCIAS.  </t>
  </si>
  <si>
    <t>MUD END + ALT PLANO EDUARDO DE SOUZA SILVA (ANTONIA/MAE) PROT:2605.26408 ISENTO (IZABELA) - TOCANTINS  //  *TROCA DE EQUIPAMENTO*</t>
  </si>
  <si>
    <t>EDUARDO DE SOUZA SILVA (ANTONIA/MAE)</t>
  </si>
  <si>
    <t>ENDEREÇO NOVO: RUA DOCELINO DE FREITAS COSTA, 1038 
COMPLEMENTO: CASA 02
CEP: 38415228
BAIRRO: TOCANTINS</t>
  </si>
  <si>
    <t>PLANO ATUAL: 1000 MEGA/99,90 CONTRATADO EM 02/2023 COM FIDELIDADE DE 12 MESES. ROTEADOR: GREATEK
PLANO OFERTADO: 1 GIGA (1.000 MEGA) R$99,90. BENEFÍCIOS: ACESSO GRATUITO AO APP MZTV (CDNTV+) + VOD</t>
  </si>
  <si>
    <t>ANTONIA (MÃE DE EDUARDO)</t>
  </si>
  <si>
    <t>COMPROVANTE DE ENDEREÇO (COMPRA E VENDA) EM ANEXO
NOME NO COMPROVANTE: ASSIS DO ROSARIO FERREIRA (ESPOSO DE ANTONIA / COMPRADOR) E ANTONIA AURILENE DE SOUZA (MÃE DE EDUARDO / COMPRADORA)</t>
  </si>
  <si>
    <t>MK END:
GUILHERME MEDEIROS GOMES: CLIENTE CANCELADO EM 09/2025 COM DÉBITOS NÃO PAGOS E EQUIPAMENTOS NÃO DEVOLVIDOS. 
PENDÊNCIA FINANCEIRA: 03 (TRÊS) MENSALIDADES EM ABERTO R$179,70 + MULTA CONTRATUAL R$ 432,00 + EQUIPAMENTO (ONT TP LINK 220) R$599,00. TOTALIZANDO: R$1.210,70.
MK NOME:
LEONARDO AUGUSTO MAESTRI BARROS (VENDEDOR) CPF: 040.120.636-00 - N/C 
ANTONIA AURILENE DE SOUZA (COMPRADORA / MÃE DE EDUARDO) CPF: 781.644.192-
49 - N/C
ASSIS DO ROSARIO FERREIRA (COMPRADOR / ESPOSO DE ANTONIA) CPF: 914.694.812-00 -  N/C
ANA PAULA APARECIDA DA SILVA (CORRETORA) CPF: 085.524.976-54 - N/C 
FLAVIA APARECIDA GUIMARAES (CORRETORA) CPF: 850.721.841-53 - N/C
EZEQUIEL INACIO SILVA (TESTEMUNHA 1) CPF: 048.987.266-23 - N/C
REGINALDO SOARES DE OLIVEIRA (TESTEMUNHA 2) CPF: 904.660.716-04 - N/C</t>
  </si>
  <si>
    <t>ANDREIA ALIDICE ALBINO FARIA</t>
  </si>
  <si>
    <t>ENDEREÇO NOVO: RUA ERCÍLIA LUCIA DE MACEDO, 82
COMPLEMENTO: CASA FRENTE
CEP: 38415366
BAIRRO: TOCANTINS</t>
  </si>
  <si>
    <t>COMPROVANTE DE ENDEREÇO (CEMIG) EM ANEXO
NOME NO COMPROVANTE:  VALTER FERREIRA CORTES (PROPRIETÁRIO DA CASA)</t>
  </si>
  <si>
    <t>MK END:
- FLAVIA ALMEDA LORETI: CONEXÃO CANCELADA SEM DÉBITOS 22/09/2022
MK NOMES
- VALTER FERREIRA CORTES (PROPRIETÁRIO DA CASA): N/C
- ANDREIA ALIDICE ALBINO FARIA (ASSINANTE): POSSUI CONEXÃO ATIVA E ADIMPLENTE.
 *HOUVE PEDIDO DE CANCELAMENTO 14/03/2025 POR MOTIVO DE MUDANÇA DE ENDEREÇO PARA NOVO ENDEREÇO ONDE JÁ HAVIA CONEXÃO, PORÉM NÃO CONCLUÍDO APÓS INFORMAÇÃO DA MULTA DE FIDELIDADE. CONEXÃO ENTÃO PERMANECEU ATIVA.</t>
  </si>
  <si>
    <t>MUD END OYST PESSOA MASCARENHAS PROT:2605.25199 DINHEIRO (ANDREZA) - GUARANI //</t>
  </si>
  <si>
    <t xml:space="preserve">OYST PESSOA MASCARENHAS </t>
  </si>
  <si>
    <t>ENDEREÇO NOVO: RUA DA BATUCADA, 480
COMPLEMENTO: COMÉRCIO
CEP: 38415411
BAIRRO: GUARANI</t>
  </si>
  <si>
    <t>COMPROVANTE DE ENDEREÇO (CEMIG) EM ANEXO
NOME NO COMPROVANTE: MARIA DIVINA DE OLIVEIRA AMARAL (DISSE QUE É A ANTIGA DONA DO IMÓVEL)</t>
  </si>
  <si>
    <t>MK END: N/C
________________________________________
MK NOMES:
-&gt; MARIA DIVINA DE OLIVEIRA AMARAL (DISSE QUE É A ANTIGA DONA DO IMÓVEL): N/C
-&gt; IREIDES FERNANDES (ESPOSA DO ASSINANTE): N/C</t>
  </si>
  <si>
    <t>ANDERSON ROBERTO DA SILVA</t>
  </si>
  <si>
    <t xml:space="preserve">MUD END + ALT PLANO LIZENA ALBERTINA MARTINS BATISTA PROT:2605.28070 ISENTO (JOSÉ Jr) - PACAEMBU  //  </t>
  </si>
  <si>
    <t>LIZENA ALBERTINA MARTINS BATISTA</t>
  </si>
  <si>
    <t>Sex</t>
  </si>
  <si>
    <t>ENDEREÇO NOVO: RUA QUATORZE DE JULHO, 174
COMPLEMENTO: CASA UNICA
CEP: 38401515
BAIRRO: PACAEMBU</t>
  </si>
  <si>
    <t>COMPROVANTE DE ENDEREÇO (CONTRATO DE LOCAÇÃO) EM ANEXO
NOME NO COMPROVANTE: MARILDA ALEXANDRE BATISTA (SOGRA DA TITULAR DA CONEXÃO)</t>
  </si>
  <si>
    <t>MK END:N/C
MK NOMES:
  WANILDE MARIA DA SILVA CPF: 306.061.116-68 (LOCADORA)N/C
  MARILDA ALEXANDRE BATISTA CPF: 700.418.736-53 (LOCATÁRIA)SOGRA DA TITULAR DA CONEXÃO N/C
  POLO ALUGUÉIS IMOBILIÁRIOS LTDA CNPJ: 36.441.237/0001-55 (ADMINISTRADORA)N/C
  ROBSON ALESSANDRO MACHADO GONÇALVES CPF: 095.699.646-93 (REPRESENTANTE LEGAL DA POLO ALUGUÉIS IMOBILIÁRIOS LTDA)N/C
  LEANDRA CRISTINA ANCHIETA (LOCADORA REPRESENTADA PELA POLO ALUGUÉIS IMOBILIÁRIOS LTDA)N/C
  SARAH JÚLIA DE O. LIMA CPF: 127.562.226-74 (TESTEMUNHA)N/C</t>
  </si>
  <si>
    <t>VALIDAR HOJE</t>
  </si>
  <si>
    <t xml:space="preserve">MUD END NAYARA NOGUEIRA SANTOS PROT:2605.27646 CARTÃO (ANDREZA) - MARIA REZENDE **SOBRADO** </t>
  </si>
  <si>
    <t>NAYARA NOGUEIRA SANTOS</t>
  </si>
  <si>
    <t>ENDEREÇO NOVO: RUA ALONSO FORTUOSO DE PINHO, 289
COMPLEMENTO: SOBRADO
CEP: 38401851
BAIRRO: MARIA REZENDE</t>
  </si>
  <si>
    <t>ALISSON PABLO SILVA FRAGA (ESPOSO)</t>
  </si>
  <si>
    <t>34 99713-6256</t>
  </si>
  <si>
    <t>COMPROVANTE DE ENDEREÇO (CEMIG) EM ANEXO
NOME NO COMPROVANTE:  LUIZ FERNANDO MARTINS ALVES (DISSE QUE É O ANTIGO INQUILINO)</t>
  </si>
  <si>
    <t xml:space="preserve">MK END:
-&gt; RODRIGO FREIRES ALVES - CPF 706.244.386-78 (COMPLEMENTO "FUNDOS"): SOLICITAÇÃO DE ADESÃO EM 12/2024 REPROVADA.
-&gt; LUIZ FERNANDO MARTINS ALVES - CPF 703.148.446-43 (DISSE QUE É O ANTIGO INQUILINO // COMPLEMENTO "FRENTE"): CONEXÃO ATIVA DESDE 05/2021 E ATUALMENTE BLOQUEADA (2 MENSALIDADES PENDENTES).
________________________________________
MK NOMES:
-&gt; ALISSON PABLO SILVA FRAGA (ESPOSO DA ASSINANTE) - CPF 101.174.986-61: CONEXÃO ATIVA DESDE 01/2026 E ADIMPLENTE COM A EMPRESA.
-&gt; LUIZ FERNANDO MARTINS ALVES - CPF 703.148.446-43 (DISSE QUE É O ANTIGO INQUILINO): ALÉM DA CONEXÃO ATIVA NO ENDEREÇO, POSSUI OUTRAS DUAS CONEXÕES.
::. LUIZ FERNANDO MARTINS ALVES (DEBORA/TIA): CONEXÃO ATIVA DESDE 04/2026 E ADIMPLENTE COM A EMPRESA .::
::. LUIZ FERNANDO MARTINS ALVES (IZABELA-NAMORADA): CONEXÃO ATIVA DESDE 01/2026 E ADIMPLENTE COM A EMPRESA .:: </t>
  </si>
  <si>
    <t>MUD END WESLEY SOUZA MARRAMA PROT:2605.28137 PIX (RAMONY) - PLANALTO</t>
  </si>
  <si>
    <t xml:space="preserve"> WESLEY SOUZA MARRAMA</t>
  </si>
  <si>
    <t>ENDEREÇO DO COMPROVANTE DIFERENTE DO ENDEREÇO DO PROTOCOLO, FAVOR VERIFICAR ;
CONFERÊNCIAS NÃO REALIZADAS</t>
  </si>
  <si>
    <t>ENDEREÇO NOVO: RUA JOSÉ DE PAULA GALVÃO, 648
COMPLEMENTO: CASA FRENTE
CEP: 38413225
BAIRRO: PLANALTO</t>
  </si>
  <si>
    <t>VITORIA (ESPOSA DE WESLEY)</t>
  </si>
  <si>
    <t>(34) 98442-2642</t>
  </si>
  <si>
    <t>COMPROVANTE DE ENDEREÇO (CEMIG) EM ANEXO
NOME NO COMPROVANTE: JOSE ALEIXO RODRIGUES (PROPRIETARIO DO IMOVEL)</t>
  </si>
  <si>
    <t>MUD END DEIVID ENNES CARIAO DOS SANTOS PROT:2605.28586 CARTAO (RONALD) -  NOVA UBERLÂNDIA</t>
  </si>
  <si>
    <t>DEIVID ENNES CARIAO DOS SANTOS</t>
  </si>
  <si>
    <t>COMPROVANTE NÃO ANEXADO
PROBABILIDADE DE SER UMA CASA MUITO GRANDE, PODENDO SER NECESSÁRIO OFERTA DE EXTEND</t>
  </si>
  <si>
    <t>ENDEREÇO NOVO: RUA DOS PICA PAUS, 1750
COMPLEMENTO: ALAMEDA DOS ARAÇÁS, UNID. 250
CEP: 38412641
BAIRRO: NOVA UBERLÂNDIA</t>
  </si>
  <si>
    <t>COMPROVANTE DE ENDEREÇO (CONTRATO DE LOCAÇÃO) EM ANEXO
NOME NO COMPROVANTE: NATALIA DE PAIVA TAVARES (ESPOSA DE DEIVID)</t>
  </si>
  <si>
    <t>MK END; - N/C
MK NOME;
DEIVID ENNES CARIAO DOS SANTOS (ASSINANTE) - CONEXÃO ATIVA E ADIMPLENTE NATALIA DE PAIVA TAVARES (ESPOSA DE DEIVID) - N/C
LUIZ CARLOS DELLA PENNA 150.542.096-20 (LOCADOR) - N/C
LEANDRO PEREIRA DELLA PENNA 038.197.166-02 (LOCADOR) - N/C
MARYANA PEREIRA DELLA PENNA 087.018.976-08 (LOCADOR) - N/C
SABRINA PEREIRA DELLA PENNA 044.649.266-30 (LOCADOR) - N/C
IVAN NEGÓCIOS IMOBILIÁRIOS LTDA (IMOBILIARIA) - N/C
IVAN GRACIANO DA COSTA FILHO 040.246.836-83 (SÓCIO) - N/C
RICARDO GRACIANO DA COSTA 042.613.186-01 (SÓCIO)   - N/C
VICENTE PAULO FERREIRA 435.173.826-04  (SÓCIO)   - N/C
JOYCE APARECIDA DIAS 058.367.476-36  (SÓCIO)   - N/C
TAIZ LAMARA BALESTERE TEIXEIRA ALVES 320.333.798-33  (SÓCIO)   - N/C
VICENTE PAULO FERREIRA (TESTEMUNHA)  - N/C</t>
  </si>
  <si>
    <t>NATHANNE OLIVEIRA MARTINS</t>
  </si>
  <si>
    <t>ENDEREÇO NOVO: RUA MAURO COTTA PACHECO, 31
COMPLEMENTO: CASA ÚNICA
CEP: 38415083
BAIRRO: TAIAMAN</t>
  </si>
  <si>
    <t>COMPROVANTE DE ENDEREÇO (DMAE) EM ANEXO
NOME NO COMPROVANTE: SHEILA APARECIDA OLIVEIRA SILVA MARTINS (MÃE DA TITULAR)</t>
  </si>
  <si>
    <t>MK END -
SHEILA APARECIDA OLIVEIRA SILVA MARTINS (MÃE DA TITULAR) CPF 951.827.486-04 - PROCESSO ADESÃO REPROVADO NA DATA 21/11/2022 POR DÉBITOS DE SEU CONJUGE EDIMAR MARTINS DA SILVA EM ABERTO COM A EMPRESA
EDIMAR MARTINS DA SILVA (CONJUGE DE SHEILA MÃE DA TITULAR) CPF 849.231.306-44 - CANCELAMENTO E RECOLHIMENTO DE EQUIPAMENTOS EFETUADOS NA DATA DE 06/04/2021 COM PROTESTO EM CARTÓRIO POR INADIMPLENCIA COM A EMPRESA NO VALOR DE 1.729,77 REAIS DESDE 01/07/2020.
MK NOMES -
NATHANNE OLIVEIRA MARTINS - CPF 115.753.556-98: ASSINANTE DA CONEXÃO - ADIMPLENTE COM A EMPRESA.
JOÃO PAULO BRITO NOGUEIRA (DIZ SER NAMORADO) - N/C</t>
  </si>
  <si>
    <t>LETICIA CARMO MACHADO</t>
  </si>
  <si>
    <t>ENDEREÇO NOVO: RUA FRANCISCA DE ASSIS VALÉRIO, 146
COMPLEMENTO:  APTO 5 BL 01 - CONDOMÍNIO RESIDENCIAL SOLAR DO VALE
CEP: 38418493
BAIRRO: LOTEAMENTO LUIZOTE DE FREITAS IV</t>
  </si>
  <si>
    <t>PLANO ATUAL: 600 MEGA/79,90 CONTRATADO EM 11/2024 COM FIDELIDADE DE 12 MESES. ROTEADOR: ONT TP-LINK XC230
PLANO OFERTADO: 600 MEGA/79,90. BENEFÍCIOS: ACESSO GRATUITO AO APP MZTV (CDNTV+)</t>
  </si>
  <si>
    <t>RESERVA ANDREZA - MUD END EDITE AYRES PEREIRA PROT: 2605.24096 ISENTO (ANDREZA) - JARDIM PATRÍCIA</t>
  </si>
  <si>
    <t>EDITE AYRES PEREIRA</t>
  </si>
  <si>
    <t>PENDENTE COMPROVANTE DE RESIDENCIA.</t>
  </si>
  <si>
    <t>Qui</t>
  </si>
  <si>
    <t>ENDEREÇO NOVO: RUA JOÃO RODRIGUES DE CASTRO, 55
COMPLEMENTO: PARQUE TRILHAS DA SERRA - BLOCO 21, APTO 204
CEP: 38414122
BAIRRO: JARDIM PATRÍCIA</t>
  </si>
  <si>
    <t>EM EXECUÇÃO</t>
  </si>
  <si>
    <t xml:space="preserve"> JORGE MIGUEL GONZALEZ PEREZ </t>
  </si>
  <si>
    <t>(34) 99816-9834</t>
  </si>
  <si>
    <t>Sáb</t>
  </si>
  <si>
    <t>ENDEREÇO NOVO: RUA NITERÓI, 540
COMPLEMENTO: CASA FUNDO
CEP: 38400769
BAIRRO: NOSSA SENHORA APARECIDA</t>
  </si>
  <si>
    <t>NATALIA CARDIVILLO (EX-ESPOSA)</t>
  </si>
  <si>
    <t>(34) 99930-7454</t>
  </si>
  <si>
    <t>HEMILY MARIA FERREIRA PAULINO DA SILVA - CADASTRO REPROVADO</t>
  </si>
  <si>
    <t>VALIDAR DEPOIS</t>
  </si>
  <si>
    <t>KELEN CRISTINA MENEZES (GLAM STUDIO)</t>
  </si>
  <si>
    <t>ENDEREÇO NOVO: RUA MARTE, 241
COMPLEMENTO: COMÉRCIO
CEP: 38401386
BAIRRO: JARDIM BRASÍLIA
mz.andreza
Privado</t>
  </si>
  <si>
    <t>MILLENA DA SILVA VASCONCELOS (NORA)</t>
  </si>
  <si>
    <t>(34 99146-5572</t>
  </si>
  <si>
    <t>COMPROVANTE DE ENDEREÇO (CONTRATO DE LOCAÇÃO) EM ANEXO.
NOME NO COMPROVANTE:  LUDMILLA PAULA PAIXÃO (DISSE QUE É SÓCIA DA EMPRESA)
____________________________________________________________
COMPROVANTE DE ENDEREÇO (DMAE) EM ANEXO.
NOME NO COMPROVANTE:  CESAR DE ECHAQUE GONCALVES (DISSE QUE É O DONO DO IMÓVEL)</t>
  </si>
  <si>
    <t>MK END:
-&gt; MATHEUS SILVA BORGES - CPF 016.211.996-81: CONEXÃO CANCELADA EM 08/2024 (DÉBITOS R$74,90/DEVOLVEU OS EQUIPAMENTOS)
-&gt; VANUSA LIMA GONCALVES DE ANDRADE COSTA (LOCADORA) - CPF 079.009.056-26: CONEXÃO CANCELADA EM 04/2023 (SEM DÉBITOS/DEVOLVEU OS EQUIPAMENTOS).
_____________________________________
MK NOMES:
-&gt; CESAR DE ECHAQUE GONCALVES (DISSE QUE É O DONO DO IMÓVEL): N/C
-&gt; VANUSA LIMA GONCALVES DE ANDRADE COSTA (OLIVA/MAE) (LOCADORA) CPF: 079.009.056-26: CONEXÃO CANCELADA EM 04/2025 (SEM DÉBITOS/DEVOLVEU OS EQUIPAMENTOS).
-&gt; LUDMILLA PAULA PAIXÃO (DISSE QUE É SÓCIA DA EMPRESA) - CPF 060.090.176-96: N/C
-&gt; MILLENA DA SILVA VASCONCELOS (NORA DA ASSINANTE) - CPF: 702.531.736-55: SOLICITAÇÃO DE ADESÃO EM 05/2025 REPROVADA.
:. NOVA SOLICITAÇÃO DE ADESÁO EM 04/2026 -- MILLENA DA SILVA VASCONCELOS (GLAM STUDIO) APROVADO PARA SOGRA KELEN CRISTINA MENEZES.</t>
  </si>
  <si>
    <t xml:space="preserve">MUD END + ALT PLANO TENEZ ECOMMERCE LTDA PROT:2605.26818 ISENTO (RONALD) - TABAJARAS **PRÉDIO SEM PRUMADA - ENVIAR TÉCNICO DUPLADO** //  </t>
  </si>
  <si>
    <t>TENEZ ECOMMERCE LTDA</t>
  </si>
  <si>
    <t>JA VALIDADO ANTERIORMENTE POR KAROL</t>
  </si>
  <si>
    <t>EXECUTADA</t>
  </si>
  <si>
    <t>MUD END + ALT PLANO GLEISON JULIO SOUZA CUNHA PROT:2605.14873 ISENTO (ANDREZA) - JARDIM BRASÍLIA  //  *TROCA DE EQUIPAMENTO*</t>
  </si>
  <si>
    <t>GLEISON JULIO SOUZA CUNHA</t>
  </si>
  <si>
    <t> 34984347763</t>
  </si>
  <si>
    <t> ENDEREÇO NOVO: RUA JÚPITER, 965
COMPLEMENTO: CASA ÚNICA
CEP: 38401374
BAIRRO: JARDIM BRASÍLIA</t>
  </si>
  <si>
    <t> &lt;b&gt;ONU = DATA // CONECTOR = VERDE.&lt;/b&gt;</t>
  </si>
  <si>
    <t> PLANO ATUAL: 500 MEGA/99,90 CONTRATADO EM 07/2021 COM FIDELIDADE DE 12 MESES. ROTEADOR: GREATEK
PLANO OFERTADO: 1 GIGA (1.000 MEGA) R$99,90. BENEFÍCIOS: ACESSO GRATUITO AO APP MZTV (CDNTV+) + VOD</t>
  </si>
  <si>
    <t> COMPROVANTE DE ENDEREÇO (CEMIG) EM ANEXO
NOME NO COMPROVANTE: GLEISON JULIO SOUZA CUNHA (ASSINANTE)</t>
  </si>
  <si>
    <t> MK END: N/C
________________________________________
MK NOMES:
-&gt; GLEISON JULIO SOUZA CUNHA - CPF 112.736.476-61: ASSINANTE DA CONEXÃO.</t>
  </si>
  <si>
    <t>MUD END ALEXANDRE CARDOSO SANTOS ROBAINA SALINO PROT:2605.30498 CARTÃO (VICTOR H.) - JARDIM PATRÍCIA  / PENDENTE CONFIRMAÇÃO DO ASSINANTE E MENSALIDADE</t>
  </si>
  <si>
    <t>ALEXANDRE CARDOSO SANTOS ROBAINA SALINO</t>
  </si>
  <si>
    <t> 34999500310</t>
  </si>
  <si>
    <t> ENDEREÇO NOVO: RUA MARIA LOBATO FREITAS, 197
COMPLEMENTO: CASA UNICA
CEP: 38414104
BAIRRO: JARDIM PATRÍCIA</t>
  </si>
  <si>
    <t> &lt;b&gt;ONT = ONT ZTE // CONECTOR = VERDE.&lt;/b&gt;</t>
  </si>
  <si>
    <t>GABRIELA ROBAINA SALINO CARDOSO SANTOS (ESPOSO)</t>
  </si>
  <si>
    <t> 34998382910</t>
  </si>
  <si>
    <t> COMPROVANTE DE ENDEREÇO (CEMIG) EM ANEXO.
NOME NO COMPROVANTE:  SHIRLEY ALVES FERNANDES  (DISSE SER PROPRIETÁRIA DO IMOVEL)</t>
  </si>
  <si>
    <t> MK NOME: 
SHIRLEY ALVES FERNANDES (DISSE SER PROPRIETÁRIA DO IMOVEL) - N/C 
MK END: N/C</t>
  </si>
  <si>
    <t xml:space="preserve">MUD END + ALT PLANO ANA CANDIDA DE OLIVEIRA DUARTE PROT:2605.29893 ISENTO (RONALD) - VIGILATO PEREIRA **SOBRADO** //  </t>
  </si>
  <si>
    <t>ANA CANDIDA DE OLIVEIRA DUARTE</t>
  </si>
  <si>
    <t> 34991580307</t>
  </si>
  <si>
    <t>ENDEREÇO NOVO: RUA TAPUIOS, 525 
COMPLEMENTO: APT. 202 
CEP: 38408434
BAIRRO: VIGILATO PEREIRA</t>
  </si>
  <si>
    <t> &lt;b&gt;ONT = ONT TP LINK 230 // CONECTOR = VERDE.&lt;/b&gt;</t>
  </si>
  <si>
    <t xml:space="preserve"> PLANO ATUAL: 600 MEGA/79,90 CONTRATADO EM 04/2025 COM FIDELIDADE DE 12 MESES. ROTEADOR: ONT TP-LINK XC230
PLANO OFERTADO: 600 MEGA/79,90. BENEFÍCIOS: ACESSO GRATUITO AO APP MZTV (CDNTV+)
</t>
  </si>
  <si>
    <t> COMPROVANTE DE ENDEREÇO (CONTRATO DE LOCAÇÃO) EM ANEXO
NOME NO COMPROVANTE: PAULO HENRIQUE DE OLIVEIRA PRADO (ESPOSO)</t>
  </si>
  <si>
    <t> MK END; - N/C
MK NOME; 
ANA CANDIDA DE OLIVEIRA DUARTE 106.191.486.08 (ASSINANTE)
CONEXÃO ATIVA E ADIMPLENTE
PAULO HENRIQUE DE OLIVEIRA PRADO 301.058.458-09 (ESPOSO DE ANA) - N/C
ELSO CORRÊA SILVA 040.262.036-46 (LOCADOR) - N/C
EUSTAQUIA MARIA DE OLIVEIRA PRADO 324.298.638-55 (FIADOR) - N/C
VALTER PEREIRA PRADO 359.085.998-91 (FIADOR) - N/C</t>
  </si>
  <si>
    <t xml:space="preserve">MUD END + ALT PLANO CLEONICE SANTANA LIMA PROT:2605.30629 ISENTO (ANDREZA) - MARTINS  //  </t>
  </si>
  <si>
    <t>CLEONICE SANTANA LIMA</t>
  </si>
  <si>
    <t>VALIDAÇÃO OK 
MARIA DO CARMO SANTANA LEITE
INADIMPLENTE EM OUTRO ENDEREÇO (Rua Buriti Alegre, 220) 
(R$599,00) - INFORMAÇÃO ACRESCENTADA VISTO QUE CONEXÃO FOI FEITA A PARTIR DE UMA SOLICITAÇÃO EM NOME DA ASSINANTE DESDE CONTRATO</t>
  </si>
  <si>
    <t> 34998059899</t>
  </si>
  <si>
    <t> ENDEREÇO NOVO: RUA RAFAEL RINALDI, 1061
COMPLEMENTO: CASA ÚNICA
CEP: 38400384
BAIRRO: MARTINS</t>
  </si>
  <si>
    <t>COMPROVANTE DE ENDEREÇO (CEMIG) EM ANEXO
NOME NO COMPROVANTE: CLEONICE SANTANA LIMA (ASSINANTE)</t>
  </si>
  <si>
    <t> MK END: N/C
____________________________________________________
MK NOMES:
-&gt; CLEONICE SANTANA LIMA - CPF 104.318.096-66: ASSINANTE DA CONEXÃO.
::. POSSUI OUTRO CADASTRO - CLEONICE SANTANA LIMA (MARIA DO CARMO/ MAE) - SOLICITAÇÃO DE ADESÃO EM 04/2024 APROVADO PARA MAE MARIA DO CARMO SANTANA LEITE, OUTRA SOLICITAÇÃO DE ADESÃO EM 02/2025 REPROVADA.::</t>
  </si>
  <si>
    <t xml:space="preserve">
MUD END FLAVIA ALVES CARDOSO PROT:2605.29557 PIX (JHONATAN) - RESIDENCIAL INTEGRAÇÃO   </t>
  </si>
  <si>
    <t>FLAVIA ALVES CARDOSO</t>
  </si>
  <si>
    <t>ENDEREÇO NOVO: RUA ANA MARIA DE JESUS, 395
COMPLEMENTO: CASA UNICA 
CEP: 38407554
BAIRRO: RESIDENCIAL INTEGRAÇÃO</t>
  </si>
  <si>
    <t>COMPROVANTE DE ENDEREÇO (DMAE) EM ANEXO
NOME NO COMPROVANTE: ARMANDO MONTEIRO DA SILVA ( EX DONO DA RESIDÊNCIA)</t>
  </si>
  <si>
    <t xml:space="preserve">MK END
N/C
MK NOME
FLAVIA ALVES CARDOSO (ASSINANTE DA CONEXÃO)
ARMANDO MONTEIRO DA SILVA (DISSE QUE É O ANTIGO DONO): N/C </t>
  </si>
  <si>
    <t xml:space="preserve">MUD END ANDRE NICOLICHE PROT:2605.23342 PIX (HALYSON/RONALD) - MORUMBI   </t>
  </si>
  <si>
    <t>ANDRE NICOLICHE</t>
  </si>
  <si>
    <t>ENDEREÇO NOVO: RUA COXINILHO, 813
COMPLEMENTO: CASA 2
CEP: 38407144
BAIRRO: MORUMBI</t>
  </si>
  <si>
    <t>COMPROVANTE DE ENDEREÇO (CONTRATO DE LOCAÇÃO) EM ANEXO
NOME NO COMPROVANTE: ANDRE NICOLICHE (ASSINANTE)
COMPROVANTE DE ENDEREÇO (CONTRATO DE LOCAÇÃO) EM ANEXO
NOME NO COMPROVANTE: JESSYCA REBEKA COSTITE NICOLICHE (DISSE SER SUA FILHA)</t>
  </si>
  <si>
    <t>MK END; - MARIA ANTUNES DE SOUZA (PROPRIETARIA) 763.175.106-44 - CLIENTE COM CONEXÃO CANCELADA POR INADIMPLÊNCIA EM 02/2025 E DÉBITOS PENDENTES COM A EMPRESA (1.013,45) EQUIPAMENTOS NÃO DEVOLVIDOS. FOI INSTALADA NA CASA DOS FUNDOS.
MK NOME;
ANDRE NICOLICHE 051.760.926-62 (ASSINANTE) - CLIENTE COM CONEXÃO ATIVA E ADIMPLENTE
JESSYCA REBEKA COSTITE NICOLICHE (FILHA): N/C</t>
  </si>
  <si>
    <t>JESSICA LIDIANE CORREA DE ANDRADE DA SILVA</t>
  </si>
  <si>
    <t>ENDEREÇO NOVO: AVENIDA DOS PÁSSAROS, 576
COMPLEMENTO: CASA 3 (FUNDO)
CEP: 38412258
BAIRRO: JARDIM DAS PALMEIRAS</t>
  </si>
  <si>
    <t>COMPROVANTE DE ENDEREÇO (CEMIG) EM ANEXO
NOME NO COMPROVANTE: MARLY DAVI FRANCO (DISSE SER A DONA DO IMÓVEL)
COMPLEMENTO: CASA 1</t>
  </si>
  <si>
    <t>MK END: N/C
MK NOME: MARLY DAVI FRANCO (DISSE SER A DONA DO IMÓVEL) - N/C
JESSICA LIDIANE CORREA DE ANDRADE DA SILVA (TITULAR) - POSSUI CONEXÃO CONOSCO DESDE 11/2023, ATIVA E ADIMPLENTE.</t>
  </si>
  <si>
    <t xml:space="preserve">MUD END NATHANNE OLIVEIRA MARTINS PROT:2605.27729 CARTAO (PEDRO / LAUREN) - TAIAMAN   </t>
  </si>
  <si>
    <t>VALIDAÇÃO OK 
débitos do pai quitados</t>
  </si>
  <si>
    <t>MK END - 
SHEILA APARECIDA OLIVEIRA SILVA MARTINS (MÃE DA TITULAR) CPF 951.827.486-04 - PROCESSO ADESÃO REPROVADO NA DATA 21/11/2022 POR DÉBITOS DE SEU CONJUGE EDIMAR MARTINS DA SILVA EM ABERTO COM A EMPRESA 
EDIMAR MARTINS DA SILVA (CONJUGE DE SHEILA MÃE DA TITULAR) CPF 849.231.306-44 - CANCELAMENTO E RECOLHIMENTO DE EQUIPAMENTOS EFETUADOS NA DATA DE 06/04/2021 COM PROTESTO EM CARTÓRIO POR INADIMPLENCIA COM A EMPRESA NO VALOR DE 1.729,77 REAIS DESDE 01/07/2020.
MK NOMES -
NATHANNE OLIVEIRA MARTINS - CPF 115.753.556-98: ASSINANTE DA CONEXÃO - ADIMPLENTE COM A EMPRESA.
JOÃO PAULO BRITO NOGUEIRA (DIZ SER NAMORADO) - N/C</t>
  </si>
  <si>
    <t xml:space="preserve">MUD END RAPHAEL FAGUNDES DE QUELUZ PROT:2605.25996 PIX (ANDREZA) - RESIDENCIAL INTEGRAÇÃO **PRÉDIO COM PRUMADA** </t>
  </si>
  <si>
    <t xml:space="preserve">RAPHAEL FAGUNDES DE QUELUZ </t>
  </si>
  <si>
    <t>ENDEREÇO NOVO: AVENIDA DA ESPERANÇA, 390
COMPLEMENTO: RESIDENCIAL VARANDA DO CAMPO - APTO 1001
CEP: 38407532
BAIRRO: RESIDENCIAL INTEGRAÇÃO</t>
  </si>
  <si>
    <t>COMPROVANTE DE ENDEREÇO (CONTRATO DE LOCAÇÃO) EM ANEXO
NOME NO COMPROVANTE: EVILLYN RODRIGUES FERREIRA (ASSINANTE DISSE QUE É SUA ESPOSA)</t>
  </si>
  <si>
    <t>MK END: N/C
________________________________________
MK NOMES:
-&gt; AZM EMPREENDIMENTOS IMOBILIÁRIOS LTDA (LOCADOR) - CNPJ 09.662.879/0001-01: SOLICITAÇÃO DE ADESÃO EM 01/2026 CANCELADA PELO CLIENTE.
-&gt; ALAIDES AZEVEDO MENDES (SÓCIO REPRESENTANTE / TITULAR) - CPF 530.037.641-87: CONEXÃO ATIVA DESDE 01/2026 E ADIMPLENTE COM A EMPRESA.
-&gt; EVILLYN RODRIGUES FERREIRA (LOCATÁRIA/ASSINANTE DISSE QUE É SUA ESPOSA) - CPF 061.522.321-47: N/C
-&gt; RAPHAEL FAGUNDES DE QUELUZ (TESTEMUNHA) - CPF 036.126.501-81: ASSINANTE DA CONEXÃO.</t>
  </si>
  <si>
    <t xml:space="preserve">MUD END + ALT PLANO PAULLANDRESSA LEMES DE ASSUNCAO PROT:2605.30710 ISENTO (ANDREZA) - SÃO JORGE  //  </t>
  </si>
  <si>
    <t>ENDEREÇO NOVO: RUA SERRA NEGRA, 1016
COMPLEMENTO: CASA 01
CEP: 38410402
BAIRRO: SÃO JORGE</t>
  </si>
  <si>
    <t xml:space="preserve">PLANO ATUAL: 600 MEGA/79,90 CONTRATADO EM 08/2025 COM FIDELIDADE DE 12 MESES. ROTEADOR: ONT TP-LINK XC220
PLANO OFERTADO: 600 MEGA/79,90. BENEFÍCIOS: ACESSO GRATUITO AO APP MZTV (CDNTV+)
</t>
  </si>
  <si>
    <t>COMPROVANTE DE ENDEREÇO (CEMIG) EM ANEXO
NOME NO COMPROVANTE: FRANCISCO XAVIER DA SILVA (DISSE QUE É O DONO DO IMÓVEL)</t>
  </si>
  <si>
    <t>MK END: N/C
____________________________________________________
MK NOMES:
-&gt; FRANCISCO XAVIER DA SILVA (DISSE QUE É O DONO DO IMÓVEL): N/C</t>
  </si>
  <si>
    <t xml:space="preserve">MUD END + ALT PLANO MILVAN NUNES RIBEIRO (BARBEARIA WM CABELO) PROT:2605.31120 ISENTO (ANDREZA) - MANSOUR  //  </t>
  </si>
  <si>
    <t>MILVAN NUNES RIBEIRO (BARBEARIA WM CABELO)</t>
  </si>
  <si>
    <t>ENDEREÇO NOVO: RUA RIO JEQUITINHONHA, 303
COMPLEMENTO: LOJA 01 (FACHADA DE N° 305)
CEP: 38414490
BAIRRO: MANSOUR</t>
  </si>
  <si>
    <t>COMPROVANTE DE ENDEREÇO (CONTRATO DE LOCAÇÃO) EM ANEXO
NOME NO COMPROVANTE: MILVAN NUNES RIBEIRO (ASSINANTE)</t>
  </si>
  <si>
    <t>MK END:
-&gt; KEROLAINNE APARECIDA RODRIGUES PARREIRA (ESTUDIO KEROLAINNE RODRIGUES) - CPF 021.357.736-46: CONEXÃO CANCELADA EM 07/2024 (DÉBITOS R$1.362,95 // NÃO DEVOLVEU OS EQUIPAMENTOS)
____________________________________________________
MK NOMES:
-&gt; VALDEMAR MANUEL DANTAS (LOCADOR) - CPF 393.830.164-34: N/C
-&gt; MILVAN NUNES RIBEIRO (LOCATÁRIO) - CPF 015.189.446-98: ASSINANTE DA CONEXÃO.
::. POSSUI OUTRA CONEXÃO - MILVAN NUNES RIBEIRO - ATIVA DESDE 04/2026 E ADIMPLENTE COM A EMPRESA.::</t>
  </si>
  <si>
    <t>TATIANA LUANA DA SILVA</t>
  </si>
  <si>
    <t>ENDEREÇO NOVO: RUA PROFESSORA CELEIDA SANTOS DE PAULA, 214
COMPLEMENTO: CASA 01
CEP: 38401664
BAIRRO: JARDIM BRASÍLIA</t>
  </si>
  <si>
    <t>COMPROVANTE DE ENDEREÇO (CEMIG) EM ANEXO
NOME NO COMPROVANTE: LOURENCO DA SILVA ARAUJO (DISSE QUE É O DONO DO IMÓVEL)</t>
  </si>
  <si>
    <t>MK END: N/C
____________________________________________________
MK NOMES:
-&gt; LOURENCO DA SILVA ARAUJO (DISSE QUE É O DONO DO IMÓVEL): N/C</t>
  </si>
  <si>
    <t>MUD END EDNA DE OLIVEIRA FERREIRA PROT:.2605.31096 DINHEIRO (LAUREN) - NOSSA SENHORA APARECIDA *AGUARDANDO VALIDAÇÃO ASSINANTE* *PODE ANTECIPAR PARA ANTES DE 15:00 HORAS*</t>
  </si>
  <si>
    <t>EDNA DE OLIVEIRA FERREIRA</t>
  </si>
  <si>
    <t>ENDEREÇO NOVO: RUA NITERÓI, 540
COMPLEMENTO: CASA FRENTE
CEP: 38400769
BAIRRO: NOSSA SENHORA APARECIDA</t>
  </si>
  <si>
    <t>PLANO ATUAL: 600 MEGA/79,90 CONTRATADO EM 08/2025 COM FIDELIDADE DE 12 MESES. ROTEADOR: ONT TP-LINK XC220
PLANO OFERTADO: 600 MEGA/79,90. BENEFÍCIOS: ACESSO GRATUITO AO APP MZTV (CDNTV+)</t>
  </si>
  <si>
    <t>EDILAINE (DIZ SER FILHA DE EDNA)</t>
  </si>
  <si>
    <t>COMPROVANTE DE ENDEREÇO (CEMIG) EM ANEXO
NOME NO COMPROVANTE:  EDNA DE OLIVEIRA FERREIRA (ASSINANTE)</t>
  </si>
  <si>
    <t xml:space="preserve">MUD END + ALT PLANO JULIANE MARQUEZ ALMANSA PROT:2605.31328 ISENTO (JHONATAN) - JARDIM EUROPA  //  </t>
  </si>
  <si>
    <t xml:space="preserve">MUD END BRENNER KENNEDY ROSA DE LIMA PROT:2605.29009 PIX (BRUNA) - MORUMBI  </t>
  </si>
  <si>
    <t>MUD END + ALT PLANO JEANE ALVES BISPO PROT:2606.12 ISENTO (GABRIEL M.) - JARDIM CANAÃ  //  *TROCA DE EQUIPAMENTO*</t>
  </si>
  <si>
    <t xml:space="preserve">MUD END ELISABET CANDIDO MIRANDA (ATILA/NAMORADO) PROT:2605.31622 CARTÃO (VICTOR H.) - MANSOUR  </t>
  </si>
  <si>
    <t>JULIANE MARQUEZ ALMANSA</t>
  </si>
  <si>
    <t>BRENNER KENNEDY ROSA DE LIMA</t>
  </si>
  <si>
    <t xml:space="preserve"> MARIA HELOYSA BARBOSA DA SILVA</t>
  </si>
  <si>
    <t>JEANE ALVES BISPO</t>
  </si>
  <si>
    <t>ELISABET CANDIDO MIRANDA (ATILA/NAMORADO)</t>
  </si>
  <si>
    <t>ENDEREÇO NOVO: RUA BERGAMO, 260
COMPLEMENTO: CASA UNICA
CEP: 38414697
BAIRRO: JARDIM EUROPA</t>
  </si>
  <si>
    <t>COMPROVANTE DE ENDEREÇO (CONTRATO DE LOCAÇÃO) EM ANEXO
NOME NO COMPROVANTE: JULIANE MARQUEZ ALMANSA (ASSINANTE)</t>
  </si>
  <si>
    <t>MK END
N/C
MK NOME 
&gt; IVANE MARQUES DE CASTRO LIMA (PROPRIETÁRIA): N/C 
&gt; VALDEMIR BENTO DE LIMA (CÔNJUGE DA LOCADORA): N/C 
&gt; IVAN NEGÓCIOS IMOBILIÁRIOS LTDA (ADMINISTRADORA): N/C 
&gt; IVAN GRACIANO DA COSTA FILHO (SÓCIO-GERENTE DA IMOBILIÁRIA): N/C
&gt; RICARDO GRACIANO DA COSTA (ADVOGADO DA IMOBILIÁRIA): N/C
&gt; VICENTE PAULO FERREIRA (PROCURADOR DA IMOBILIÁRIA): N/C 
&gt; JOYCE APARECIDA DIAS (PROCURADORA DA IMOBILIÁRIA): N/C 
&gt; TAIZ LAMARA BALESTERE TEIXEIRA ALVES (PROCURADORA DA IMOBILIÁRIA): N/C
&gt; JULIANE MARQUEZ ALMANSA (LOCATÁRIA): ASSINANTE DA CONEXÃO 
&gt; LENILDA HELENA MARQUEZ AMANCIO (FIADORA): N/C
&gt; BENÍCIO MARQUEZ BUENO (MORADOR RESIDENTE): N/C</t>
  </si>
  <si>
    <t>ENDEREÇO NOVO: RUA FACÃO, 708
COMPLEMENTO: CASA 1
CEP: 38407132
BAIRRO: MORUMBI</t>
  </si>
  <si>
    <t>SAMARA OLIVEIRA DOS SANTOS (ESPOSA)</t>
  </si>
  <si>
    <t>34 9768-8485</t>
  </si>
  <si>
    <t>COMPROVANTE DE ENDEREÇO (MATRÍCULA DO IMÓVEL) EM ANEXO
NOME NO COMPROVANTE:  BRENNER KENNEDY ROSA DE LIMA (ASSINANTE)</t>
  </si>
  <si>
    <t>MK END: N/C
MK NOMES:
OLIVEIRA ANDRADE ENGENHARIA LTDA (PROPRIETÁRIA E TRANSMITENTE DO IMÓVEL): EM 27/01/2026 SOLICITOU INSTALAÇÃO, PORÉM O PEDIDO FOI NEGADO, POIS NÃO É REALIZADA INSTALAÇÃO DE EQUIPAMENTOS EM OBRAS. INFORMADO QUE, NESTE CASO, SERIA NECESSÁRIO O PAGAMENTO DA INSTALAÇÃO E MENSALIDADE DE FORMA PRÉ-PAGA. CLIENTE OPTOU POR NÃO PROSSEGUIR.
WERLEY MACHADO DE OLIVEIRA (REPRESENTANTE DA EMPRESA OLIVEIRA ANDRADE ENGENHARIA LTDA): N/C
BRENNER KENNEDY ROSA DE LIMA SANTOS (ADQUIRENTE): POSSUI CONEXÃO ATIVA E SEM PENDÊNCIAS FINANCEIRAS.
SAMARA OLIVEIRA DOS SANTOS (ADQUIRENTE / ESPOSA DE BRENNER): N/C
CAIXA ECONÔMICA FEDERAL (CREDORA FIDUCIÁRIA): N/C
GESIANE LUIZA DE MIRANDA SANTOS (REPRESENTANTE DA CAIXA ECONÔMICA FEDERAL): N/C
MÁRCIO RIBEIRO PEREIRA (RESPONSÁVEL PELA ASSINATURA DIGITAL DA CERTIDÃO): N/C</t>
  </si>
  <si>
    <t xml:space="preserve">MUD END + ALT PLANO MARIA HELOYSA BARBOSA DA SILVA PROT:2606.79 ISENTO (ANDREZA) - NOSSA SENHORA DAS GRAÇAS  // </t>
  </si>
  <si>
    <t>ENDEREÇO NOVO: AVENIDA RAMIRO PEDROSA, 240
COMPLEMENTO: CASA 02
CEP: 38402132
BAIRRO: NOSSA SENHORA DAS GRAÇAS</t>
  </si>
  <si>
    <t>COMPROVANTE DE ENDEREÇO (CONTRATO DE LOCAÇÃO) EM ANEXO
NOME NO COMPROVANTE: ISAIAS VIEIRA SANTOS (ESPOSO DA ASSINANTE)</t>
  </si>
  <si>
    <t>PLANO ATUAL: 600 MEGA/79,90 CONTRATADO EM 08/2025 COM FIDELIDADE DE 12 MESES. ROTEADOR: ZTE H199-A
PLANO OFERTADO: 1 GIGA (1.000 MEGA) R$99,90. BENEFÍCIOS: ACESSO GRATUITO AO APP MZTV (CDNTV+) + VOD</t>
  </si>
  <si>
    <t>MK END: N/C
________________________________________
MK NOMES:
-&gt; JOÃO BOSCO GUIMARÃES (LOCADOR) - CPF 239.719.086-91: N/C
-&gt; DELTA IMÓVEIS E ADMINISTRAÇÃO LTDA (PROCURADORA/ADMINISTRADORA) - CNPJ 23.976.590/0001-98: N/C
-&gt; FRANCIS HEME CESAR PEREIRA (REPRESENTANTE) - CPF 086.429.536-75: N/C
-&gt; ISAIAS VIEIRA SANTOS (ESPOSO DA ASSINANTE/LOCATÁRIO) - CPF 126.164.986-93: N/C
-&gt; MARIA HELOYSA BARBOSA DA SILVA (LOCATÁRIA) - CPF 188.860.506-58: ASSINANTE DA CONEXÃO.
-&gt; CLEILZA MARQUES VIEIRA (FIADORA) - CPF 819.058.745-53: N/C
-&gt; ROMYSON CROUSOE SANTOS (FIADOR) - CPF 592.012.156-49: N/C</t>
  </si>
  <si>
    <t>PLANO ATUAL: 100 MEGA/59,90 CONTRATADO EM 05/2024 COM FIDELIDADE DE 12 MESES. ROTEADOR: TP LINK C-20
PLANO OFERTADO: 150 MEGA/59,90. BENEFÍCIOS: ACESSO GRATUITO AO APP MZTV (CDNTV+)</t>
  </si>
  <si>
    <t>COMPROVANTE DE ENDEREÇO (CONTRATO DE LOCAÇÃO) EM ANEXO
NOME NO COMPROVANTE: JEANE ALVES BISPO (ASSINANTE)</t>
  </si>
  <si>
    <t>MK END: N/C
MK NOMES: CUSTODIO CORDEIRO DE FARIAS (LOCADOR) - N/C</t>
  </si>
  <si>
    <t>ENDEREÇO NOVO: RUA LIBNA, 106
COMPLEMENTO: CASA 01
CEP: 38412426
BAIRRO: JARDIM CANAÃ</t>
  </si>
  <si>
    <t>(38) 99754-5416</t>
  </si>
  <si>
    <t>ATILA TIAGO SANTOS VITOR (NAMORADO)</t>
  </si>
  <si>
    <t>COMPROVANTE DE ENDEREÇO (CONTRATO DE LOCAÇÃO) EM ANEXO.
NOME NO COMPROVANTE:  ATILA TIAGO SANTOS VITOR (NAMORADO DE ELISABET)</t>
  </si>
  <si>
    <t xml:space="preserve">MUD END WENDEL VILARINHO DE PAULA PROT:2605.25763 PIX (JOSÉ Jr) - SÃO JORGE **SOBRADO** </t>
  </si>
  <si>
    <t xml:space="preserve">MUD END ALETEYA SABINO BERTOLDO PROT:2606.98 CARTAO (VICTOR H.) - JARDIM HOLANDA **SOBRADO** </t>
  </si>
  <si>
    <t>MUD END ALINE COELHO SILVA PROT:2605.30940 PIX (PEDRO) - JARDIM PATRÍCIA   *PENDENTE COMPROVANTE // TESTAR COBERTURA COM A CLIENTE*</t>
  </si>
  <si>
    <t xml:space="preserve">MUD END MIKAELLY KUETRIM RIBEIRO BORGES (CONSULTORIO ODONTOLOGICO) PROT:2605.25557 CARTAO (RONALD) - MARTINS   </t>
  </si>
  <si>
    <t>MUD END LUCAS FARIA RODRIGUES PROT: 2605.20236 PIX (HALYSON) - TUBALINA **PRÉDIO SEM PRUMADA - ENVIAR TÉCNICO DUPLADO** *AGENDADO PARA 05/06 ÁS 13:00*</t>
  </si>
  <si>
    <t>MUD END TAYWANE CHRYSTINE FEITOSA CUNHA PROT: 2605.25096 PIX (JOSÉ Jr) - OSVALDO REZENDE   *ANALISE 90 DIAS*</t>
  </si>
  <si>
    <t>WENDEL VILARINHO DE PAULA</t>
  </si>
  <si>
    <t>TAYWANE CHRYSTINE FEITOSA CUNHA</t>
  </si>
  <si>
    <t>ALETEYA SABINO BERTOLDO</t>
  </si>
  <si>
    <t>ALINE COELHO SILVA</t>
  </si>
  <si>
    <t>LUCAS FARIA RODRIGUES</t>
  </si>
  <si>
    <t>MIKAELLY KUETRIM RIBEIRO BORGES (CONSULTORIO ODONTOLOGICO)</t>
  </si>
  <si>
    <t>MUD END CASSIS CONSULTORIA E TREINAMENTOS LTDA PROT:2605.30490 CARTAO (PEDRO) - JARDIM EUROPA   *PODE ANTECIPAR, SE AUTORIZADO*</t>
  </si>
  <si>
    <t>CASSIS CONSULTORIA E TREINAMENTOS LTDA</t>
  </si>
  <si>
    <t>PAMELA (ESPOSA DE WENDEL)</t>
  </si>
  <si>
    <t>ENDEREÇO NOVO: AVENIDA SERRA CANASTRA, 183
COMPLEMENTO: SOBRADO
CEP: 38410358
BAIRRO: SÃO JORGE</t>
  </si>
  <si>
    <t>COMPROVANTE DE ENDEREÇO (CONTRATO DE LOCAÇÃO) EM ANEXO
NOME NO COMPROVANTE: LUCIANO FRANCISCO DA SILVA (LOCADOR)</t>
  </si>
  <si>
    <t>MK END:
   LUCIANO FRANCISCO DA SILVA (COMERCIO DE PECAS INDUSTRIAIS) CNPJ:08.144.251/0001-51 CLIENTE SOLICITOU O CANCELAMENTO DA CONEXÃO NO DIA 08/01/2025. CLIENTE ADIMPLENTE.
MK NOMES:
   LUCIANO FRANCISCO DA SILVA CPF:001.8**.***-**(CLIENTE INFORMA QUE É O LOCADOR)INFORMAÇÃO DESCRITA NO MK END
   PAMELLA LOANE PACHECO CANDIDO(ESPOSA DO TITULAR) POSSUI CONEXÃO ATIVA NO ENDEREÇO RUA CLEMENTE PEREIRA, 1034, DESDE O DIA 28/02/2023. CLIENTE ADIMPLENTE.</t>
  </si>
  <si>
    <t>ENDEREÇO NOVO: AVENIDA ALICE DE OLIVEIRA E SILVA, 130
COMPLEMENTO: APARTAMENTO
CEP: 38412863
BAIRRO: JARDIM HOLANDA</t>
  </si>
  <si>
    <t>COMPROVANTE DE ENDEREÇO (CONTRATO DE LOCAÇÃO) EM ANEXO
NOME NO COMPROVANTE: VITOR HUGO NOGUEIRA DE FREITAS (ESPOSO DE ALETEYA)</t>
  </si>
  <si>
    <t xml:space="preserve">MK NOMES: 
VITOR HUGO NOGUEIRA DE FREITAS (ESPOSO DE ALETEYA) - PROTOOCLO DE ADESÃO 2208.1257
APROVADO PARA ALETEYA SABINO BERTOLDO (ATUAL ASSINANTE, CONEXÃO ATIVA E ADIMPLENTE) 
LOCADOR: RANIER DEFENSOR SANTOS N/C
MK END: 
PELO ENDEREÇO COM COMPLEMENTO CASA 2 IDENTIFIQUEI: 
MILAISA RAFAELA DE SOUZA SILVA 099.910.806-94
PROTOCOLO DE ADESÃO 2404.155
APROVADO COM COMPRA DOS EQUIPAMENTOS, MAS, CLIENTE NÃO TEVE INTERESSE
TATIANA SILVA SANTOS 138.618.236-24
PROTOCOLO DE ADESÃO 2211.2093
APROVADO COM COMPRA DOS EQUIPAMENTOS, MAS, CLIENTE NÃO TEVE INTERESSE
EDGAR SANTOS 959.810.555-53
CANCELADO POR INADIMPLENCIA EM 04/2024
DEBITOS R$ 1.722,78
SENDO R$ 299,70 REFERENTE 3 MENSALIDADES EM ABERTO + R$ 599,00 SOBRE ONT TP LINK XC220 + R$ 824,08 SOBRE MULTA CONTRATUAL. </t>
  </si>
  <si>
    <t>(16) 99732-6662</t>
  </si>
  <si>
    <t>ENDEREÇO NOVO: RUA GÉNOVA, 570
COMPLEMENTO: CASA ÚNICA
CEP: 38414553
BAIRRO: JARDIM EUROPA</t>
  </si>
  <si>
    <t>COMPROVANTE DE ENDEREÇO (DMAE) EM ANEXO
NOME NO COMPROVANTE:  VALTER ANTONIO SILVA (NÃO INFORMOU RELAÇÃO COM O ENDEREÇO)</t>
  </si>
  <si>
    <t>(34) 99139-7195</t>
  </si>
  <si>
    <t>ENDEREÇO NOVO: RUA VALDIVINO JOSÉ GOMES, 218
COMPLEMENTO: CASA ÚNICA
CEP: 38414160
BAIRRO: JARDIM PATRÍCIA</t>
  </si>
  <si>
    <t>COMPROVANTE DE ENDEREÇO (CEMIG) EM ANEXO
NOME NO COMPROVANTE: LUCAS FARIA RODRIGUES (ASSINANTE)</t>
  </si>
  <si>
    <t xml:space="preserve">MK END; - N/C
MK NOME;
LUCAS FARIA RODRIGUES (ASSINANTE) 
CONEXÃO ATIVA E ADIMPLENTE </t>
  </si>
  <si>
    <t>ENDEREÇO NOVO: AVENIDA SÍLVIO RUGANI, 30
COMPLEMENTO: AP 503
CEP:  
BAIRRO: TUBALINA</t>
  </si>
  <si>
    <t>ENDEREÇO NOVO: AVENIDA ARAGUARI, 291
COMPLEMENTO: COMERCIO 4
CEP: 38400464
BAIRRO: MARTINS</t>
  </si>
  <si>
    <t>COMPROVANTE DE ENDEREÇO (IPTU) EM ANEXO
NOME NO COMPROVANTE: AUGUSTO CESAR SEGATTO (PROPRIETÁRIO DO IMÓVEL)</t>
  </si>
  <si>
    <t>MK END; - N/C
MK NOME;
MIKAELLY KUETRIM RIBEIRO BORGES 020.658.776-77 (ASSINANTE) -CONEXÃO ATIVA E MENSALIDADE (05/2026) PENDENTE. NOTIFICADA INFORMOU QUE IRÁ REALIZAR O PAGAMENTO ATÉ 29/05
AUGUSTO CESAR SEGATTO (PROPRIETÁRIO DO IMÓVEL) - N/C</t>
  </si>
  <si>
    <t>ENDEREÇO NOVO: RUA DOUTOR LUIZ ROCHA E SILVA, 106
COMPLEMENTO: CASA 2
CEP: 38400414
BAIRRO: OSVALDO REZENDE</t>
  </si>
  <si>
    <t>COMPROVANTE DE ENDEREÇO (CEMIG) EM ANEXO
NOME NO COMPROVANTE: JOÃO BATISTA GARCIA ROSA (CLIENTE DIZ QUE É O LOCADOR)</t>
  </si>
  <si>
    <t>MK END:
   JEFERSON FELIPE DA ROCHA PEREIRA CPF:147.261.726-62 ADESÃO NEGADA EM 29/05/2023. CLIENTE NÃO QUIS CONTRATAR O SERVIÇO MEDIANTE A COMPRA DOS EQUIPAMENTOS.
MK NOMES:
   JOAO BATISTA GARCIA ROSA CPF:340.9**.***-**(CLIENTE DIZ QUE É O LOCADOR)N/C
   DINAIR PEREIRA DA SILVA CPF:753.8**.***-**(CLIENTE DIZ QUE É O LOCADOR)N/C</t>
  </si>
  <si>
    <t>MUD END SILVIA ELAINE OLIVEIRA MARTINS (LETICIA/FILHA) PROT: 2605.9598 PIX (RONALD) - SEGISMUNDO PEREIRA</t>
  </si>
  <si>
    <t>MUD END ALINE DAIANE LIMA PROT:2605.31010 PIX (JOSÉ Jr) - SANTA MÔNICA</t>
  </si>
  <si>
    <t xml:space="preserve">RESERVA // MUD END LUCIANO DA SILVA OLIVEIRA PROT:XXXXXX CARTAO (HALYSON) - JARDIM EUROPA **SOBRADO** </t>
  </si>
  <si>
    <t>SILVIA ELAINE OLIVEIRA MARTINS (LETICIA/FILHA)</t>
  </si>
  <si>
    <t>ALINE DAIANE LIMA</t>
  </si>
  <si>
    <t>LUCIANO DA SILVA OLIVEIRA</t>
  </si>
  <si>
    <t>PAMELA ANDRESSA SILVA NICOLOFF</t>
  </si>
  <si>
    <t>VALIDAÇÃO OK 
MUDANÇA AUTORIZADA E REAGENDADA</t>
  </si>
  <si>
    <t>ENDEREÇO NOVO: RUA PROFESSOR EULER LANNES BERNARDES, 586
COMPLEMENTO: COND.KRUNAS APT 208
CEP: 38408200
BAIRRO: SANTA MÔNICA</t>
  </si>
  <si>
    <t>COMPROVANTE DE ENDEREÇO (CONTRATO DE LOCAÇÃO) EM ANEXO
NOME NO COMPROVANTE:  RONIELMA ARAUJO DA SILVA (CLIENTE DIZ QUE É AMIGA)</t>
  </si>
  <si>
    <t>ENDEREÇO NOVO: RUA BELGRADO, 100
COMPLEMENTO: AP 01
CEP: 38414524
BAIRRO: JARDIM EUROPA</t>
  </si>
  <si>
    <t>ENDEREÇO NOVO: RUA PASTOR LEOCÁDIO EVANGELISTA DOS SANTOS, 236
COMPLEMENTO: CASA UNICA
CEP: 38418666
BAIRRO: MANSOUR III</t>
  </si>
  <si>
    <t>COMPROVANTE DE ENDEREÇO (CONTRATO DE HABITAÇÃO) EM ANEXO
NOME NO COMPROVANTE: PAMELA ANDRESSA SILVA NICOLOFFE (ASSINANTE)</t>
  </si>
  <si>
    <t>MK END
N/C
MK NOME 
&gt; MARCA REGISTRADA ENGENHARIA E CONSULTORIA LTDA (DEVEDORA/INCORPORADORA): N/C
&gt; CAIXA ECONÔMICA FEDERAL (CREDORA): N/C
&gt; MAMORÉ EMPREENDIMENTOS IMOBILIÁRIOS SPE LTDA (PROPRIETÁRIA): N/C
&gt; PAMELA ANDRESSA SILVA NICOLOFFE (COMPRADORA): ASSINANTE DA CONEXÃO
&gt; DAVID NICOLOFF JUNIOR (COMPRADOR): N/C</t>
  </si>
  <si>
    <t xml:space="preserve">MUD END + ALT PLANO JULIANA ALVES DOS CASAIS SOUSA PROT:2606.398 ISENTO (IZABELA) - MARIA REZENDE  //  </t>
  </si>
  <si>
    <t>JULIANA ALVES DOS CASAIS SOUSA</t>
  </si>
  <si>
    <t>ENDEREÇO NOVO: RUA RENATO WILIAN GONÇALVES, 236
COMPLEMENTO: CASA FUNDO
CEP: 38401854
BAIRRO: MARIA REZENDE</t>
  </si>
  <si>
    <t>COMPROVANTE DE ENDEREÇO (CEMIG) EM ANEXO
NOME NO COMPROVANTE: ERICA SILVA ALVES CARDOSO (DISSE SER A ANTIGA INQUILINA)</t>
  </si>
  <si>
    <t>FRANCINALDO GUIMARAES BRASIL (ESPOSO DE JULIANA)</t>
  </si>
  <si>
    <t>34 98420-2362</t>
  </si>
  <si>
    <t>MK END: N/C
MK NOME:
ERICA SILVA ALVES CARDOSO (DISSE SER A ANTIGA INQUILINA) - CPF: 020.304.526-29: SOLICITAÇÃO DE ADESÃO REALIZADA EM 03/2021 FOI APROVADA COM COBRANÇA DE TAXA DE INSTALAÇÃO. NO ENTANTO, ÉRICA OPTOU POR CANCELAR A SOLICIT AÇÃO E NÃO PROSSEGUIR COM A CONTRATAÇÃO
FRANCINALDO GUIMARAES BRASIL (ESPOSO DE JULIANA) - N/C</t>
  </si>
  <si>
    <t xml:space="preserve">MUD END RAPHAEL SANTOS DA SILVA PROT:2606.515 CARTAO (BRUNA) - CHÁCARAS TUBALINA E QUARTEL **PRÉDIO COM PRUMADA** </t>
  </si>
  <si>
    <t>PALOMA CUNHA SANTOS</t>
  </si>
  <si>
    <t>LUIZ PHELLIPE SANTOS OLIVEIRA</t>
  </si>
  <si>
    <t>RAPHAEL SANTOS DA SILVA</t>
  </si>
  <si>
    <t>ENDEREÇO NOVO: TRAVESSA LOURIVAL DANTAS AZEVEDO, 68
COMPLEMENTO: CASA UNICA
CEP: 38401822
BAIRRO: PRESIDENTE ROOSEVELT</t>
  </si>
  <si>
    <t>COMPROVANTE DE ENDEREÇO (CONTRATO DE LOCAÇÃO) EM ANEXO
NOME NO COMPROVANTE: RONI ROCHA DOS SANTOS (PAI DE PALOMA)</t>
  </si>
  <si>
    <t>MK END: N/C
MK NOMES:
&gt; LOCADOR
- IONE ARTEFATOS (PESSOA JURÍDICA)
CNPJ: 45.792.278/0001-87 - N/C
- IONE ALVES DE LIMA / CPF: 004.189.066-37 - N/C
&gt; LOCATÁRIOS
- RONI ROCHA DOS SANTOS / CPF: 787.976.246-91
(PAI DE PALOMA)
POSSUI CONEXÃO ATIVA E ADIMPLENTE: RONI ROCHA DOS SANTOS (LANCHONETE)
- ADRIANA APARECIDA CUNHA / CPF: 057.861.286-01 - N/C
(MÃE DE PALOMA)
&gt;TESTEMUNHAS
- VICTOR HUGO BORGES DE LIMA / CPF: 107.428.776-20 - N/C
- PALOMA CUNHA SANTOS / CPF: 127.734.456-60
(TITULAR ASSINANTE. CONEXÃO ATIVA E ADIMPLENTE)
&gt; REFERÊNCIAS DO LOCATÁRIO
- SUELLEM VICENTE DA SILVA - N/C
- APARECIDO CARRIJO CAMARGO FILHO
POSSUI CONEXÃO BAIXADA E INATIVA - EQUIPAMENTOS DEVOLVIDOS - SEM PENDENCIAS
CONEXÃO: APARECIDO CARRIJO CAMARGO FILHO (CEARA VENINAS)</t>
  </si>
  <si>
    <t>ENDEREÇO NOVO: ALAMEDA JORDELINA BORGES, 250
COMPLEMENTO: CASA UNICA
CEP: 38412872
BAIRRO: JARDIM HOLANDA</t>
  </si>
  <si>
    <t>PLANO ATUAL: 600 MEGA/79,90 CONTRATADO EM 07/25 COM FIDELIDADE DE 12 MESES. ROTEADOR: ONT TP-LINK XC220
PLANO OFERTADO: 600 MEGA/79,90. BENEFÍCIOS: ACESSO GRATUITO AO APP MZTV (CDNTV+)</t>
  </si>
  <si>
    <t>GABRIELA DE SOUZA BARROS (ESPOSA)</t>
  </si>
  <si>
    <t>COMPROVANTE DE ENDEREÇO (CEMIG) EM ANEXO
NOME NO COMPROVANTE: ROSELI FERREIRA (DIZ SER A PROPRIETARIA DO IMOVEL)</t>
  </si>
  <si>
    <t>MK END: N/C
MK NOMES:
ROSELI FERREIRA (PROPRIETARIA DO IMOVEL): POSSUI CONEXÃO ATIVA DESDE 2021. SEM PENDENCIAS.
GABRIELA DE SOUZA BARROS (ESPOSA DE LUIZ): N/C</t>
  </si>
  <si>
    <t>ENDEREÇO NOVO: RUA DIMAS MACHADO, 164
COMPLEMENTO: RESID. PALLACE PLANALTO BL 4 AP 103
CEP: 38413291
BAIRRO: CHÁCARAS TUBALINA E QUARTEL</t>
  </si>
  <si>
    <t>COMPROVANTE DE ENDEREÇO (CEMIG) EM ANEXO
NOME NO COMPROVANTE: CLEUSENIR FRANCISCA DOS SANTOS (DIZ  SER PROPRIETARIA DO IMOVEL)</t>
  </si>
  <si>
    <t>MK END: N/C
MK NOMES:
CLEUSENIR FRANCISCA DOS SANTOS (PROPRIETARIA DO IMOVEL/MÃE DE RAPHAEL): N/C</t>
  </si>
  <si>
    <t>ENDEREÇO NOVO: RUA RIO UAUPES, 81
COMPLEMENTO: CASA UNICA
CEP: 38414446
BAIRRO: MANSOUR</t>
  </si>
  <si>
    <t>MK END DO NUMERO 81 
OSVALDO ESTRELA DE OLIVEIRA NETO
PROT 2103.933 CANCELOU POR MUDANÇA DE ENDEREÇO SEM VIABILIDADE
DÉBITOS: R$ 1.184,68. SENDO R$ 159,80 DE 02 MENSALIDADES VENCIDAS + R$ 50,60 REFERENTE AO PROPORCIONAL DE USO (DE 10/04/21 A 28/04/21 DATA DO CANCELAMENTO) + R$ 974,28 DA MULTA POR QUEBRA DE CONTRATO. 
LAYANE FERREIRA DE SOUSA
CONEXÃO CANCELADA EM 13/11/2021 POR INADIMPLENCIA
DÉBITOS: R$561,05 SENDO, R$269,80 DAS 02 MENSALIDADES VENCIDAS + R$291,25 DE MULTA POR QUEBRA DE CONTRATO. 
DAVID ALAN FERREIRA
CONEXÃO CANCELADA EM 02/2022 
NÃO POSSUI DEBITOS COM A EMPRESA
MK NOMES:
LOCADOR  SILVANIA RIZZA DE QUEIROZ CPF.: 440.198.316-53 - N/C
LOCATARIO: ATILA TIAGO SANTOS VITOR CPF: 095.212.076-39(NAMORADO DE ELISABET) - PROTOCOLO DE ADESÃO 2601.30254
PROTOTOLO ABERTO ATÉ O DIA DE HOJE SEM INFORMAÇÕES</t>
  </si>
  <si>
    <t>MUD END + ALT PLANO RADAMES VIEIRA DO NASCIMENTO JUNIOR PROT:2605.31731 ISENTO (VAGNER) - JARDIM PATRÍCIA  //   *NÃO ANTECIPAR* *PEN. ASSINATURA*</t>
  </si>
  <si>
    <t>RADAMES VIEIRA DO NASCIMENTO JUNIOR</t>
  </si>
  <si>
    <t xml:space="preserve">MUD END + ALT PLANO NAYARA DE SOUSA MACHADO OLIVEIRA PROT:2605.31566 ISENTO (VAGNER) - TIBERY **PRÉDIO COM PRUMADA** // **(POSSUI WI-FI EXTEND PROPRIO)**  </t>
  </si>
  <si>
    <t xml:space="preserve">MUD END ISABELLA SANTOS PAULA PROT:2606.804 PIX (JHONATAN) - SHOPPING PARK  </t>
  </si>
  <si>
    <t xml:space="preserve">MUD END MACIEL JERONIMO DOS SANTOS PROT:2606.512 DINHEIRO (ANDREZA) - MINAS GERAIS  </t>
  </si>
  <si>
    <t xml:space="preserve">MUD END CRISTIANA CANDIDA SILVA PROT:2605.26052 PIX (RONALD) - LUIZOTE DE FREITAS   </t>
  </si>
  <si>
    <t xml:space="preserve">MUD END + ALT PLANO DANIEL DE PAULA MENDONCA PROT:2606.1120 ISENTO (LUIS) - UMUARAMA  //  </t>
  </si>
  <si>
    <t xml:space="preserve">MUD END + ALT PLANO LUIS CARLOS GONCALVES MATIAS BORSATTO PROT:2606.848 ISENTO (JOSÉ Jr) - LARANJEIRAS  //  </t>
  </si>
  <si>
    <t>NAYARA DE SOUSA MACHADO OLIVEIRA</t>
  </si>
  <si>
    <t>ISABELLA SANTOS PAULA</t>
  </si>
  <si>
    <t>MACIEL JERONIMO DOS SANTOS</t>
  </si>
  <si>
    <t>CRISTIANA CANDIDA SILVA</t>
  </si>
  <si>
    <t>DANIEL DE PAULA MENDONCA</t>
  </si>
  <si>
    <t>LUIS CARLOS GONCALVES MATIAS BORSATTO</t>
  </si>
  <si>
    <t>ENDEREÇO NOVO: RUA NICARÁGUA, 50
COMPLEMENTO: APARTAMENTO Nº 406 
CEP: 38405100
BAIRRO: TIBERY</t>
  </si>
  <si>
    <t>PLANO ATUAL: 1000 MEGA/99,90 CONTRATADO EM 05/2024 COM FIDELIDADE DE 12 MESES. ROTEADOR: ZTE H199-A
PLANO OFERTADO: 1 GIGA (1.000 MEGA) R$99,90. BENEFÍCIOS: ACESSO GRATUITO AO APP MZTV (CDNTV+) + VOD</t>
  </si>
  <si>
    <t>COMPROVANTE DE ENDEREÇO (CONTRATO DE LOCAÇÃO) EM ANEXO.
NOME NO COMPROVANTE:  NAYARA DE SOUZA MACHADO OLIVEIRA (ASSINANTE)</t>
  </si>
  <si>
    <t>MK END
N/C
MK NOME
&gt; ANTONIO REINALDO GUIMARÃES CARDOSO (LOCADOR): N/C
&gt; NAYARA DE SOUZA MACHADO OLIVEIRA (LOCATÁRIA): ASSINANTE DA CONEXÃO 
&gt; NORMA DOS REIS DE OLIVEIRA ALMEIDA (TESTEMUNHA): N/C</t>
  </si>
  <si>
    <t>ENDEREÇO NOVO: RUA JOSÉ VICENTE DA SILVA, 82 
COMPLEMENTO: CASA UNICA
CEP: 38425612
BAIRRO: SHOPPING PARK</t>
  </si>
  <si>
    <t>BERNADETE SANTOS PAULA (AVO)</t>
  </si>
  <si>
    <t>COMPROVANTE DE ENDEREÇO (DMAE) EM ANEXO.
NOME NO COMPROVANTE:  DENER DE PAULA FERREIRA (DISSE QUE É PRIMO DA ASSINANTE)</t>
  </si>
  <si>
    <t>ENDEREÇO NOVO: RUA AMARAL COUTINHO, 1029
COMPLEMENTO: CASA 4 - FUNDOS
CEP: 38402182
BAIRRO: MINAS GERAIS</t>
  </si>
  <si>
    <t>JONAS SOUSA DA SILVA (AMIGO)</t>
  </si>
  <si>
    <t>COMPROVANTE DE ENDEREÇO (CEMIG) EM ANEXO.
NOME NO COMPROVANTE:  JOAO CORREIA DA SILVA (DISSE QUE É O DONO DO IMÓVEL)
_________________________________________________
JONAS INFORMOU QUE SÓ TEM ESSE TALÃO, SE MUDOU RECENTEMENTE E AINDA NÃO CHEGOU O TALÃO DA CASA DO FUNDO.</t>
  </si>
  <si>
    <t>(34) 99725-8294</t>
  </si>
  <si>
    <t>ENDEREÇO NOVO: RUA EDSON BRASILEIRO, 76
COMPLEMENTO: CASA 2
CEP: 38414266
BAIRRO: LUIZOTE DE FREITAS</t>
  </si>
  <si>
    <t>COMPROVANTE DE ENDEREÇO (CONTRATO DE LOCAÇÃO) EM ANEXO
NOME NO COMPROVANTE: CRISTIANA CANDIDA SILVA (ASSINANTE)</t>
  </si>
  <si>
    <t>ENDEREÇO NOVO: RUA DOUTOR LUIZ ANTÔNIO WAACK, 1686
COMPLEMENTO: CASA ÚNICA
CEP: 38405327
BAIRRO: UMUARAMA</t>
  </si>
  <si>
    <t>PLANO ATUAL: 1000 MEGA/99,90 CONTRATADO EM 07/2023 COM FIDELIDADE DE 12 MESES. ROTEADOR: ONT TP-LINK XC230
PLANO OFERTADO: 1 GIGA (1.000 MEGA) R$99,90. BENEFÍCIOS: ACESSO GRATUITO AO APP MZTV (CDNTV+) + VOD</t>
  </si>
  <si>
    <t>COMPROVANTE DE ENDEREÇO (CEMIG) EM ANEXO
NOME NO COMPROVANTE: EDESIO VICENTE DE LIMA (DANIEL ALEGA SER SEU SOGRO)</t>
  </si>
  <si>
    <t xml:space="preserve">MK END: N/C
MK NOMES: 
-EDESIO VICENTE DE LIMA - CPF NÃO INFORMADO - DANIEL ALEGA SER SEU SOGRO - N/C; 
- DANIEL DE PAULA MENDONCA - CPF 074.134.996-57 - ASSINANTE - CLIENTE ATIVO E ADIMPLENTE COM A EMPRESA. </t>
  </si>
  <si>
    <t>ENDEREÇO NOVO: RUA MADAGASCAR, 454
COMPLEMENTO: CASA 2
CEP: 38410260
BAIRRO: LARANJEIRAS</t>
  </si>
  <si>
    <t>DOLORES GONÇALVES (MÃE)</t>
  </si>
  <si>
    <t>343235-0536</t>
  </si>
  <si>
    <t>COMPROVANTE DE ENDEREÇO (CEMIG) EM ANEXO
NOME NO COMPROVANTE: DOLORES GONÇALVES (CLIENTE INFORMA QUE É O MORADOR ANTERIOR DO IMÓVEL.)</t>
  </si>
  <si>
    <t xml:space="preserve">CONFERENCIAS NÃO REALIZADAS
</t>
  </si>
  <si>
    <t>ENDEREÇO NOVO: RUA JORGE ZACARIAS, 635
COMPLEMENTO: CASA UNICA
CEP: 38414346
BAIRRO: JARDIM PATRÍCIA</t>
  </si>
  <si>
    <t>MILENA (ESPOSA DE RADAMES)</t>
  </si>
  <si>
    <t>COMPROVANTE DE ENDEREÇO (DMAE) EM ANEXO
NOME NO COMPROVANTE: ERONDINO ALVES DA SILVA JUNIO (ASSINANTE)</t>
  </si>
  <si>
    <t>MK END: N/C
MK NOME:ERONDINO ALVES DA SILVA JUNIO  (RADAMES ALEGA SER O PROPRIETÁRIO DO LOCAL) - N/C</t>
  </si>
  <si>
    <t>(34) 99269-6839</t>
  </si>
  <si>
    <t>MK END:N/C
MK NOMES:
  RONIELMA ARAUJO DA SILVA, CPF: 115.693.066-99 (LOCATÁRIA)N/C
  FERNANDA NASCIMENTO KRUGER, CPF: 098.862.708-61 (LOCADORA)N/C
  FRANCIS HEME CESAR PEREIRA, CPF: 086.429.536-75 (REPRESENTANTE LEGAL DA LOCADORA)N/C
  RHAYANNE MYCHELLE INÁCIO DE PAULA, CPF: 704.090.796-85 (TESTEMUNHA)POSSUI CONEXÃO ATIVA NO ENDEREÇO RUA JOÃO RODRIGUES DA SILVA, Nº 60, SHOPPING PARK, DESDE 29/11/2025. CLIENTE ADIMPLENTE.
  GLADSTON CESAR PEREIRA MODERNO, CPF: 129.735.616-04 (TESTEMUNHA)N/C</t>
  </si>
  <si>
    <t>RONIELMA ARAUJO DA SILVA (AMIGA)</t>
  </si>
  <si>
    <t>34 99319-0941</t>
  </si>
  <si>
    <t>MK END;
DERCIO FRANCISCO ROCHA - CONEXÃO CONTRATADA EM 03/2019. EM 04/2021 MARIA CRISTINA (ESPOSA) APRESENTOU CERTIDÃO DE ÓBITO E SOLICITOU O CANCELAMENTO. SEM DÉBITOS PENDENTES.  
MK NOME;
CRISTIANA CANDIDA SILVA 064.504.266-83 (ASSINANTE) - CONEXÃO ATIVA E ADIMPLENTE
RUANITA RIBEIRO ROCHA 010.330.436-30 (LOCADORA) - N/C</t>
  </si>
  <si>
    <t>MUD END + ALT PLANO MARIA LAURA PAULA SANTOS PROT:2606.260 ISENTO (ANDREZA / PEDRO) - JARDIM DAS PALMEIRAS  //  *PENDENTE COMPROVANTE*</t>
  </si>
  <si>
    <t>MARIA LAURA PAULA SANTOS</t>
  </si>
  <si>
    <t xml:space="preserve">MUD END FABIOLA DE OLIVEIRA SILVA COSTA PROT:2606.764  PIX (JHONATAN) - LOTEAMENTO RESIDENCIAL PEQUIS   </t>
  </si>
  <si>
    <t>MUD END + ALT PLANO RICARDO VIEIRA CROCHES PROT:2606.1116 ISENTO (PEDRO) - MARIA REZENDE  //  *PENDENTE COMPROVANTE*</t>
  </si>
  <si>
    <t>MUD END + ALT DE PLANO ALEXANDRE RAMOS GABRIEL DE OLIVEIRA PROT 2606.2681 ISENTO (VICTOR) OSVALDO REZENDE - *PREDIO SEM PRUMADA*1º ANDAR, PREDIO DE 3 ANDARES, NÃO SABE NUMERO DE APTO POR ANDAR</t>
  </si>
  <si>
    <t xml:space="preserve"> ALEXANDRE RAMOS GABRIEL DE OLIVEIRA</t>
  </si>
  <si>
    <t>MUD END + ALT PLANO SUELEN DA CRUZ OLIVEIRA PROT:2606.3017 ISENTO (RONALD) - SANTA MÔNICA **PRÉDIO SEM PRUMADA** CTOE //  *TROCA DE EQUIPAMENTO* *APT 302 3º ANDAR*</t>
  </si>
  <si>
    <t xml:space="preserve">MUD END + ALT PLANO JOSE HENRIQUE DE SENA LEAL PROT:.2605.31233 ISENTO (LAUREN) - TOCANTINS  //  </t>
  </si>
  <si>
    <t>FABIOLA DE OLIVEIRA SILVA COSTA</t>
  </si>
  <si>
    <t>SUELEN DA CRUZ OLIVEIRA</t>
  </si>
  <si>
    <t>RICARDO VIEIRA CROCHES</t>
  </si>
  <si>
    <t>JOSE HENRIQUE DE SENA LEAL</t>
  </si>
  <si>
    <t>ENDEREÇO NOVO: RUA DA ENFERMEIRA, 975
COMPLEMENTO: CASA ÚNICA
CEP: 38412298
BAIRRO: JARDIM DAS PALMEIRAS</t>
  </si>
  <si>
    <t>ANÁLISE DO MK COM BASE DAS INFORMAÇÕES:
MK END: N/C
MK NOME: MARIA LAURA PAULA SANTOS (TITULAR) - POSSUI CONEXÃO CONOSCO DESDE 04/2025, ATIVA E ADIMPLENTE.</t>
  </si>
  <si>
    <t>NÃO POSSUI COMPROVANTE DE RESIDENCIA</t>
  </si>
  <si>
    <t xml:space="preserve">VALIDAÇÃO OK 
CLIENTE SEM COMPROVANTE DE RESIDENCIA POIS ALEGA POSSE ANTECIPADA E NÃO TER NENHUMA DOCUMENTAÇÃO PARA APRESENTAR. </t>
  </si>
  <si>
    <t>ENDEREÇO NOVO: RUA DO QUEIXADA, 222
COMPLEMENTO: CASA 62
CEP: 38421159
BAIRRO: LOTEAMENTO RESIDENCIAL PEQUIS</t>
  </si>
  <si>
    <t>COMPROVANTE DE ENDEREÇO (CEMIG) EM ANEXO
NOME NO COMPROVANTE: FABIOLA OLIVEIRA SILVA COSTA (ASSINANTE)</t>
  </si>
  <si>
    <t>MK END 
N/C
MK NOME 
FABIOLA DE OLIVEIRA SILVA COSTA (ASSINANTE DA CONEXÃO)</t>
  </si>
  <si>
    <t>COMPROVANTE DE ENDEREÇO (CONTRATO DE HABITAÇÃO) EM ANEXO
NOME NO COMPROVANTE: ALEXANDRE RAMOS GABRIEL DE OLIVEIRA (ASSINANTE)</t>
  </si>
  <si>
    <t>MK END: N/C 
MK NOMES: 
REGINALDO SOARES DE OLIVEIRA CPF 904.660.716-04 (TRANSMITENTE) N/C
TATYANA MAESTRI DE BARROS SOARES CPF 036.233.506-05 (TRANSMITENTE) N/C
ALEXANDRE RAMOS GABRIEL DE OLIVEIRA CPF 079.319.976-03 (ADQUIRENTE) - ASSINANTE, CONEXÃO ATIVA E ADIMPLENTE
MIRELLA DE SOUZA SANTANA FREITAS CPF 124.850.086-55 (CONVIVENTE EM UNIÃO ESTÁVEL COM O ADQUIRENTE) - N/C
DEMAIS ADQUIRENTES ANTERIORES INFORMADOS NO CONTRATO, NÃO VERIFICADOS POR NÃO FAZEREM MAIS PARTE DO QUADRO DE COMPRA E VENDA ATUAL.</t>
  </si>
  <si>
    <t>ENDEREÇO NOVO: RUA NELSON DE OLIVEIRA, 227
COMPLEMENTO: APT. 302
CEP: 38408204
BAIRRO: SANTA MÔNICA</t>
  </si>
  <si>
    <t>PLANO ATUAL: 1000 MEGA/99,90 CONTRATADO EM 01/2025 COM FIDELIDADE DE 12 MESES. ROTEADOR: GREATEK
PLANO OFERTADO: 1 GIGA (1.000 MEGA) R$99,90. BENEFÍCIOS: ACESSO GRATUITO AO APP MZTV (CDNTV+) + VOD</t>
  </si>
  <si>
    <t>COMPROVANTE DE ENDEREÇO (CONTRATO DE LOCAÇÃO) EM ANEXO
NOME NO COMPROVANTE: SUELEN DA CRUZ OLIVEIRA (ASSINANTE)</t>
  </si>
  <si>
    <t>MK END; - N/C
MK NOME;
SUELEN DA CRUZ OLIVEIRA 103.749.056-81 (ASSINANTE) - CONEXÃO ATIVA, CLIENTE COM MENSALIDADE (15/05) EM ABERTO, DISSE QUE IRÁ EFETUAR O PAGAMANENTO ATÉ AMANHÃ ÁS 16:00. 
PAULO CÉSAR FELICIANO DE SOUZA 043.578.706-31 (LOCADOR) - N/C</t>
  </si>
  <si>
    <t>ENDEREÇO NOVO: RUA JOAQUIM PEREIRA DOS SANTOS, 147
COMPLEMENTO: CASA ÚNICA
CEP: 38401856
BAIRRO: MARIA REZENDE</t>
  </si>
  <si>
    <t>PLANO ATUAL: 1000 MEGA/99,90 CONTRATADO EM 11/2024 COM FIDELIDADE DE 12 MESES. ROTEADOR: ONT TP-LINK XC230
PLANO OFERTADO: 1 GIGA (1.000 MEGA) R$99,90. BENEFÍCIOS: ACESSO GRATUITO AO APP MZTV (CDNTV+) + VOD</t>
  </si>
  <si>
    <t>PLANO ATUAL: 150 MEGA/59,90 CONTRATADO EM 03/2025 COM FIDELIDADE DE 12 MESES. ROTEADOR: ONT TP-LINK XC220
PLANO OFERTADO: 150 MEGA/59,90. BENEFÍCIOS: ACESSO GRATUITO AO APP MZTV (CDNTV+)</t>
  </si>
  <si>
    <t>ENDEREÇO NOVO: RUA JOSÉ GERALDO PRATA, 498
COMPLEMENTO: CASA FUNDO 01
CEP: 38415351
BAIRRO: TOCANTINS</t>
  </si>
  <si>
    <t>COMPROVANTE DE ENDEREÇO (CEMIG) EM ANEXO
NOME NO COMPROVANTE: ALINE BARBOSA PEREIRA DA SILVA (DIZ SER MORADORA DA CASA 03)</t>
  </si>
  <si>
    <t>MK END -
(CASA 03 FUNDO) ANTONIA MARCIA RIBEIRO ALVES CPF 024.273.502-90 - SOLICITAÇÃO DE ADESÃO NA DATA DE 09/2025 POSTERIORMENTE ENCERRADA, POIS CLIENTE NÃO CONCORDOU COM A TAXA DE INSTALAÇÃO.
(CASA 03 FRENTE) ALINE BARBOSA PEREIRA DA SILVA CPF 105.310.616-55 (DIZ SER MORADORA DA CASA 03) ADESÃO REALIZADA NA DATA DE 08/2022 CONEXÃO ATIVA E ADIMPLENTE.
MK NOMES - N/C</t>
  </si>
  <si>
    <t>ENDEREÇO NOVO: RUA MARQUES PÓVOA, 1026
COMPLEMENTO: APT. 21-B
CEP: 38400438
BAIRRO: OSVALDO REZENDE</t>
  </si>
  <si>
    <t>LUCIANA (ESPOSA)</t>
  </si>
  <si>
    <t>COMPROVANTE DE ENDEREÇO (DMAE) EM ANEXO
NOME NO COMPROVANTE: RICARDO VIEIRA CROCHES (ASSINANTE)</t>
  </si>
  <si>
    <t>MK END: N/C
MK NOME: RICARDO VIEIRA CROCHES (TITULAR) - POSSUI CONEXÃO CONOSCO DESDE 11/2024, ATIVA E ADIMPLENTE.
LUCIANA CAMILA BARBOSA DA SILVA (ESPOSA DO TITULAR) - N/C</t>
  </si>
  <si>
    <t xml:space="preserve">MUD END DELVANIA CRISTINA DE OLIVEIRA PROT:2606.3820 PIX (JOSÉ Jr) - PATRIMÔNIO  </t>
  </si>
  <si>
    <t>DELVANIA CRISTINA DE OLIVEIRA</t>
  </si>
  <si>
    <t xml:space="preserve">MUD END + ALT PLANO FELLIPE SOUZA PEREIRA PROT:2606.3983 ISENTO (ANDREZA) - JARDIM PATRÍCIA **PRÉDIO COM PRUMADA** //  </t>
  </si>
  <si>
    <t>FELLIPE SOUZA PEREIRA</t>
  </si>
  <si>
    <t>ENDEREÇO NOVO: RUA JOSÉ HUMBERTO ALVES, 10
COMPLEMENTO: CASA 03
CEP: 38411030
BAIRRO: PATRIMÔNIO</t>
  </si>
  <si>
    <t>DALVA LUIZA DE OLIVEIRA (IRMÃ)</t>
  </si>
  <si>
    <t>COMPROVANTE DE ENDEREÇO (CONTRATO DE LOCAÇÃO) EM ANEXO
NOME NO COMPROVANTE:  ELIZABETH MARIA DO NASCIMENTO OLIVEIRA (MÃE DA TITULAR)</t>
  </si>
  <si>
    <t>(34) 99181-7007</t>
  </si>
  <si>
    <t>MK END:
   JULIENE REZENDE CPF:015.608.341-88 CLIENTE POSSUI CONEXÃO CANCELADA DESDE O DIA 07/08/2023. EQUIPAMENTOS DEVOLVIDOS. CLIENTE ADIMPLENTE.
MK NOMES:
  ELIZABETH MARIA DO NASCIMENTO OLIVEIRA CPF: 966.831.206-68 (LOCATÁRIO)MÃE DA TITULAR.N/C
  RUTE GONÇALVES SHOR CPF: 431.537.046-00 (LOCADOR)N/C
  DELVÂNIA CRISTINA DE OLIVEIRA (MORADORA)TITULAR DA CONEXÃO.
  DALVA LUIZA DE OLIVEIRA (MORADORA)IRMÃ DA TITULAR DA CONEXÃO. CLIENTE POSSUI CONEXÃO CANCELADA NO ENDEREÇO RUA CAMPOS SALES, 577, DESDE O DIA 05/07/2023. CLIENTE ADIMPLENTE.
  VALDIR GRACIANO DA COSTA (REPRESENTANTE DA IMOBILIÁRIA)N/C
  RODRIGO GRACIANO DA COSTA (REPRESENTANTE DA IMOBILIÁRIA)N/C</t>
  </si>
  <si>
    <t>b&gt;ONT = ONT ZTE // CONECTOR = VERDE.&lt;/b&gt;</t>
  </si>
  <si>
    <t>ENDEREÇO NOVO: AVENIDA DO ÓLEO, 361
COMPLEMENTO: CONDO. MORADA DO BOSQUE - BLOCO 9, APTO 304
CEP: 38414224
BAIRRO: JARDIM PATRÍCIA</t>
  </si>
  <si>
    <t>PLANO ATUAL: 600 MEGA/79,90 CONTRATADO EM 06/2025 COM FIDELIDADE DE 12 MESES. ROTEADOR: ONT TP-LINK XC220
PLANO OFERTADO: 600 MEGA/79,90. BENEFÍCIOS: ACESSO GRATUITO AO APP MZTV (CDNTV+)</t>
  </si>
  <si>
    <t>COMPROVANTE DE ENDEREÇO (CONTRATO DE LOCAÇÃO) EM ANEXO
NOME NO COMPROVANTE: FELLIPE SOUZA PEREIRA (ASSINANTE)
___________________________________________________________
COMPROVANTE DE ENDEREÇO (TAXA DE CONDOMÍNIO) EM ANEXO
NOME NO COMPROVANTE: FELLIPE SOUZA PEREIRA (ASSINANTE)</t>
  </si>
  <si>
    <t>MK END:
-&gt; YASMIN RESENDE SILVA - CPF 104.534.396-08: CONEXÃO CANCELADA EM 04/2026 (DÉBITOS R$847,70 // NÃO DEVOLVEU OS EQUIPAMENTOS).
________________________________________
MK NOMES:
-&gt; CLAYTON BORGES DA SILVA (LOCADOR) - CPF 049.138.516-16: N/C
-&gt; IVAN NEGÓCIOS IMOBILIÁRIOS LTDA (ADMINISTRADORA) - CNPJ 20.869.012/0001-64: N/C
-&gt; IVAN GRACIANO DA COSTA FILHO (SÓCIO GERENTE) - CPF 040.246.836-83: N/C
-&gt; RICARDO GRACIANO DA COSTA (PROCURADOR / ADVOGADO) - CPF 042.613.186-01: N/C
-&gt; VICENTE PAULO FERREIRA (PROCURADOR / ADMINISTRADORA) - CPF 435.173.826-04: N/C
-&gt; JOYCE APARECIDA DIAS (PROCURADOR / ADMINISTRADORA) - CPF 058.367.476-36: N/C
-&gt; TAIZ LAMARA BALESTERE TEIXEIRA ALVES (PROCURADOR / ADMINISTRADORA) - CPF 320.333.798-33: N/C
-&gt; FELLIPE SOUZA PEREIRA (LOCATÁRIO) - CPF 123.879.466-18: ASSINANTE DA CONEXÃO.
-&gt; RONNIE CARLOS CASTRO PEREIRA (FIADOR) - CPF 755.738.496-20: N/C
-&gt; ANDREIA CRISTINA DE SOUZA PEREIRA (CÔNJUGE DO FIADOR) - CPF 984.310.646-68: N/C</t>
  </si>
  <si>
    <t>MUD END + ALT PLANO VALQUIRIA PONTES MAIA SILVA (HEMANUELLE/FILHA) PROT:2606.1119 ISENTO (HALYSON/RONALD) - JARDIM EUROPA *SOBRADO* //</t>
  </si>
  <si>
    <t>VALQUIRIA PONTES MAIA SILVA (HEMANUELLE/FILHA)</t>
  </si>
  <si>
    <t>ENDEREÇO NOVO: AVENIDA TONICO REZENDE, 290 
COMPLEMENTO: UNIDADE 2
CEP: 38414676
BAIRRO: JARDIM EUROPA</t>
  </si>
  <si>
    <t>PLANO ATUAL: 600 MEGA/79,90 CONTRATADO EM 08/2025 COM FIDELIDADE DE 12 MESES. ROTEADOR: ONT ZTE F 670-L
PLANO OFERTADO: 600 MEGA/79,90. BENEFÍCIOS: ACESSO GRATUITO AO APP MZTV (CDNTV+)</t>
  </si>
  <si>
    <t>COMPROVANTE DE ENDEREÇO (CONTRATO DE LOCAÇÃO) EM ANEXO
NOME NO COMPROVANTE: VALQUIRIA PONTES MAIA SILVA (ASSINANTE)</t>
  </si>
  <si>
    <t xml:space="preserve">MUD END + ALT PLANO KELLEN REGINA DE ABREU MARTINS PROT:2606.4098 ISENTO (IZABELA) - JARDIM EUROPA **PRÉDIO COM PRUMADA** //  </t>
  </si>
  <si>
    <t>KELLEN REGINA DE ABREU MARTINS</t>
  </si>
  <si>
    <t>ENDEREÇO NOVO: RUA ALFREDO VIEIRA, 280
COMPLEMENTO: BL B APT 206
CEP: 38414582
BAIRRO: JARDIM EUROPA</t>
  </si>
  <si>
    <t>PLANO ATUAL: 150 MEGA/59,90 CONTRATADO EM 07/2024 COM FIDELIDADE DE 12 MESES. ROTEADOR: ZTE H199-A
PLANO OFERTADO: 150 MEGA/59,90. BENEFÍCIOS: ACESSO GRATUITO AO APP MZTV (CDNTV+)</t>
  </si>
  <si>
    <t>COMPROVANTE DE ENDEREÇO (TAXA DE MUDANÇA (CONDOMÍNIO) ) EM ANEXO
NOME NO COMPROVANTE: EDNA APARECIDA CANDIDO (DISSE SER A PROPRIETÁRIA DO APARTAMENTO)</t>
  </si>
  <si>
    <t xml:space="preserve">MK END: N/C		
MK NOME: EDNA APARECIDA CANDIDO (DISSE SER A PROPRIETÁRIA DO APARTAMENTO) - N/C	</t>
  </si>
  <si>
    <t>MK END ; - N/C
MK NOME;
VALQUIRIA PONTES MAIA SILVA 005.556.726-62 (ASSINANTE) - CLIENTE COM CONEXÃO ATIVA E ADIMPLENTE
HEMANUELLE PONTES MAIA SILVA  (FILHA DE VALQUIRIA) - N/C
DALTON SOUZA DE OLIVEIRA 068.084.596-81 (LOCADOR) - CLIENTE MZ NET, CONTRATOU EM 05/2026 SEM DÉBITOS PENDENTES. 
DELTA IMÓVEIS E ADMINISTRAÇÃO LTDA (IMOBILIARIA) - N/C
FRANCIS HEME CESAR PEREIRA 086.429.536-75 (REPRESENTANTE DA IMOBILIÁRIA) - N/C
LOFT SOLUÇÕES FINANCEIRAS S/A (TIPO DE FIANÇA)- N/C
VALERIA CRISTINA FERREIRA DE CARVALHO (TESTEMUNHA) - N/C
RHAYANNE MYCHELLE INÁCIO DE PAULA 704.090.796-85 (TESTEMUNHA) - CONEXÃO ATIVA E ADIMPLENTE
GLADSTON CESAR PEREIRA MODERNO 129.735.616-04 (TESTEMUNHA) - N/C</t>
  </si>
  <si>
    <t>HEMANUELLE PONTES MAIA SILVA (FILHA)</t>
  </si>
  <si>
    <t>COMPROVANTE DE ENDEREÇO (CONTRATO DE LOCAÇÃO) EM ANEXO</t>
  </si>
  <si>
    <t xml:space="preserve">MUD END + ALT PLANO LUCAS LARANJEIRAS SOUZA PROT:2606.4451 ISENTO (PEDRO) - JARDIM BRASÍLIA **ENVIAR TÉCNICO DUPLADO** //  </t>
  </si>
  <si>
    <t>LUCAS LARANJEIRAS SOUZA</t>
  </si>
  <si>
    <t>ENDEREÇO NOVO: RUA TOMAZ MARTINS DE CAMPOS, 77</t>
  </si>
  <si>
    <t>PLANO ATUAL: 300 MEGA/69,90 CONTRATADO EM 08/2025 COM FIDELIDADE DE 12 MESES. ROTEADOR: ONT TP-LINK XC220</t>
  </si>
  <si>
    <t>COMPROVANTE DE ENDEREÇO (TAXA DE CONDOMÍNIO) EM ANEXO</t>
  </si>
  <si>
    <t>MK END: MAURA FERREIRA DE MOURA - SOLICITOU INSTALAÇÃO EM 09/2023, MAS POR MOTIVO DE SAÚDE, NÃO PÔDE SEGUIR E CANCELOU A SOLICITAÇÃO.</t>
  </si>
  <si>
    <t>COMPROVANTE DE ENDEREÇO (CEMIG) EM ANEXO</t>
  </si>
  <si>
    <t xml:space="preserve">MUD END EDMO DOS SANTOS PROT:2606.1121 PIX (PEDRO) - PAMPULHA   </t>
  </si>
  <si>
    <t>EDMO DOS SANTOS</t>
  </si>
  <si>
    <t>ENDEREÇO NOVO: RUA BARÃO DE OURO PRETO, 767</t>
  </si>
  <si>
    <t>VIVIANE KELY CARDOSO SILVA</t>
  </si>
  <si>
    <t>ENDEREÇO NOVO: RUA DO FEIRANTE, 1524</t>
  </si>
  <si>
    <t>MK END:N/C</t>
  </si>
  <si>
    <t xml:space="preserve">MUD END + ALT PLANO ORIONY ALVES PACHECO PROT:2606.1135 ISENTO (RONALD) - JARDIM EUROPA **PRÉDIO COM PRUMADA** //  </t>
  </si>
  <si>
    <t>ORIONY ALVES PACHECO</t>
  </si>
  <si>
    <t>ENDEREÇO NOVO: RUA ORZINDA LEMES MONTANA, 280</t>
  </si>
  <si>
    <t>PLANO ATUAL: 600 MEGA/79,90 CONTRATADO EM 08/2025 COM FIDELIDADE DE 12 MESES. ROTEADOR: ONT TP-LINK XC220</t>
  </si>
  <si>
    <t>MK END; - N/C</t>
  </si>
  <si>
    <t>MUD END + ALT PLANO GEOVANA FARIA GARCIA PROT:2606.3895 ISENTO (ANDREZA) - SANTA MÔNICA **PRÉDIO SEM PRUMADA** //  8 ANDARES, 4 APTOS POR ANDAR</t>
  </si>
  <si>
    <t>GEOVANA FARIA GARCIA</t>
  </si>
  <si>
    <t>ENDEREÇO NOVO: RUA CECÍLIO JORGE, 192</t>
  </si>
  <si>
    <t>PLANO ATUAL: 600 MEGA/79,90 CONTRATADO EM 04/2025 COM FIDELIDADE DE 12 MESES. ROTEADOR: ONT ZTE F 670-L</t>
  </si>
  <si>
    <t>MARCIA REGINA MARTINS</t>
  </si>
  <si>
    <t>ENDEREÇO NOVO: RUA OLIVIA RIBEIRO DE SÁ, 1150</t>
  </si>
  <si>
    <t>PLANO ATUAL: 1000 MEGA/99,90 CONTRATADO EM 11/25 COM FIDELIDADE DE 12 MESES. ROTEADOR: ONT TP-LINK X530</t>
  </si>
  <si>
    <t>MK END:</t>
  </si>
  <si>
    <t>MUD END + ALT PLANO DEBORAH DE AQUINO SILVA REZENDE PROT:.2606.733 ISENTO (LAUREN) - SÃO JORGE  //</t>
  </si>
  <si>
    <t>DEBORAH DE AQUINO SILVA REZENDE</t>
  </si>
  <si>
    <t>ENDEREÇO NOVO: RUA SERRA DO TOMBADOR, 176</t>
  </si>
  <si>
    <t>PLANO ATUAL: 600 MEGA/79,90 CONTRATADO EM 01/2025 COM FIDELIDADE DE 12 MESES. ROTEADOR: ZTE H199-A</t>
  </si>
  <si>
    <t>MK END -</t>
  </si>
  <si>
    <t>MUD END VIVIANE KELY CARDOSO SILVA PROT:2606.3889 PIX (JOSÉ Jr) - PLANALTO   *PENDENTE COMPROVANTE*</t>
  </si>
  <si>
    <t>MUD END MARCIA REGINA MARTINS (NOVA SOLICITACAO) (1000MB) JARDIM EUROPA - CONDOMINIO ROYALE 3 -  MARCIA ACOMPANHA (MZ#)</t>
  </si>
  <si>
    <t xml:space="preserve">MUD END VALBER CARDOSO DIAS PROT:2606.4060 PIX (JOSÉ Jr) - NOVO MUNDO </t>
  </si>
  <si>
    <t xml:space="preserve">MUD END NATASSHA MARINA MORENA BRANDAO AZEVEDO (SALAO DE BELEZA) PROT (HALYSSON) </t>
  </si>
  <si>
    <t>THAUANA RODRIGUES CARVALHO PEREIRA</t>
  </si>
  <si>
    <t>VALBER CARDOSO DIAS</t>
  </si>
  <si>
    <t>GIOVANNA GABRIELLE LISBOA MELO</t>
  </si>
  <si>
    <t>UILME SOARES RODRIGUES</t>
  </si>
  <si>
    <t>ENDEREÇO NOVO: AVENIDA BELARMINO COTTA PACHECO, 3485
COMPLEMENTO: CASA FRENTE
CEP: 38408279
BAIRRO: SEGISMUNDO PEREIRA</t>
  </si>
  <si>
    <t>ENDEREÇO NOVO: RUA NOVA ORLEANS, 193
COMPLEMENTO: CASA UNICA
CEP: 38407724
BAIRRO: NOVO MUNDO</t>
  </si>
  <si>
    <t>PAULO SÉRGIO BORGES FERREIRA (AMIGO)</t>
  </si>
  <si>
    <t>COMPROVANTE DE ENDEREÇO (DMAE) EM ANEXO
NOME NO COMPROVANTE:  NEUZA HELENA FERNANDES DA COSTA (LOCADOR)</t>
  </si>
  <si>
    <t>MK END:N/C
MK NOMES:
   NEUZA HELENA FERNANDES DA COSTA (CLIENTE INFORMA QUE É O LOCADOR)N/C
   PAULO SÉRGIO BORGES FERREIRA (AMIGO DO TITULAR)N/C</t>
  </si>
  <si>
    <t>NÃO ANEXOU COMPROVANTE</t>
  </si>
  <si>
    <t>ENDEREÇO NOVO: RUA PATO-CORREDOR, 170
COMPLEMENTO: CASA ÚNICA
CEP: 38421005
BAIRRO: LOTEAMENTO RESIDENCIAL PEQUIS</t>
  </si>
  <si>
    <t>PLANO ATUAL: 600 MEGA/79,90 CONTRATADO EM 09/25 COM FIDELIDADE DE 12 MESES. ROTEADOR: ONT TP-LINK XC220
PLANO OFERTADO: 1 GIGA (1.000 MEGA) R$99,90. BENEFÍCIOS: ACESSO GRATUITO AO APP MZTV (CDNTV+) + VOD</t>
  </si>
  <si>
    <t>COMPROVANTE DE ENDEREÇO (CEMIG) EM ANEXO
NOME NO COMPROVANTE: MARISTELLA ROQUETE DE OLIVEIRA (DIZ SER PROPRIETARIA DO IMOVEL)</t>
  </si>
  <si>
    <t>MK END: N/C
MK NOMES:
MARISTELLA ROQUETE DE OLIVEIRA (PROPRIETARIA DO IMOVEL):  N/C</t>
  </si>
  <si>
    <t>PLANO ATUAL: 1000 MEGA/99,90 CONTRATADO EM 07/2024 COM FIDELIDADE DE 12 MESES. ROTEADOR: GREATEK
PLANO OFERTADO: 1 GIGA (1.000 MEGA) R$99,90. BENEFÍCIOS: ACESSO GRATUITO AO APP MZTV (CDNTV+) + VOD</t>
  </si>
  <si>
    <t>ENDEREÇO NOVO: RUA RIO ARAGUAIA, 89
COMPLEMENTO: CASA FUNDOS
CEP: 38414486
BAIRRO: MANSOUR</t>
  </si>
  <si>
    <t>COMPROVANTE DE ENDEREÇO (DMAE) EM ANEXO
NOME NO COMPROVANTE: ANTONIA MARIA PEREIRA (PROPRIETÁRIA DO IMOVEL)</t>
  </si>
  <si>
    <t>PLANO ATUAL: 600 MEGA/79,90 CONTRATADO EM 09/2025 COM FIDELIDADE DE 12 MESES. ROTEADOR: ONT TP-LINK XC220
PLANO OFERTADO: 600 MEGA/79,90. BENEFÍCIOS: ACESSO GRATUITO AO APP MZTV (CDNTV+)</t>
  </si>
  <si>
    <t>PROCESSO DO PROTOCOLO INCORRETO
COBRAR COMPROVANTE DE RESIDENCIA</t>
  </si>
  <si>
    <t xml:space="preserve">MUD END RAIANE CARVALHO DE MELO PROT:2606.2598 DINHEIRO (HALYSON) - TOCANTINS    </t>
  </si>
  <si>
    <t>MUD END + ALT PLANO CARLOS ALBERTO DE SOUZA COSTA PROT:2605.30691 ISENTO (ANDREZA) - UMUARAMA</t>
  </si>
  <si>
    <t>MUD END MARIA EDUARDA CUNHA PROT:2606.5126 CARTÃO (HALYSON) - TAIAMAN  *PODE ANTECIPAR*</t>
  </si>
  <si>
    <t xml:space="preserve">MUD END LUCINEIDE LUCIA DA COSTA PROT:2606.5987 PIX (PEDRO) - GUARANI  </t>
  </si>
  <si>
    <t xml:space="preserve">MUD END + ALT PLANO + CANCELAMENTO WIFI EXTEND LEYRIELE LEANDRA BARROS CARDOSO PROT:2604.21618 ISENTO (LUIS) - JARDIM PATRÍCIA **PRÉDIO COM PRUMADA** //  </t>
  </si>
  <si>
    <t>MUD END + ALT PLANO MARINA CARDOSO DE PAULA PROT:2606.5910 ISENTO (JHONATAN) - MORUMBI *PRÉDIO COM PRUMADA* //  TROCA DE EQUIPAMENTO * PEND COMPORVANTE E VALICIDAÇÃO)</t>
  </si>
  <si>
    <t>MUD END + ALT PLANO ARIANE PAULA RODRIGUES ALEIXO PROT:2606.4946 ISENTO (HALYSON) - LOTEAMENTO RESIDENCIAL PEQUIS  //  *PODE ANTECIPAR*</t>
  </si>
  <si>
    <t>MUD END ELIANA DIMAS ROCHA PROT:2606.7181 PIX (VICTOR H.) - SHOPPING PARK **SOBRADO**  SEM FIDELIDADE</t>
  </si>
  <si>
    <t xml:space="preserve">MUD END + ALT PLANO NATASSHA MARINA MORENA BRANDAO AZEVEDO (SALAO DE BELEZA) PROT:2606.3910 ISENTO (HALYSON) - MARTA HELENA  //  </t>
  </si>
  <si>
    <t>RAIANE CARVALHO DE MELO</t>
  </si>
  <si>
    <t>MARIA EDUARDA CUNHA</t>
  </si>
  <si>
    <t>CARLOS ALBERTO DE SOUZA COSTA</t>
  </si>
  <si>
    <t>LUCINEIDE LUCIA DA COSTA</t>
  </si>
  <si>
    <t>LEYRIELE LEANDRA BARROS CARDOSO</t>
  </si>
  <si>
    <t>ARIANE PAULA RODRIGUES ALEIXO</t>
  </si>
  <si>
    <t>MARINA CARDOSO DE PAULA</t>
  </si>
  <si>
    <t>ELIANA DIMAS ROCHA</t>
  </si>
  <si>
    <t>NATASSHA MARINA MORENA BRANDAO AZEVEDO (SALAO DE BELEZA)</t>
  </si>
  <si>
    <t>JONAS CACILDO DE AZEVEDO</t>
  </si>
  <si>
    <t>ANA LÚCIA PEREIRA (MÃE)</t>
  </si>
  <si>
    <t>ENDEREÇO NOVO: RUA JOAQUIM ROBERTO SOUZA, 389
COMPLEMENTO: CASA FRENTE
CEP: 38415309
BAIRRO: TOCANTINS</t>
  </si>
  <si>
    <t>COMPROVANTE DE ENDEREÇO (CEMIG) EM ANEXO
NOME NO COMPROVANTE: LAIS ALVES DE OLIVEIRA SILVA (ANTIGA INQUILINA)</t>
  </si>
  <si>
    <t>COMPROVANTE DE ENDEREÇO (CONTRATO DE LOCAÇÃO) EM ANEXO
NOME NO COMPROVANTE:   MARIA EDUARDA CUNHA (LOCATÁRIA E ASSINANTE)</t>
  </si>
  <si>
    <t>ENDEREÇO NOVO: RUA AGENOR GARCIA ROSA, 101
COMPLEMENTO: CASA
CEP: 38415079
BAIRRO: TAIAMAN</t>
  </si>
  <si>
    <t>FELIPE YURI FRANÇA RIBEIRO (ESPOSO)</t>
  </si>
  <si>
    <t>MK END: N/C
MK NOMES
- RENATO AUGUSTO DOS SANTOS | CPF 640.744.126-91 | LOCADOR: N/C
- KARINA MELO SANTOS | CPF 131.047.386-29 | LOCADORA: N/C
- MARIA EDUARDA CUNHA | CPF 018.949.086-19 | LOCATÁRIA E ASSINANTE:
CONEXÃO ATIVA E ADIMPLENTE. END.: RUA MÁRIO JOSÉ PINTO, Nº 116. EM PROCESSO DE MUDANÇA DE ENDEREÇO.
CONEXÃO CANCELADA. END.: AVENIDA ALICE DE OLIVEIRA E SILVA, COND. PALMEIRA IMPERIAL, APT. 201. CANCELADA NA DATA DE 05/03/2025.
- FELIPE YURI FRANÇA RIBEIRO | CPF 470.898.628-95 | LOCATÁRIO E ESPOSO DA ASSINANTE:
POSSUI CONEXÃO ATIVA E ADIMPLENTE. END.: RUA DO SAMBA, Nº 439, BAIRRO GUARANI.</t>
  </si>
  <si>
    <t>PLANO ATUAL: 1000 MEGA/99,90 CONTRATADO EM 04/2023 COM FIDELIDADE DE 12 MESES. ROTEADOR: ONT ZTE F 670-L
PLANO OFERTADO: 1 GIGA (1.000 MEGA) R$99,90. BENEFÍCIOS: ACESSO GRATUITO AO APP MZTV (CDNTV+) + VOD</t>
  </si>
  <si>
    <t>ENDEREÇO NOVO: RUA DA LAMBADA, 388
COMPLEMENTO: CASA 1 (TÉRREO)
CEP: 38415447
BAIRRO: GUARANI</t>
  </si>
  <si>
    <t>COMPROVANTE DE ENDEREÇO (CONTRATO DE LOCAÇÃO) EM ANEXO
NOME NO COMPROVANTE: LUCINEIDE LUCIA DA COSTA (ASSINANTE)</t>
  </si>
  <si>
    <t>34 98445-4876</t>
  </si>
  <si>
    <t>MK END: KAILANE DA SILVA SALES (CASA 1) - SOLICITOU INSTALAÇÃO EM 12/2025, MAS FOI NEGADO POR CONTA DE SCORE BAIXO E RESTRIÇÕES SPC/SERASA. FOI PROPOSTA FAZER O CADASTRO NO NOME DA SUA MÃE (SANDRA RODRIGUES DA SILVA SALES), MAS NÃO HOUVE MAIS REGISTRO DESDE ENTÃO.
NAYARA DA COSTA SANTOS (CASA 1) - SOLICITOU INSTALAÇÃO EM 06/2024, MAS NÃO HOUVE INTERAÇÃO DA MESMA APÓS ISSO, SOLICITAÇÃO CANCELADA INTERNAMENTE.
MK NOME: JEFFERSON ALVES DE OLIVEIRA (LOCADOR / CPF: 050.790.010-17) - N/C
LUCINEIDE LÚCIA DA COSTA (LOCATÁRIA / TITULAR / CPF: 067.951.684-09) - POSSUI CONEXÃO CONOSCO DESDE 11/2022, ATIVA E ADIMPLENTE.
LUCÉLIA LÚCIA DA COSTA (IRMÃ DA TITULAR) - N/C</t>
  </si>
  <si>
    <r>
      <t xml:space="preserve">MUD END ENEIAS RODRIGUES DE SOUZA (NOVO VISUAL SERVICOS GRAFICA) PROT:2603.1107 PIX (HALYSON) - OSVALDO REZENDE   **(POSSUI WI-FI EXTEND)** </t>
    </r>
    <r>
      <rPr>
        <b/>
        <sz val="14"/>
        <color rgb="FFFF0000"/>
        <rFont val="Verdana"/>
        <family val="2"/>
      </rPr>
      <t>*PENDENTE COMPROVANTE PAGAMENTO E ENDEREÇO*</t>
    </r>
  </si>
  <si>
    <r>
      <t xml:space="preserve">MUD END + ALT PLANO JULIA GABRIELA MARIA DORNELES PROT:2603.35607 ISENTO (BRUNA) - LARANJEIRAS  //  </t>
    </r>
    <r>
      <rPr>
        <b/>
        <sz val="14"/>
        <color rgb="FFFF0000"/>
        <rFont val="Verdana"/>
        <family val="2"/>
      </rPr>
      <t xml:space="preserve"> *ASSINATURA PEND*</t>
    </r>
  </si>
  <si>
    <r>
      <t xml:space="preserve">MUD END + ALT PLANO DENISE DE FREITAS PROT:2603.22413 ISENTO (ANDREZA) - JARDIM DAS PALMEIRAS  //  </t>
    </r>
    <r>
      <rPr>
        <b/>
        <sz val="14"/>
        <color rgb="FFFF0000"/>
        <rFont val="Verdana"/>
        <family val="2"/>
      </rPr>
      <t>*LIGAR QUANDO ESTIVER A CAMINHO*</t>
    </r>
  </si>
  <si>
    <r>
      <t xml:space="preserve">MUD END SUIANI TERTO DA SILVA (ESCRITORIO DE ADVOCACIA UNID02) PROT:2603.34007 PIX (ANDREZA) - LUIZOTE DE FREITAS   //  </t>
    </r>
    <r>
      <rPr>
        <b/>
        <sz val="14"/>
        <color rgb="FF000000"/>
        <rFont val="Verdana"/>
        <family val="2"/>
      </rPr>
      <t>*ANÁLISE DE 90 DIAS*</t>
    </r>
  </si>
  <si>
    <r>
      <rPr>
        <sz val="14"/>
        <color rgb="FF000000"/>
        <rFont val="Verdana"/>
        <family val="2"/>
      </rPr>
      <t xml:space="preserve">MUD END + ALT PLANO KATIUCIA SILVA SANTOS PROT:2603.32174 ISENTO (HALYSON) - JARDIM EUROPA  //  </t>
    </r>
    <r>
      <rPr>
        <b/>
        <sz val="14"/>
        <color rgb="FFFF0000"/>
        <rFont val="Verdana"/>
        <family val="2"/>
      </rPr>
      <t>*03/04/2026 ÁS 08HS //</t>
    </r>
  </si>
  <si>
    <r>
      <rPr>
        <sz val="14"/>
        <color rgb="FF000000"/>
        <rFont val="Verdana"/>
        <family val="2"/>
      </rPr>
      <t xml:space="preserve">MUD END LEANDRO EMANUEL ROSA OLIVEIRA PROT:2603.29238 PIX (BRUNA) - CUSTÓDIO PEREIRA  </t>
    </r>
    <r>
      <rPr>
        <b/>
        <sz val="14"/>
        <color rgb="FFFF0000"/>
        <rFont val="Verdana"/>
        <family val="2"/>
      </rPr>
      <t xml:space="preserve">04/04/2026 ÁS 08HRS // *ANALISE 90 DIAS* </t>
    </r>
  </si>
  <si>
    <r>
      <rPr>
        <sz val="14"/>
        <color rgb="FF000000"/>
        <rFont val="Verdana"/>
        <family val="2"/>
      </rPr>
      <t xml:space="preserve">MUD END + ALT PLANO ROBSON LIBERIO DA SILVA PROT:2603.34423 ISENTO (HALYSON) - NOSSA SENHORA DAS GRAÇAS  // </t>
    </r>
    <r>
      <rPr>
        <b/>
        <sz val="14"/>
        <color rgb="FFFF0000"/>
        <rFont val="Verdana"/>
        <family val="2"/>
      </rPr>
      <t xml:space="preserve"> *PEND.  COMPROVANTE ENDEREÇO E DE PAGAMENTO*</t>
    </r>
  </si>
  <si>
    <r>
      <t>MUD END VANESSA LISBOA MIRANDA PROT:2603.32068 CARTÃO (LUIS) - CHÁCARAS TUBALINA E QUARTEL **PRÉDIO COM PRUMADA**</t>
    </r>
    <r>
      <rPr>
        <b/>
        <sz val="14"/>
        <color rgb="FFFF0000"/>
        <rFont val="Verdana"/>
        <family val="2"/>
      </rPr>
      <t xml:space="preserve">  04/04/2026 ÁS 10HRS</t>
    </r>
  </si>
  <si>
    <r>
      <t xml:space="preserve">MUD END WESLEY DE SOUZA GONCALVES PROT:2603.32228 PIX </t>
    </r>
    <r>
      <rPr>
        <b/>
        <sz val="14"/>
        <color rgb="FFFF0000"/>
        <rFont val="Verdana"/>
        <family val="2"/>
      </rPr>
      <t xml:space="preserve">(VAGNER) </t>
    </r>
    <r>
      <rPr>
        <sz val="14"/>
        <color rgb="FF000000"/>
        <rFont val="Verdana"/>
        <family val="2"/>
      </rPr>
      <t>- SÃO JORGE // *ANALISE*</t>
    </r>
  </si>
  <si>
    <r>
      <rPr>
        <sz val="14"/>
        <color rgb="FF000000"/>
        <rFont val="Verdana"/>
        <family val="2"/>
      </rPr>
      <t xml:space="preserve">RESERVA </t>
    </r>
    <r>
      <rPr>
        <b/>
        <sz val="14"/>
        <color rgb="FFFF0000"/>
        <rFont val="Verdana"/>
        <family val="2"/>
      </rPr>
      <t>RONALD</t>
    </r>
    <r>
      <rPr>
        <sz val="14"/>
        <color rgb="FF000000"/>
        <rFont val="Verdana"/>
        <family val="2"/>
      </rPr>
      <t xml:space="preserve"> / MUD END / JUVENIL MARIO BENEDITO</t>
    </r>
  </si>
  <si>
    <r>
      <t>MUD END NAIANE RODRIGUES DE SOUSA MELO PROT:2603.34560 PIX (BRUNA) - SEGISMUNDO PEREIRA  //</t>
    </r>
    <r>
      <rPr>
        <b/>
        <sz val="14"/>
        <color rgb="FFFF0000"/>
        <rFont val="Verdana"/>
        <family val="2"/>
      </rPr>
      <t xml:space="preserve"> </t>
    </r>
  </si>
  <si>
    <r>
      <t xml:space="preserve">MUD END PIETRO URBANO GALVAO PROT:2603.35889 PIX (JHONATAN) -  **PRÉDIO SEM PRUMADA - ENVIAR TÉCNICO DUPLADO**  </t>
    </r>
    <r>
      <rPr>
        <b/>
        <sz val="14"/>
        <color rgb="FFFF0000"/>
        <rFont val="Verdana"/>
        <family val="2"/>
      </rPr>
      <t>*AGUARDANDO ANALISE  PRÉDIO (VERTICAL)*</t>
    </r>
  </si>
  <si>
    <r>
      <rPr>
        <sz val="14"/>
        <color rgb="FF000000"/>
        <rFont val="Verdana"/>
        <family val="2"/>
      </rPr>
      <t xml:space="preserve">MK END
N/C
MK NOMES
-&gt; PIETRO URBANO GALVÃO (LOCATÁRIO / ASSINANTE DA CONEXÃO)
-&gt; VALDEMAR DA SILVA ZUZA (LOCADOR / PROPRIETÁRIO DO IMÓVEL): N/C
-&gt; MÁRCIO ANDRÉ GUIMARÃES GALVÃO (FIADOR): </t>
    </r>
    <r>
      <rPr>
        <b/>
        <sz val="14"/>
        <color rgb="FFFF0000"/>
        <rFont val="Verdana"/>
        <family val="2"/>
      </rPr>
      <t xml:space="preserve">POSSUI CONEXÃO ATIVA E ADIMPLENTE
</t>
    </r>
    <r>
      <rPr>
        <sz val="14"/>
        <color rgb="FF000000"/>
        <rFont val="Verdana"/>
        <family val="2"/>
      </rPr>
      <t>-&gt; TIZIANA ADRIANA URBANO (CÔNJUGE DO FIADOR / FIADORA): N/C
-&gt; OBJETIVA IMÓVEIS S/S LTDA (IMOBILIÁRIA): N/C</t>
    </r>
  </si>
  <si>
    <r>
      <t>MUD END ERIKA CRISTINA ALESSI (ATELIE DE ALTA COSTURA) PROT:2604.1333 PIX (VICTOR H.) - OSVALDO REZENDE   /</t>
    </r>
    <r>
      <rPr>
        <b/>
        <sz val="14"/>
        <color rgb="FFFF0000"/>
        <rFont val="Verdana"/>
        <family val="2"/>
      </rPr>
      <t>/ PENDENTE COMPROVANTE DE ENDEREÇO</t>
    </r>
  </si>
  <si>
    <r>
      <t xml:space="preserve">MUD END BRENO SANTOS RESENDE PROT:2604.853 PIX (JOSÉ Jr) - PRESIDENTE ROOSEVELT   </t>
    </r>
    <r>
      <rPr>
        <b/>
        <sz val="14"/>
        <color rgb="FFFF0000"/>
        <rFont val="Verdana"/>
        <family val="2"/>
      </rPr>
      <t>*PENDENTE COMPROVANTE*</t>
    </r>
  </si>
  <si>
    <r>
      <t xml:space="preserve">MUD END + ALT PLANO JULIANA COUTINHO FERREIRA PROT:2603.18313 ISENTO </t>
    </r>
    <r>
      <rPr>
        <b/>
        <sz val="14"/>
        <color rgb="FFFF0000"/>
        <rFont val="Verdana"/>
        <family val="2"/>
      </rPr>
      <t>(VICTOR H.</t>
    </r>
    <r>
      <rPr>
        <sz val="14"/>
        <color rgb="FF000000"/>
        <rFont val="Verdana"/>
        <family val="2"/>
      </rPr>
      <t>) - TOCANTINS  //</t>
    </r>
  </si>
  <si>
    <r>
      <t>MUD END + ALT PLANO KENIA CRISTINA AQUINO CARVALHO PROT:2603.34621 ISENTO (</t>
    </r>
    <r>
      <rPr>
        <b/>
        <sz val="14"/>
        <color rgb="FFFF0000"/>
        <rFont val="Verdana"/>
        <family val="2"/>
      </rPr>
      <t xml:space="preserve">HALYSON) </t>
    </r>
    <r>
      <rPr>
        <sz val="14"/>
        <color rgb="FF000000"/>
        <rFont val="Verdana"/>
        <family val="2"/>
      </rPr>
      <t xml:space="preserve">- PRESIDENTE ROOSEVELT  //  </t>
    </r>
    <r>
      <rPr>
        <b/>
        <sz val="14"/>
        <color rgb="FFFF0000"/>
        <rFont val="Verdana"/>
        <family val="2"/>
      </rPr>
      <t>*PEND. COMPROVANTE ENDEREÇO*</t>
    </r>
  </si>
  <si>
    <r>
      <t xml:space="preserve">MUD END ELEUBER DOS SANTOS PROT:2604.302 DINHEIRO </t>
    </r>
    <r>
      <rPr>
        <b/>
        <sz val="14"/>
        <color rgb="FFFF0000"/>
        <rFont val="Verdana"/>
        <family val="2"/>
      </rPr>
      <t xml:space="preserve">(BRUNA) </t>
    </r>
    <r>
      <rPr>
        <sz val="14"/>
        <color rgb="FF000000"/>
        <rFont val="Verdana"/>
        <family val="2"/>
      </rPr>
      <t>- JARDIM PATRÍCIA  //</t>
    </r>
    <r>
      <rPr>
        <b/>
        <sz val="14"/>
        <color rgb="FFFF0000"/>
        <rFont val="Verdana"/>
        <family val="2"/>
      </rPr>
      <t xml:space="preserve"> *PEND COMPROVANTE DE END* *PEND VALIDAÇÃO DO TITULAR*</t>
    </r>
  </si>
  <si>
    <r>
      <t xml:space="preserve">MUD END GIOVANA ROSA DE OLIVEIRA MARCELINO ALVES PROT:2604.1788 DINHEIRO (JHONATAN) - NOSSA SENHORA DAS GRAÇAS   </t>
    </r>
    <r>
      <rPr>
        <b/>
        <sz val="14"/>
        <color rgb="FFFF0000"/>
        <rFont val="Verdana"/>
        <family val="2"/>
      </rPr>
      <t>*PODE ANTECIPAR ATÉ 12H*</t>
    </r>
  </si>
  <si>
    <r>
      <t xml:space="preserve">MUD END LEONARDO APARECIDO ARAUJO MARIANO PROT:2604.714 CARTAO (PEDRO) - JARDIM HOLANDA   </t>
    </r>
    <r>
      <rPr>
        <b/>
        <sz val="14"/>
        <color rgb="FFFF0000"/>
        <rFont val="Verdana"/>
        <family val="2"/>
      </rPr>
      <t>*TROCAR ONT POR UMA ONU (CLIENTE IRÁ USAR ROTEADOR PRÓPRIO)*</t>
    </r>
  </si>
  <si>
    <r>
      <rPr>
        <sz val="14"/>
        <color rgb="FF000000"/>
        <rFont val="Verdana"/>
        <family val="2"/>
      </rPr>
      <t xml:space="preserve">MK NOME: ACACIO ALVES (DONO DA RESIDENCIA): N/C
MK END: DIEGO SANTOS DA SILVA: NEGADO PELO CADASTRO.
</t>
    </r>
    <r>
      <rPr>
        <b/>
        <sz val="14"/>
        <color rgb="FFFF0000"/>
        <rFont val="Verdana"/>
        <family val="2"/>
      </rPr>
      <t>VITORIA LAYSSA EDUARDO - REPROVADO CADASTRO</t>
    </r>
  </si>
  <si>
    <r>
      <t xml:space="preserve">MUD END + ALT PLANO JANAINE NOBRE ROCHA PROT:2604.3325. ISENTO (LAUREN) - BOSQUE DOS BURITIS  //  </t>
    </r>
    <r>
      <rPr>
        <b/>
        <sz val="14"/>
        <color rgb="FFFF0000"/>
        <rFont val="Verdana"/>
        <family val="2"/>
      </rPr>
      <t>*PODE ANTECIPAR* *LIGAR ANTES DE IR* *IR AS 15:30 HORAS*</t>
    </r>
  </si>
  <si>
    <r>
      <rPr>
        <sz val="14"/>
        <color rgb="FF000000"/>
        <rFont val="Verdana"/>
        <family val="2"/>
      </rPr>
      <t>MK END: HNQ NOMURA COMERCIO LTDA(EMPORIO GOMES) / COMPLEMENTO LOJA 1 - POSSUI CONEXÃO CONOSCO DESDE 06/2025, ATIVA E ADIMPLENTE.
JOSE DOS ANJOS GOMES DA COSTA (EMPORIO GOMES) - CADASTRO CANCELADO, POSSUIA CONEXÃO CONOSCO DESDE 05/2022, PORÉM EM 06/2025 REALIZOU A TROCA DE TITULARIDADE PARA O CADASTRO DO HNQ NOMURA COMERCIO LTDA(EMPORIO GOMES).
DJEANE VIEIRA FUKUDA (STUDIO DJEANE FUKUDA) - CONEXÃO CANCELADA POR INADIMPLÊNCIA EM 09/2025, CLIENTE SEGUE COM PENDÊNCIAS DESDE ENTÃO (MENSALIDADES, MULTA DE QUEBRA DE CONTRATO E DEVOLUÇÃO DOS EQUIPAMENTOS)</t>
    </r>
    <r>
      <rPr>
        <b/>
        <sz val="14"/>
        <color rgb="FFFF0000"/>
        <rFont val="Verdana"/>
        <family val="2"/>
      </rPr>
      <t xml:space="preserve">. (R$1.039,70)
</t>
    </r>
    <r>
      <rPr>
        <sz val="14"/>
        <color rgb="FF000000"/>
        <rFont val="Verdana"/>
        <family val="2"/>
      </rPr>
      <t xml:space="preserve">
MK NOME: EDMAR FERNANDES PEREIRA (DISSE SER O DONO DO IMÓVEL) - N/C
MARIA APARECIDA XAVIER DE SOUSA (CIDA XAVIER HAIRS) (TITULAR) - POSSUI CONEXÃO CONOSCO DESDE 04/2025, ATIVA E ADIMPLENTE.
OBS.: EM RELAÇÃO AOS EQUIPAMENTOS QUE A CLIENTE DJEANE VIEIRA FUKUDA (STUDIO DJEANE FUKUDA) NÃO REALIZOU A DEVOLUÇÃO, FOI INFORMADO PELA CLIENTE QUE HÁ EQUIPAMENTOS DA EMPRESA NO LOCAL, OS QUAIS PODEM CORRESPONDER AOS EQUIPAMENTOS VINCULADOS A ESTE CADASTRO.</t>
    </r>
  </si>
  <si>
    <r>
      <rPr>
        <sz val="14"/>
        <color rgb="FF000000"/>
        <rFont val="Verdana"/>
        <family val="2"/>
      </rPr>
      <t xml:space="preserve">MUD END REJANE DE LIMA JESUS PROT:2604.2815 PIX (PEDRO) - SANTA ROSA   </t>
    </r>
    <r>
      <rPr>
        <b/>
        <sz val="14"/>
        <color rgb="FFFF0000"/>
        <rFont val="Verdana"/>
        <family val="2"/>
      </rPr>
      <t>*PODE ANTECIPAR*</t>
    </r>
  </si>
  <si>
    <r>
      <rPr>
        <sz val="14"/>
        <color rgb="FF000000"/>
        <rFont val="Verdana"/>
        <family val="2"/>
      </rPr>
      <t>MK END;
MICHELLY MARIA DE OLIVEIRA
CONEXÃO CANCELADA EM 02/2020 DEVIDO A MENSALIDADES EM ABERTO, EQUIPAMENTOS RECOLHIDOS PORÉM DÉBITOS NÃO FORAM PAGOS.</t>
    </r>
    <r>
      <rPr>
        <b/>
        <sz val="14"/>
        <color rgb="FFFF0000"/>
        <rFont val="Verdana"/>
        <family val="2"/>
      </rPr>
      <t xml:space="preserve"> (R$1.178,70)
</t>
    </r>
    <r>
      <rPr>
        <sz val="14"/>
        <color rgb="FF000000"/>
        <rFont val="Verdana"/>
        <family val="2"/>
      </rPr>
      <t xml:space="preserve">
MK NOME;
LORENA BRITO COSTA 063.392.226-92 (ASSINANTE)
CONEXÃO ATIVA E CLIENTE ADIMPLENTE
ODAIR JOSE CUSTODIO DA SILVA 979.2**.***-** (ANTIGO INQUILINO)
N/C</t>
    </r>
  </si>
  <si>
    <r>
      <rPr>
        <sz val="14"/>
        <color rgb="FF000000"/>
        <rFont val="Verdana"/>
        <family val="2"/>
      </rPr>
      <t xml:space="preserve">COMPROVANTE DE ENDEREÇO (CEMIG) EM ANEXO.
NOME NO COMPROVANTE:  KELLEN ALVES PIRES (PROPRIETÁRIA DO IMÓVEL)
COMPROVANTE DE ENDEREÇO (CONTRATO DE LOCAÇÃO) EM ANEXO.
NOME NO DOCUMENTO: </t>
    </r>
    <r>
      <rPr>
        <b/>
        <sz val="14"/>
        <color rgb="FFFF0000"/>
        <rFont val="Verdana"/>
        <family val="2"/>
      </rPr>
      <t xml:space="preserve"> NAELLEN APARECIDA DOMINGOS (ESPOSA ARAMIS)</t>
    </r>
  </si>
  <si>
    <r>
      <rPr>
        <sz val="14"/>
        <color rgb="FF000000"/>
        <rFont val="Verdana"/>
        <family val="2"/>
      </rPr>
      <t xml:space="preserve">MUD END SUELEN LADEIA DA SILVA PROT:2603.24215 CARTÃO (VICTOR H.) - JARDIM PATRÍCIA </t>
    </r>
    <r>
      <rPr>
        <b/>
        <sz val="14"/>
        <color rgb="FFFF0000"/>
        <rFont val="Verdana"/>
        <family val="2"/>
      </rPr>
      <t xml:space="preserve">**PRÉDIO COM PRUMADA**  </t>
    </r>
  </si>
  <si>
    <r>
      <t>MUD END KAMILA DOS SANTOS SILVA PROT:2604.2649 CARTÃO (BRUNA) - JARDIM PATRÍCIA **PRÉDIO COM PRUMADA**  //</t>
    </r>
    <r>
      <rPr>
        <b/>
        <sz val="14"/>
        <color rgb="FFFF0000"/>
        <rFont val="Verdana"/>
        <family val="2"/>
      </rPr>
      <t xml:space="preserve"> *PODE ANTECIPAR*</t>
    </r>
  </si>
  <si>
    <r>
      <t xml:space="preserve">MUD END + ALT PLANO PATRICIA RODRIGUES LIMA PROT:2604.2198 ISENTO (BRUNA) - LARANJEIRAS  // </t>
    </r>
    <r>
      <rPr>
        <b/>
        <sz val="14"/>
        <color rgb="FFFF0000"/>
        <rFont val="Verdana"/>
        <family val="2"/>
      </rPr>
      <t xml:space="preserve"> *PEND COMPROVATE DE END* *ASSINATURA PEND*</t>
    </r>
  </si>
  <si>
    <r>
      <t xml:space="preserve">MK END E MK NOMES: 
JOAO BATISTA DE LIMA NETO (PAI DA ASSINANTE)
CONTRATOU EM 11/2025, CONEXÃO ATIVA E ADIMPLENTE 
</t>
    </r>
    <r>
      <rPr>
        <vertAlign val="subscript"/>
        <sz val="14"/>
        <color rgb="FF000000"/>
        <rFont val="Verdana"/>
        <family val="2"/>
      </rPr>
      <t>NO SEU CADASTR</t>
    </r>
    <r>
      <rPr>
        <sz val="14"/>
        <color rgb="FF000000"/>
        <rFont val="Verdana"/>
        <family val="2"/>
      </rPr>
      <t>O NÃO POSSUI COMPLEMENTO EM SEU CADASTRO</t>
    </r>
  </si>
  <si>
    <r>
      <t xml:space="preserve">MUD END DEIVID ENNES CARIAO DOS SANTOS PROT:2604.2426 CARTAO (RONALD) - PATRIMÔNIO </t>
    </r>
    <r>
      <rPr>
        <b/>
        <sz val="14"/>
        <color rgb="FFFF0000"/>
        <rFont val="Verdana"/>
        <family val="2"/>
      </rPr>
      <t>**PRÉDIO SEM PRUMADA - CTOE** *PODE ANTECIPAR*</t>
    </r>
  </si>
  <si>
    <r>
      <t>MK END;
N/C
MK NOME;
DEIVID ENNES CARIAO DOS SANTOS 130.122.227-58 (ASSINANTE)
CONEXÃO ATIVA E CLIENTE ADIMPLENTE
NATALIA DE PAIVA TAVARES CARIAO DOS SANTOS (CONJUGUE)
N/C
NIVEA PEREIRA DE LIMA (LOCADORA)
N/C
ARANTES NEGÓCIOS IMOBILIARIOS LTDA (PROCURADORA)
N/C
ARANTES SOLUÇÕES IMOBILIÁRIAS LTDA (PROCURADORA)
N/</t>
    </r>
    <r>
      <rPr>
        <b/>
        <sz val="14"/>
        <color rgb="FF000000"/>
        <rFont val="Verdana"/>
        <family val="2"/>
      </rPr>
      <t xml:space="preserve">C
</t>
    </r>
    <r>
      <rPr>
        <sz val="14"/>
        <color rgb="FF000000"/>
        <rFont val="Verdana"/>
        <family val="2"/>
      </rPr>
      <t xml:space="preserve">
DIOGO BORGES NASCIMENTO (PROCURADOR)
N/C
ANNA LAURA OLIVEIRA DE CASTRO (TESTEMUNHA)
N/C
PRISCILLA DE MEDEIROS FARIA (TESTEMUNHA)
N/C</t>
    </r>
  </si>
  <si>
    <r>
      <rPr>
        <sz val="14"/>
        <color rgb="FF000000"/>
        <rFont val="Verdana"/>
        <family val="2"/>
      </rPr>
      <t xml:space="preserve">MUD END YARA CHRISTINA SILVA SANTOS PROT:2604.5304 CARTAO (LUIS) - PATRIMÔNIO **PRÉDIO COM PRUMADA**  </t>
    </r>
    <r>
      <rPr>
        <b/>
        <sz val="14"/>
        <color rgb="FFFF0000"/>
        <rFont val="Verdana"/>
        <family val="2"/>
      </rPr>
      <t>*PODE ANTECIPAR*</t>
    </r>
  </si>
  <si>
    <r>
      <t>MUD END GABRIEL COSTA SCARPINS PROT:2604.2915 PIX (LUIS) - MORUMBI //</t>
    </r>
    <r>
      <rPr>
        <b/>
        <sz val="14"/>
        <color rgb="FFFF0000"/>
        <rFont val="Verdana"/>
        <family val="2"/>
      </rPr>
      <t xml:space="preserve"> *PODE ANTECIPAR*</t>
    </r>
  </si>
  <si>
    <r>
      <t xml:space="preserve">MUD END CARLOS AUGUSTO RODRIGUES DE MATTOS PROT:2603.33782 CARTAO (GABRIEL M.) - LAGOINHA  </t>
    </r>
    <r>
      <rPr>
        <b/>
        <sz val="14"/>
        <color rgb="FF000000"/>
        <rFont val="Verdana"/>
        <family val="2"/>
      </rPr>
      <t>|</t>
    </r>
  </si>
  <si>
    <r>
      <t xml:space="preserve">MUD END MALIANE PEREIRA BATISTA PROT:2604.3813 PIX (PEDRO) - SÃO JORGE   </t>
    </r>
    <r>
      <rPr>
        <b/>
        <sz val="14"/>
        <color rgb="FFFF0000"/>
        <rFont val="Verdana"/>
        <family val="2"/>
      </rPr>
      <t>*PENDENTE COMPROVANTE*</t>
    </r>
  </si>
  <si>
    <r>
      <rPr>
        <sz val="14"/>
        <color rgb="FF000000"/>
        <rFont val="Verdana"/>
        <family val="2"/>
      </rPr>
      <t xml:space="preserve">MUD END + ALT PLANO JANETE LOPES SOARES PROT:2604.4617 ISENTO (GABRIEL M.) - GRANADA **PRÉDIO SEM PRUMADA </t>
    </r>
    <r>
      <rPr>
        <b/>
        <sz val="14"/>
        <color rgb="FFFF0000"/>
        <rFont val="Verdana"/>
        <family val="2"/>
      </rPr>
      <t>*PODE ANTECIPAR*</t>
    </r>
  </si>
  <si>
    <r>
      <rPr>
        <sz val="14"/>
        <color rgb="FF000000"/>
        <rFont val="Verdana"/>
        <family val="2"/>
      </rPr>
      <t xml:space="preserve">MUD END GIANN MARCO CAMPOS CEKOTA PROT:2604.6683 CARTAO (HALYSON) - GRAND VILLE **PRÉDIO COM PRUMADA** </t>
    </r>
    <r>
      <rPr>
        <b/>
        <sz val="14"/>
        <color rgb="FFFF0000"/>
        <rFont val="Verdana"/>
        <family val="2"/>
      </rPr>
      <t>*ANÁLISE 90 DIAS*</t>
    </r>
  </si>
  <si>
    <r>
      <t xml:space="preserve">MUD END + ALT PLANO JESSICA SANTOS VENTURA PROT:2604.6577 ISENTO (JHONATAN) - JARDIM PATRÍCIA  //  </t>
    </r>
    <r>
      <rPr>
        <b/>
        <sz val="14"/>
        <color rgb="FFFF0000"/>
        <rFont val="Verdana"/>
        <family val="2"/>
      </rPr>
      <t>*FATURA EM ABERTO*</t>
    </r>
  </si>
  <si>
    <r>
      <rPr>
        <sz val="14"/>
        <color rgb="FF000000"/>
        <rFont val="Verdana"/>
        <family val="2"/>
      </rPr>
      <t xml:space="preserve">MUD END VIVIANE DAVI RAMOS PROT:2604.6855 PIX (LUIS) - SANTA MÔNICA </t>
    </r>
    <r>
      <rPr>
        <b/>
        <sz val="14"/>
        <color rgb="FFFF0000"/>
        <rFont val="Verdana"/>
        <family val="2"/>
      </rPr>
      <t>*PENDENTE COMPROVANTE DE ENDEREÇO*</t>
    </r>
  </si>
  <si>
    <r>
      <t xml:space="preserve">MUD END EDILENE PEREIRA DOS SANTOS PROT:2604.7759 PIX (JHONATAN) - CUSTÓDIO PEREIRA   </t>
    </r>
    <r>
      <rPr>
        <b/>
        <sz val="14"/>
        <color rgb="FFFF0000"/>
        <rFont val="Verdana"/>
        <family val="2"/>
      </rPr>
      <t>*PODE ANTECIPAR*</t>
    </r>
  </si>
  <si>
    <r>
      <t>MUD END FRANCIENE SILVA E SOUZA PROT:2604.8284 CARTAO (VICTOR H.) - LOTEAMENTO RESIDENCIAL PEQUIS</t>
    </r>
    <r>
      <rPr>
        <b/>
        <sz val="14"/>
        <color rgb="FFFF0000"/>
        <rFont val="Verdana"/>
        <family val="2"/>
      </rPr>
      <t xml:space="preserve">   *PODE ANTECIPAR*</t>
    </r>
  </si>
  <si>
    <r>
      <rPr>
        <sz val="14"/>
        <color rgb="FF000000"/>
        <rFont val="Verdana"/>
        <family val="2"/>
      </rPr>
      <t xml:space="preserve">MUD END EULER DE SOUZA SOARES PROT:2604.8515 DINHEIRO (PEDRO) - SÃO JORGE  </t>
    </r>
    <r>
      <rPr>
        <b/>
        <sz val="14"/>
        <color rgb="FFFF0000"/>
        <rFont val="Verdana"/>
        <family val="2"/>
      </rPr>
      <t xml:space="preserve"> *PENDENTE COMPROVANTE DE ENDEREÇO*</t>
    </r>
  </si>
  <si>
    <r>
      <t xml:space="preserve">MUD END + ALT PLANO MARCIA MARTINS SILVA ANDRADE PROT:2604.8371 ISENTO (VICTOR H.) - SARAIVA **PRÉDIO SEM PRUMADA - ENVIAR TÉCNICO DUPLADO** //  </t>
    </r>
    <r>
      <rPr>
        <b/>
        <sz val="14"/>
        <color rgb="FF000000"/>
        <rFont val="Verdana"/>
        <family val="2"/>
      </rPr>
      <t>PODE ANTECIPAR</t>
    </r>
  </si>
  <si>
    <r>
      <t xml:space="preserve">MUD END CARLOS EDUARDO GOMES SOARES PROT:2604.3760 CARTAO (PEDRO) - MANSOUR III    </t>
    </r>
    <r>
      <rPr>
        <b/>
        <sz val="14"/>
        <color rgb="FFFF0000"/>
        <rFont val="Verdana"/>
        <family val="2"/>
      </rPr>
      <t>*PENDENTE MENSALIDADE*</t>
    </r>
  </si>
  <si>
    <r>
      <t xml:space="preserve">MUD END ELIDA CRISTINA DE MORAIS DORNELAS (SAMUEL/FILHO) PROT:2603.35275 PIX (VICTOR H.) - PLANALTO  / NÃO ANTECIPAR | </t>
    </r>
    <r>
      <rPr>
        <b/>
        <sz val="14"/>
        <color rgb="FF000000"/>
        <rFont val="Verdana"/>
        <family val="2"/>
      </rPr>
      <t>*MARCELLA*</t>
    </r>
  </si>
  <si>
    <r>
      <t xml:space="preserve">MUD END LANA KESSIA MACEDO MIRANDA PROT:2604.7714 PIX (HALYSON) - LARANJEIRAS **PRÉDIO COM PRUMADA** </t>
    </r>
    <r>
      <rPr>
        <b/>
        <sz val="14"/>
        <color rgb="FFFF0000"/>
        <rFont val="Verdana"/>
        <family val="2"/>
      </rPr>
      <t>*PODE ANTECIPAR*</t>
    </r>
  </si>
  <si>
    <r>
      <t>MUD END STETLEY CAMILLA DE OLIVEIRA PERES PROT:2604.8100 CARTAO (HALYSON) - BOSQUE DOS BURITIS **PRÉDIO SEM PRUMADA - ENVIAR TÉCNICO DUPLADO**</t>
    </r>
    <r>
      <rPr>
        <b/>
        <sz val="14"/>
        <color rgb="FFFF0000"/>
        <rFont val="Verdana"/>
        <family val="2"/>
      </rPr>
      <t xml:space="preserve"> *PODE ANTECIPAR*</t>
    </r>
  </si>
  <si>
    <r>
      <t xml:space="preserve">MUD END MARCELO DE AVIZ MENDES PROT:2604.8469 PIX (VAGNER) - MARAVILHA </t>
    </r>
    <r>
      <rPr>
        <b/>
        <sz val="14"/>
        <color rgb="FFFF0000"/>
        <rFont val="Verdana"/>
        <family val="2"/>
      </rPr>
      <t xml:space="preserve">*PODE ANTECIPAR*
</t>
    </r>
  </si>
  <si>
    <r>
      <t xml:space="preserve">MUD END ANA CRISTINA MARTINS PEREIRA PROT:2604.8346 PIX (VAGNER) - TOCANTINS **PRÉDIO COM PRUMADA**  </t>
    </r>
    <r>
      <rPr>
        <b/>
        <sz val="14"/>
        <color rgb="FFFF0000"/>
        <rFont val="Verdana"/>
        <family val="2"/>
      </rPr>
      <t xml:space="preserve">*PODE ANTECIPAR*
</t>
    </r>
  </si>
  <si>
    <r>
      <t xml:space="preserve">MUD END + ALT PLANO PAULO HENRIQUE MARQUES DE OLIVEIRA PROT:2604.12382 ISENTO (ANDREZA) - MANSOUR  //  </t>
    </r>
    <r>
      <rPr>
        <b/>
        <sz val="14"/>
        <color rgb="FFFF0000"/>
        <rFont val="Verdana"/>
        <family val="2"/>
      </rPr>
      <t>*PEND. COMPROVANTE DE END*</t>
    </r>
  </si>
  <si>
    <r>
      <t xml:space="preserve">MUD END + ALT PLANO MARCUS VINICIUS DE OLIVEIRA GONCALVES DA SILVA (PALOMA/CUNHADA) PROT:2604.8984 ISENTO (BRUNA) - CUSTÓDIO PEREIRA // </t>
    </r>
    <r>
      <rPr>
        <b/>
        <sz val="14"/>
        <color rgb="FFFF0000"/>
        <rFont val="Verdana"/>
        <family val="2"/>
      </rPr>
      <t xml:space="preserve"> *PEND VALIDAÇÃO DO TITULAR* *MENSALDIADE EM ABERTO* *PEND ASSINATURA DO CONTRATO*</t>
    </r>
  </si>
  <si>
    <r>
      <t>MUD END JEISIONE AFONSO FERREIRA PROT:2604.2855 PIX (VAGNER) - PLANALTO</t>
    </r>
    <r>
      <rPr>
        <b/>
        <sz val="14"/>
        <color rgb="FFFF0000"/>
        <rFont val="Verdana"/>
        <family val="2"/>
      </rPr>
      <t xml:space="preserve">   *ANALISE*</t>
    </r>
  </si>
  <si>
    <r>
      <t xml:space="preserve">MUD END + ALT PLANO FABRICIO TADINNY FERREIRA DA SILVA (DEFEREEIRA BARBEARIA) PROT:2604.9600 ISENTO (HALYSON) - TOCANTINS  // </t>
    </r>
    <r>
      <rPr>
        <b/>
        <sz val="14"/>
        <color rgb="FFFF0000"/>
        <rFont val="Verdana"/>
        <family val="2"/>
      </rPr>
      <t xml:space="preserve"> *PODE ANTECIPAR*</t>
    </r>
  </si>
  <si>
    <r>
      <t>MUD END KAUA CALERO DA COSTA VALLE PROT: 2604.9916 CARTAO (JOSÉ Jr) - PLANALTO //</t>
    </r>
    <r>
      <rPr>
        <b/>
        <sz val="14"/>
        <color rgb="FF000000"/>
        <rFont val="Verdana"/>
        <family val="2"/>
      </rPr>
      <t xml:space="preserve"> </t>
    </r>
  </si>
  <si>
    <r>
      <t xml:space="preserve">MUD END + ALT PLANO JULIANA COUTINHO FERREIRA PROT:2603.18313 ISENTO (VICTOR H.) - TOCANTINS  // </t>
    </r>
    <r>
      <rPr>
        <b/>
        <sz val="14"/>
        <color rgb="FFFF0000"/>
        <rFont val="Verdana"/>
        <family val="2"/>
      </rPr>
      <t xml:space="preserve">PENDENTE MENSALIDADE </t>
    </r>
  </si>
  <si>
    <r>
      <t xml:space="preserve">MUD END + ALT PLANO LAERCIO DA ROCHA DANTAS PROT:2604.9859 ISENTO (HALYSON) - RESIDENCIAL INTEGRAÇÃO  //  </t>
    </r>
    <r>
      <rPr>
        <b/>
        <sz val="14"/>
        <color rgb="FFFF0000"/>
        <rFont val="Verdana"/>
        <family val="2"/>
      </rPr>
      <t>*PEND. COMPROVANTE ENDEREÇO*</t>
    </r>
  </si>
  <si>
    <r>
      <t>MUD END + ALT PLANO MAURILIA ROSA COELHO BORGES NETA PROT:2603.5235 ISENTO (BRUNA) - DONA ZULMIRA **PRÉDIO COM PRUMADA** //  *</t>
    </r>
    <r>
      <rPr>
        <b/>
        <sz val="14"/>
        <color rgb="FFFF0000"/>
        <rFont val="Verdana"/>
        <family val="2"/>
      </rPr>
      <t>ASSINATURA PEND*</t>
    </r>
  </si>
  <si>
    <r>
      <t xml:space="preserve">MUD END SUELEN ARANTES OVIDIO PROT:2604.642 PIX (BRUNA) - JARDIM DAS PALMEIRAS   // </t>
    </r>
    <r>
      <rPr>
        <b/>
        <sz val="14"/>
        <color rgb="FFFF0000"/>
        <rFont val="Verdana"/>
        <family val="2"/>
      </rPr>
      <t>*ANALISE 90 DIAS*</t>
    </r>
  </si>
  <si>
    <r>
      <t xml:space="preserve">MUD END + ALT PLANO NIVEA MATOS SOUZA ALVES (CARLOS/FILHO) PROT:2604.14533 ISENTO (BRUNA) - TOCANTINS **SOBRADO** //  </t>
    </r>
    <r>
      <rPr>
        <b/>
        <sz val="14"/>
        <color rgb="FFFF0000"/>
        <rFont val="Verdana"/>
        <family val="2"/>
      </rPr>
      <t>*PEND COMPROVANTE DE END*</t>
    </r>
  </si>
  <si>
    <r>
      <t xml:space="preserve">MUD END + ALT PLANO MICHELE FELICIDADE PROT:2604.15164 ISENTO (VICTOR H.) - PAMPULHA / </t>
    </r>
    <r>
      <rPr>
        <b/>
        <sz val="14"/>
        <color rgb="FFFF0000"/>
        <rFont val="Verdana"/>
        <family val="2"/>
      </rPr>
      <t xml:space="preserve">PODE ANTECIPAR, DESDE QUE SEJA AS 08:00 HRS **PRÉDIO SEM PRUMADA - ENVIAR TÉCNICO DUPLADO** // </t>
    </r>
  </si>
  <si>
    <r>
      <t xml:space="preserve">MUD END DULCINEIA CLEDINA AMARAL DE MOURA (DANIELA - FILHA) PROT:2604.11340 DINHEIRO (PEDRO) - PRESIDENTE ROOSEVELT  </t>
    </r>
    <r>
      <rPr>
        <b/>
        <sz val="14"/>
        <color rgb="FFFF0000"/>
        <rFont val="Verdana"/>
        <family val="2"/>
      </rPr>
      <t>*PODE ANTECIPAR SÁBADO*</t>
    </r>
  </si>
  <si>
    <r>
      <t xml:space="preserve">MUD END BARBARA APARECIDA GONCALVES RAMOS PROT:2604.15477 CARTAO (VICTOR H.) - PRESIDENTE ROOSEVELT   / </t>
    </r>
    <r>
      <rPr>
        <b/>
        <sz val="14"/>
        <color rgb="FFFF0000"/>
        <rFont val="Verdana"/>
        <family val="2"/>
      </rPr>
      <t>PODE ANTECIPAR</t>
    </r>
  </si>
  <si>
    <r>
      <rPr>
        <b/>
        <sz val="14"/>
        <color rgb="FF000000"/>
        <rFont val="Verdana"/>
        <family val="2"/>
      </rPr>
      <t xml:space="preserve">PENDENTE VALIDAÇÃO COM O TITULAR DA CONEXÃO, E ASSINATURA DO CONTRATO; DEMAIS INFORMAÇÕES ESTÃO OK. </t>
    </r>
    <r>
      <rPr>
        <b/>
        <sz val="14"/>
        <color rgb="FFFF0000"/>
        <rFont val="Verdana"/>
        <family val="2"/>
      </rPr>
      <t>(PRAZO MÁXIMO CONCEDIDO SERÁ HOJE 18/04 ÀS 12H00)</t>
    </r>
  </si>
  <si>
    <r>
      <t xml:space="preserve">MUD END VALDINEI FERNANDES RIBEIRO DE ALMEIDA PROT:2604.12789 CARTÃO (BRUNA) - PRESIDENTE ROOSEVELT   // </t>
    </r>
    <r>
      <rPr>
        <b/>
        <sz val="14"/>
        <color rgb="FFFF0000"/>
        <rFont val="Verdana"/>
        <family val="2"/>
      </rPr>
      <t>*ANALISE 90 DIAS*</t>
    </r>
  </si>
  <si>
    <r>
      <t>MUD END ROSIVAL BORGES GONTIJO PROT:2604.21331 CARTÃO (ANDREZA) - SANTA MÔNICA **PRÉDIO SEM PRUMADA**  //</t>
    </r>
    <r>
      <rPr>
        <b/>
        <sz val="14"/>
        <color rgb="FFFF0000"/>
        <rFont val="Verdana"/>
        <family val="2"/>
      </rPr>
      <t xml:space="preserve"> </t>
    </r>
  </si>
  <si>
    <r>
      <rPr>
        <sz val="14"/>
        <color rgb="FF000000"/>
        <rFont val="Verdana"/>
        <family val="2"/>
      </rPr>
      <t xml:space="preserve">MK END: N/C
____________________________________________________________
MK NOMES:
-&gt; ROSIVAL BORGES GONTIJO (LOCATÁRIO/INQUILINO) - CPF 860.468.106-04: ASSINANTE DA CONEXÃO.
-&gt; CHRISTIANE PEREIRA DA PRATA GONTIJO (LOCATÁRIA/ESPOSA DO ASSINANTE) - CPF 015.139.336-20: SOLICITAÇÃO DE ADESÃO EM 02/2022 CANCELADA PELA CLIENTE. </t>
    </r>
    <r>
      <rPr>
        <b/>
        <sz val="14"/>
        <color rgb="FFFF0000"/>
        <rFont val="Verdana"/>
        <family val="2"/>
      </rPr>
      <t xml:space="preserve">(SOLICITADO QUE FOSSE FEITO EM NOME DO ESPOSO (ROSIVAL BORGES GONTIJO) JÁ AVALIADO E APROVADO)
</t>
    </r>
    <r>
      <rPr>
        <sz val="14"/>
        <color rgb="FF000000"/>
        <rFont val="Verdana"/>
        <family val="2"/>
      </rPr>
      <t xml:space="preserve">
-&gt; FELIPE DAHER (LOCADOR) - CPF 129.289.766-04: N/C
-&gt; EDSON GOMES (TESTEMUNHAS) - CPF 088.459.136-00: N/C
-&gt; POLIANA DE ASSIS GOMES VIEIRA (TESTEMUNHAS) - CPF 003.031.326-04: N/C
-&gt; AANDB - A&amp;B DESENVOLVIMENTO, NEGÓCIOS E GESTÃO IMOBILIÁRIA LTDA (INTERMEDIADORA) - CNPJ 44.924.329/0001-14: N/C
-&gt; ORSON WELLES VIEIRA (TESTEMUNHA): N/C</t>
    </r>
  </si>
  <si>
    <r>
      <t xml:space="preserve">MUD END VALDEMAR LOPES NERY PROT:2604.13394 PIX (PEDRO) - PLANALTO    </t>
    </r>
    <r>
      <rPr>
        <b/>
        <sz val="14"/>
        <color rgb="FFFF0000"/>
        <rFont val="Verdana"/>
        <family val="2"/>
      </rPr>
      <t>*ANÁLISE 90 DIAS*</t>
    </r>
  </si>
  <si>
    <r>
      <t xml:space="preserve">MUD END IVELISSE SOUZA SANTOS BARBOSA PROT:2604.19357 PIX (JHONATAN) - PLANALTO   
</t>
    </r>
    <r>
      <rPr>
        <b/>
        <sz val="14"/>
        <color rgb="FFFF0000"/>
        <rFont val="Verdana"/>
        <family val="2"/>
      </rPr>
      <t>*VAI LEVAR A FILHA NA ESCOLA* CHEGA 13H10* PODE ANTECIPAR*</t>
    </r>
  </si>
  <si>
    <r>
      <t>MUD END ANTONIO MARCOS DEFENSOR PROT:2604.12567 PIX (PEDRO) - SARAIVA</t>
    </r>
    <r>
      <rPr>
        <b/>
        <sz val="14"/>
        <color rgb="FFFF0000"/>
        <rFont val="Verdana"/>
        <family val="2"/>
      </rPr>
      <t xml:space="preserve"> *PENDENTE COMPROVANTE DE ENDEREÇO / ANÁLISE 90 DIAS*</t>
    </r>
  </si>
  <si>
    <r>
      <t>MUD END + ALT PLANO IARA CIRLENE GONCALVES PROT:2604.18083 ISENTO (HALYSON) - JARDIM EUROPA **PRÉDIO COM PRUMADA** //</t>
    </r>
    <r>
      <rPr>
        <b/>
        <sz val="14"/>
        <color rgb="FFFF0000"/>
        <rFont val="Verdana"/>
        <family val="2"/>
      </rPr>
      <t xml:space="preserve">  *PEND. COMPROVANTE PAGAMENTO*</t>
    </r>
  </si>
  <si>
    <r>
      <t>MK END: N/C
MK NOMES 
- IARA CIRLENE GONCALVES (ASSINANTE): POSSUI CONEXÃO ATIVA E ADIMPLENTE QUANTO A INTERNET RESIDENCIAL // POSSUI FATURA EM ABERTO R$45,00 (CHIP MÓVEL).
- IARA CIRLENE GONCALVES (KI-DELICIA</t>
    </r>
    <r>
      <rPr>
        <vertAlign val="superscript"/>
        <sz val="14"/>
        <color rgb="FF000000"/>
        <rFont val="Verdana"/>
        <family val="2"/>
      </rPr>
      <t xml:space="preserve">): PROCESSO DE ADESÃO APROVANDO PARA FILHO HIAN VITOR FERNANDES GONCALVES (ESPETARIA GONCALVES) EM 18/03/2023
</t>
    </r>
    <r>
      <rPr>
        <sz val="14"/>
        <color rgb="FF000000"/>
        <rFont val="Verdana"/>
        <family val="2"/>
      </rPr>
      <t xml:space="preserve">
</t>
    </r>
    <r>
      <rPr>
        <vertAlign val="superscript"/>
        <sz val="14"/>
        <color rgb="FF000000"/>
        <rFont val="Verdana"/>
        <family val="2"/>
      </rPr>
      <t xml:space="preserve">- HIAN VITOR FERNANDES GONCALVES (ESPETARIA GONCALVES): CONEXÃO CANCELADA COM </t>
    </r>
    <r>
      <rPr>
        <sz val="14"/>
        <color rgb="FF000000"/>
        <rFont val="Verdana"/>
        <family val="2"/>
      </rPr>
      <t>DÉBITOS EM ABERTO
* 10/04/2023 -  76,59 (MENSALIDADE)
* 10/05/2023 -  99,90 (MENSALIDADE)
* 10/06/2023 -  99,90 (MENSALIDADE)
26/06/2023 - 899,99 (MULTA CONTRATUAL)
26/06/2023 - 560,00 (EQUIPAMENTOS NÃO DEVOLVIDOS HUAWEI 360,00 + ONU C-DATA 200,00)
TOTALIZANDO 1.735,39
- ALEXANDER YURI LIMA PEREIRA (PROPRIETARIO DO IMOVEL): N/C</t>
    </r>
  </si>
  <si>
    <r>
      <t xml:space="preserve">MUD END + ALT PLANO PAULO SOUSA DE LEVA PROT:2604.17372 ISENTO (BRUNA) - JARDIM BRASÍLIA  //  </t>
    </r>
    <r>
      <rPr>
        <b/>
        <sz val="14"/>
        <color rgb="FFFF0000"/>
        <rFont val="Verdana"/>
        <family val="2"/>
      </rPr>
      <t xml:space="preserve">*PEND ASSINATURA* </t>
    </r>
  </si>
  <si>
    <r>
      <rPr>
        <sz val="14"/>
        <color rgb="FF000000"/>
        <rFont val="Verdana"/>
        <family val="2"/>
      </rPr>
      <t xml:space="preserve">MK END:N/C
MK NOMES: 
</t>
    </r>
    <r>
      <rPr>
        <b/>
        <sz val="14"/>
        <color rgb="FFFF0000"/>
        <rFont val="Verdana"/>
        <family val="2"/>
      </rPr>
      <t>SONILDA</t>
    </r>
    <r>
      <rPr>
        <sz val="14"/>
        <color rgb="FF000000"/>
        <rFont val="Verdana"/>
        <family val="2"/>
      </rPr>
      <t xml:space="preserve"> BENEDITA PEDROSO (EX INQUILINA): N/C
JOÃO PRUDÊNCIO DE PAULA NETO (LOCADOR):N/C
</t>
    </r>
    <r>
      <rPr>
        <b/>
        <sz val="14"/>
        <color rgb="FFFF0000"/>
        <rFont val="Verdana"/>
        <family val="2"/>
      </rPr>
      <t>LUZIA</t>
    </r>
    <r>
      <rPr>
        <sz val="14"/>
        <color rgb="FF000000"/>
        <rFont val="Verdana"/>
        <family val="2"/>
      </rPr>
      <t xml:space="preserve"> FELIPE ALVES DE PAULA (LOCADORA):N/C
DANIEL SILVA DE ARAÚJO (LOCATARIO/TITULAR): POSSUI CONEXÃO ATIVA E SEM PENDENCIAS.
PRISCILA RODRIGUES DE SOUZA (LOCATÁRIA/ESPOSA DE DANIEL):N/C</t>
    </r>
  </si>
  <si>
    <r>
      <t xml:space="preserve">MUD END DIOGO FELIPE FARIA DE MELO PROT:X PIX (PEDRO) - NOSSA SENHORA APARECIDA **PRÉDIO COM PRUMADA** **(POSSUI WI-FI EXTEND)**  </t>
    </r>
    <r>
      <rPr>
        <b/>
        <sz val="14"/>
        <color rgb="FFFF0000"/>
        <rFont val="Verdana"/>
        <family val="2"/>
      </rPr>
      <t>*PENDENTE PROCURAÇÃO DA CLIENTE PARA REALIZAR A MUDANÇA*</t>
    </r>
  </si>
  <si>
    <r>
      <rPr>
        <sz val="14"/>
        <color rgb="FF000000"/>
        <rFont val="Verdana"/>
        <family val="2"/>
      </rPr>
      <t>MK END: N/C
MK NOME: CARINA BATISTA DA
SILVA (LOCADORA): N/C
CICERA BATISTA DA SILVA: N/C
SILVIA APARECIDA COELHO (ASSINANTE DISSE SER ESPOSA DELE):</t>
    </r>
    <r>
      <rPr>
        <b/>
        <sz val="14"/>
        <color rgb="FFFF0000"/>
        <rFont val="Verdana"/>
        <family val="2"/>
      </rPr>
      <t xml:space="preserve"> CADASTRO REPROVADO (NÃO QUIS PAGAR TAXA)</t>
    </r>
  </si>
  <si>
    <r>
      <t xml:space="preserve">MUD END LEONARDO JESUS DE FARIAS PROT:.2604.23378 PIX (LAUREN) - JARDIM DAS PALMEIRAS   </t>
    </r>
    <r>
      <rPr>
        <b/>
        <sz val="14"/>
        <color rgb="FFFF0000"/>
        <rFont val="Verdana"/>
        <family val="2"/>
      </rPr>
      <t>*NÃO ANTECIPAR, SÓ PODE NO SÁBADO*</t>
    </r>
  </si>
  <si>
    <r>
      <t xml:space="preserve">MUD END + ALT PLANO DEYSE PRISCILA DE SOUZA GOMES PROT:2604.24463 ISENTO (BRUNA) - MANSOUR **PRÉDIO COM PRUMADA** //   </t>
    </r>
    <r>
      <rPr>
        <b/>
        <sz val="14"/>
        <color rgb="FFFF0000"/>
        <rFont val="Verdana"/>
        <family val="2"/>
      </rPr>
      <t>*PEND COMPROVANTE DE END E ASSINATURA*</t>
    </r>
  </si>
  <si>
    <r>
      <rPr>
        <sz val="14"/>
        <color rgb="FF000000"/>
        <rFont val="Verdana"/>
        <family val="2"/>
      </rPr>
      <t xml:space="preserve">RESERVA MUD END ELISABETH VASCONCELOS SILVA PROT:2604.23591 CARTAO (JHONATAN) - JARDIM PATRÍCIA   </t>
    </r>
    <r>
      <rPr>
        <b/>
        <sz val="14"/>
        <color rgb="FFFF0000"/>
        <rFont val="Verdana"/>
        <family val="2"/>
      </rPr>
      <t>*PENDENTE COMPROVANTE END*</t>
    </r>
  </si>
  <si>
    <r>
      <t xml:space="preserve">MUD END RAFAYANNE RODRIGUES QUIRINO PROT:2604.23795 DINHEIRO (VICTOR H.) - LUIZOTE DE FREITAS **PRÉDIO SEM PRUMADA - ENVIAR TÉCNICO DUPLADO**  // </t>
    </r>
    <r>
      <rPr>
        <b/>
        <sz val="14"/>
        <color rgb="FFFF0000"/>
        <rFont val="Verdana"/>
        <family val="2"/>
      </rPr>
      <t>PENDENTE COMPROVANTE DE ENDEREÇO</t>
    </r>
  </si>
  <si>
    <r>
      <t xml:space="preserve">MUD END + ALT PLANO GUSTAVO FERNANDES SANTOS PROT:2604.27095 ISENTO (VICTOR H.) - TOCANTINS  //  </t>
    </r>
    <r>
      <rPr>
        <b/>
        <sz val="14"/>
        <color rgb="FFFF0000"/>
        <rFont val="Verdana"/>
        <family val="2"/>
      </rPr>
      <t>*TROCA DE EQUIPAMENTO*</t>
    </r>
  </si>
  <si>
    <r>
      <t xml:space="preserve">MUD END LUCIA HELENA PEREIRA TEODORO PROT:2604.26504 PIX (JOSÉ Jr) - TAIAMAN **PRÉDIO COM PRUMADA** </t>
    </r>
    <r>
      <rPr>
        <b/>
        <sz val="14"/>
        <color rgb="FFFF0000"/>
        <rFont val="Verdana"/>
        <family val="2"/>
      </rPr>
      <t>*PODE ANTECIPAR*</t>
    </r>
  </si>
  <si>
    <r>
      <t xml:space="preserve">MUD END + ALT PLANO MICHEL MANZI DA SILVA PROT:2604.26390 ISENTO (BRUNA) - MARTA HELENA  //  </t>
    </r>
    <r>
      <rPr>
        <b/>
        <sz val="14"/>
        <color rgb="FFFF0000"/>
        <rFont val="Verdana"/>
        <family val="2"/>
      </rPr>
      <t>*PEND ASSINATURA E COMPROVANTE DE END*</t>
    </r>
  </si>
  <si>
    <r>
      <rPr>
        <sz val="14"/>
        <color rgb="FF000000"/>
        <rFont val="Verdana"/>
        <family val="2"/>
      </rPr>
      <t xml:space="preserve">MK END: N/C
MK NOMES:
RENATA LUIZA CELESTE VALLADAO ALVIM (ESPOSA DE GUILHERME ) POSSUI 2 CONEXÕES ATIVAS
- RENATA LUIZA CELESTE VALLADAO ALVIM
REGISTRADO EM SEU CPF (106.404.556-11)
CONEXÃO ATIVA, E INADIMPLENTE. FATURA EM ABERTO 20/04/2026
- RENATA LUIZA CELESTE VALLADAO ALVIM(ALVIMS CELL)
REGISTRADO EM CNPJ (49.521.251/0001-00)
CONEXÃO ATIVA, E INADIMPLENTE. FATURA EM ABERTO 05/04/2026
</t>
    </r>
    <r>
      <rPr>
        <b/>
        <sz val="14"/>
        <color rgb="FFFF0000"/>
        <rFont val="Verdana"/>
        <family val="2"/>
      </rPr>
      <t>RENATA LUIZA CELESTE VALLADAO ALVIM (JOAO/SOGRO)* APROVADO PARA ESPOSO *GUILHERME DEFENSOR ALVIM (JOAO/PAI)</t>
    </r>
  </si>
  <si>
    <r>
      <t>MUD END PATRICIA ALVES DOS SANTOS PROT:2604.21382 PIX (BRUNA) - BRASIL **PRÉDIO SEM PRUMADA**  //</t>
    </r>
    <r>
      <rPr>
        <b/>
        <sz val="14"/>
        <color rgb="FFFF0000"/>
        <rFont val="Verdana"/>
        <family val="2"/>
      </rPr>
      <t xml:space="preserve"> *ANALISE 90 DIAS*</t>
    </r>
  </si>
  <si>
    <r>
      <t xml:space="preserve">MUD END MARYA VICTORIA SANTOS SILVA PROT:2604.21674 CARTAO (JHONATAN) - LUIZOTE DE FREITAS  </t>
    </r>
    <r>
      <rPr>
        <b/>
        <sz val="14"/>
        <color rgb="FFFF0000"/>
        <rFont val="Verdana"/>
        <family val="2"/>
      </rPr>
      <t xml:space="preserve"> *ANALISE 90 DIAS*</t>
    </r>
  </si>
  <si>
    <r>
      <t xml:space="preserve">ENDEREÇO NOVO: RUA DOS CURIÓS, 562
COMPLEMENTO: CASA FUNDO
CEP: 38412242
BAIRRO: JARDIM DAS PALMEIRAS
</t>
    </r>
    <r>
      <rPr>
        <i/>
        <sz val="14"/>
        <color rgb="FF000000"/>
        <rFont val="Verdana"/>
        <family val="2"/>
      </rPr>
      <t>O ENDEREÇO DO COMPROVANTE É RUA DOS CURIÓS, 562, NO ENTANTO, COMO É UMA CASA DE ESQUINA A ENTRADA DA CASA FICA PELA RUA TUCANOS, 851.</t>
    </r>
  </si>
  <si>
    <r>
      <t xml:space="preserve">MUD END GILBERTO MARINHO DE LIMA PROT: 2604.27447 PIX (JOSÉ Jr) - PLANALTO  </t>
    </r>
    <r>
      <rPr>
        <b/>
        <sz val="14"/>
        <color rgb="FFFF0000"/>
        <rFont val="Verdana"/>
        <family val="2"/>
      </rPr>
      <t>*PENDENTE COMPROVANTE*</t>
    </r>
  </si>
  <si>
    <r>
      <t xml:space="preserve">MUD END + ALT PLANO ANTONIO BONFIM DA SILVA PROT:2604.28537 ISENTO (JOSÉ Jr) - PRESIDENTE ROOSEVELT  //  </t>
    </r>
    <r>
      <rPr>
        <b/>
        <sz val="14"/>
        <color rgb="FFFF0000"/>
        <rFont val="Verdana"/>
        <family val="2"/>
      </rPr>
      <t>*PENDENTE COMPROVANTE*</t>
    </r>
  </si>
  <si>
    <r>
      <rPr>
        <sz val="14"/>
        <color rgb="FF000000"/>
        <rFont val="Verdana"/>
        <family val="2"/>
      </rPr>
      <t xml:space="preserve">MK END:
   GUILHERME SOBREIRA MENDES DE SOUSA CPF:116.744.676-30(FILHO DA TITULAR)PROCESSO DE ADESÃO INICIADO NO DIA 27/04/2026
   JACKSON MIGUEL DOS ANJOS MARQUES CPF:121.439.976-20 CONEXÃO CANCELADA NA DATA 10/2025. EQUIPAMENTOS NÃO DEVOLVIDOS. CLIENTE INADIMPLENTE COM SALDO DEVEDOR DE </t>
    </r>
    <r>
      <rPr>
        <b/>
        <sz val="14"/>
        <color rgb="FFFF0000"/>
        <rFont val="Verdana"/>
        <family val="2"/>
      </rPr>
      <t xml:space="preserve">R$719,70.
</t>
    </r>
    <r>
      <rPr>
        <sz val="14"/>
        <color rgb="FF000000"/>
        <rFont val="Verdana"/>
        <family val="2"/>
      </rPr>
      <t xml:space="preserve">
MK NOMES:
   PABLO SOBREIRA DA SILVA CPF:054.7**.***-**(CONJUGE DA TITULAR)N/C</t>
    </r>
  </si>
  <si>
    <r>
      <t xml:space="preserve">MUD END + ALT PLANO PHELLYPE AUGUSTHO SOARES PROT:2604.28260 ISENTO (VICTOR H.) - SHOPPING PARK  // </t>
    </r>
    <r>
      <rPr>
        <b/>
        <sz val="14"/>
        <color rgb="FFFF0000"/>
        <rFont val="Verdana"/>
        <family val="2"/>
      </rPr>
      <t xml:space="preserve"> *TROCA DE EQUIPAMENTO*</t>
    </r>
  </si>
  <si>
    <r>
      <t xml:space="preserve">RESERVA JHONATAN /  MUD END FERNANDA JESUS SOUZA PROT: 2604.23707 CARTÃO (JHONATAN) - MORUMBI // </t>
    </r>
    <r>
      <rPr>
        <b/>
        <sz val="14"/>
        <color rgb="FFFF0000"/>
        <rFont val="Verdana"/>
        <family val="2"/>
      </rPr>
      <t>*ANALISE DE VIABILIDADE* PRÉDIO VERTICAL* SEM PRUMADA*</t>
    </r>
  </si>
  <si>
    <r>
      <t xml:space="preserve">MK END:N/C
MK NOMES:
  </t>
    </r>
    <r>
      <rPr>
        <b/>
        <sz val="14"/>
        <color rgb="FF000000"/>
        <rFont val="Verdana"/>
        <family val="2"/>
      </rPr>
      <t xml:space="preserve"> JOSE ROBERTO D</t>
    </r>
    <r>
      <rPr>
        <sz val="14"/>
        <color rgb="FF000000"/>
        <rFont val="Verdana"/>
        <family val="2"/>
      </rPr>
      <t>A (CLIENTE DIZ QUE O PROPRIETÁRIO DO IMÓVEL.)N/C</t>
    </r>
  </si>
  <si>
    <r>
      <rPr>
        <sz val="14"/>
        <color rgb="FF000000"/>
        <rFont val="Verdana"/>
        <family val="2"/>
      </rPr>
      <t>MUD END HELIO CARLOS RODRIGUES PROT:2604.27265 DINHEIRO (JHONATAN) - LARANJEIRAS  // *</t>
    </r>
    <r>
      <rPr>
        <b/>
        <sz val="14"/>
        <color rgb="FFFF0000"/>
        <rFont val="Verdana"/>
        <family val="2"/>
      </rPr>
      <t>MUDANÇA AGENDADA PARA 02/05/2026 ÀS 08:00*</t>
    </r>
  </si>
  <si>
    <r>
      <t xml:space="preserve">MUD END JOAO CARLOS CORREA AMORIM PROT:2604.26816 PIX (PEDRO) - MARTINS **PRÉDIO SEM PRUMADA - ENVIAR TÉCNICO DUPLADO** </t>
    </r>
    <r>
      <rPr>
        <b/>
        <sz val="14"/>
        <color rgb="FFFF0000"/>
        <rFont val="Verdana"/>
        <family val="2"/>
      </rPr>
      <t xml:space="preserve"> ANÁLISE 90 DIAS / PODE ANTECIPAR SE AUTORIZADO</t>
    </r>
  </si>
  <si>
    <r>
      <rPr>
        <sz val="14"/>
        <color rgb="FF000000"/>
        <rFont val="Verdana"/>
        <family val="2"/>
      </rPr>
      <t>MK END: CARLOS LUIZ DOS SANTOS (AP.</t>
    </r>
    <r>
      <rPr>
        <b/>
        <sz val="14"/>
        <color rgb="FFFF0000"/>
        <rFont val="Verdana"/>
        <family val="2"/>
      </rPr>
      <t>303</t>
    </r>
    <r>
      <rPr>
        <sz val="14"/>
        <color rgb="FF000000"/>
        <rFont val="Verdana"/>
        <family val="2"/>
      </rPr>
      <t>) - POSSUI CONEXÃO CONOSCO DESDE 05/2023, ATIVA E ADIMPLENTE.
EVA TAMIRES FIGUEIRA CAMARGO (LUCIANO/EX ESPOSO) / (AP.201) - POSSUI CONEXÃO CONOSCO DESDE 10/2023, ATIVA E ADIMPLENTE.
MK END: JOAO CARLOS CORREA AMORIM (TITULAR) - POSSUI CONEXÃO CONOSCO DESDE 02/2026, ATIVA E ADIMPLENTE.</t>
    </r>
  </si>
  <si>
    <r>
      <t>MUD END + ALT PLANO RUBENS SANTOS RIBEIRO PROT:2604.28077 ISENTO (HALYSON) - PRESIDENTE ROOSEVELT  //  *TROCA DE EQUIPAMENTO*</t>
    </r>
    <r>
      <rPr>
        <b/>
        <sz val="14"/>
        <color rgb="FFFF0000"/>
        <rFont val="Verdana"/>
        <family val="2"/>
      </rPr>
      <t>*PEND. COMPROVANTE ENDEREÇO*</t>
    </r>
  </si>
  <si>
    <r>
      <t xml:space="preserve">MUD END MANOEL GOMES FERREIRA PROT:2604.30353 CARTAO (RAMONY) - JARDIM CANAÃ // </t>
    </r>
    <r>
      <rPr>
        <b/>
        <sz val="14"/>
        <color rgb="FF000000"/>
        <rFont val="Verdana"/>
        <family val="2"/>
      </rPr>
      <t xml:space="preserve">ANTIGO APARTAMENTO COM FIBRA EXISTENTE </t>
    </r>
  </si>
  <si>
    <r>
      <t xml:space="preserve">MUD END ADAO CARLOS FERREIRA DE ALMEIDA PROT:2604.28468 CARTAO (JHONATAN) - NOVO MUNDO </t>
    </r>
    <r>
      <rPr>
        <b/>
        <sz val="14"/>
        <color rgb="FFFF0000"/>
        <rFont val="Verdana"/>
        <family val="2"/>
      </rPr>
      <t xml:space="preserve">**PRÉDIO COM PRUMADA** </t>
    </r>
  </si>
  <si>
    <r>
      <rPr>
        <sz val="14"/>
        <color rgb="FF000000"/>
        <rFont val="Verdana"/>
        <family val="2"/>
      </rPr>
      <t>MUD END JENIFFER MIRANDA DE FREITAS PROT:2604.29654 PIX (BRUNA) - LUIZOTE DE FREITAS   // *</t>
    </r>
    <r>
      <rPr>
        <b/>
        <sz val="14"/>
        <color rgb="FFFF0000"/>
        <rFont val="Verdana"/>
        <family val="2"/>
      </rPr>
      <t>PEND COMPROVANTE DE END*</t>
    </r>
  </si>
  <si>
    <r>
      <t xml:space="preserve">MUD END IRLENE DA SILVA ALGARVES PROT:2604.31697 PIX (BRUNA) - SANTA MÔNICA // </t>
    </r>
    <r>
      <rPr>
        <b/>
        <sz val="14"/>
        <color rgb="FFFF0000"/>
        <rFont val="Verdana"/>
        <family val="2"/>
      </rPr>
      <t>*PEND COMPROVANTE DE END*</t>
    </r>
  </si>
  <si>
    <r>
      <rPr>
        <sz val="14"/>
        <color rgb="FF000000"/>
        <rFont val="Verdana"/>
        <family val="2"/>
      </rPr>
      <t xml:space="preserve">MUD END CARMEN SILVA ALVES DA FONSECA PROT:2603.1210 DINHEIRO (BRUNA) - SHOPPING PARK    // </t>
    </r>
    <r>
      <rPr>
        <b/>
        <sz val="14"/>
        <color rgb="FFFF0000"/>
        <rFont val="Verdana"/>
        <family val="2"/>
      </rPr>
      <t>*MENSALIDADE EM ABERTO*</t>
    </r>
  </si>
  <si>
    <r>
      <rPr>
        <sz val="14"/>
        <color rgb="FF000000"/>
        <rFont val="Verdana"/>
        <family val="2"/>
      </rPr>
      <t xml:space="preserve">MUD END + ALT PLANO LAUANE ALVES PEREIRA PROT:2604.14184 ISENTO (LUIS) - PRESIDENTE ROOSEVELT **SOBRADO** //   </t>
    </r>
    <r>
      <rPr>
        <b/>
        <sz val="14"/>
        <color rgb="FFFF0000"/>
        <rFont val="Verdana"/>
        <family val="2"/>
      </rPr>
      <t>*NÃO ANTECIPAR*</t>
    </r>
  </si>
  <si>
    <r>
      <rPr>
        <sz val="14"/>
        <color rgb="FF000000"/>
        <rFont val="Verdana"/>
        <family val="2"/>
      </rPr>
      <t xml:space="preserve">MUD END HELIO CARLOS RODRIGUES PROT:2604.27265 DINHEIRO (JHONATAN) - LARANJEIRAS  // </t>
    </r>
    <r>
      <rPr>
        <b/>
        <sz val="14"/>
        <color rgb="FF000000"/>
        <rFont val="Verdana"/>
        <family val="2"/>
      </rPr>
      <t>*</t>
    </r>
    <r>
      <rPr>
        <b/>
        <sz val="14"/>
        <color rgb="FFFF0000"/>
        <rFont val="Verdana"/>
        <family val="2"/>
      </rPr>
      <t xml:space="preserve">MUDANÇA AGENDADA PARA 02/05/2026 ÀS 08:00* </t>
    </r>
    <r>
      <rPr>
        <b/>
        <sz val="14"/>
        <color rgb="FF0070C0"/>
        <rFont val="Verdana"/>
        <family val="2"/>
      </rPr>
      <t>*PENDENTE CONFIRMAÇÃO SOBRE O EXTEND*</t>
    </r>
  </si>
  <si>
    <r>
      <rPr>
        <sz val="14"/>
        <color rgb="FF000000"/>
        <rFont val="Verdana"/>
        <family val="2"/>
      </rPr>
      <t xml:space="preserve">MUD END + ALT PLANO DALILA TEYLLOR NUNES RASSI BARBOSA PROT:2604.30826 ISENTO (HALYSON) - JARDIM EUROPA  // </t>
    </r>
    <r>
      <rPr>
        <b/>
        <sz val="14"/>
        <color rgb="FFFF0000"/>
        <rFont val="Verdana"/>
        <family val="2"/>
      </rPr>
      <t xml:space="preserve"> *PEND. COMPROVANTE DE ENDEREÇO*</t>
    </r>
  </si>
  <si>
    <r>
      <rPr>
        <sz val="14"/>
        <color rgb="FF000000"/>
        <rFont val="Verdana"/>
        <family val="2"/>
      </rPr>
      <t xml:space="preserve">MK END:
- JESSICA DANIELE COSTA DE LIMA (JONATHAN/IRMAO): PROCESSO DE ADESÃO APROVADO PARA KATIUCIA SILVA SANTOS (CUNHADA) EM 15/04/2024 RUA MANCHESTER Nº 55 JARDIM EUROPA
</t>
    </r>
    <r>
      <rPr>
        <b/>
        <sz val="14"/>
        <color rgb="FFFF0000"/>
        <rFont val="Verdana"/>
        <family val="2"/>
      </rPr>
      <t xml:space="preserve">JESSICA DANIELE COSTA DE LIMA: CANCELADO POR INADIMPLENCIA (R$1.198,30)
</t>
    </r>
    <r>
      <rPr>
        <sz val="14"/>
        <color rgb="FF000000"/>
        <rFont val="Verdana"/>
        <family val="2"/>
      </rPr>
      <t xml:space="preserve">
- KATIUCIA SILVA SANTOS: POSSUI CONEXÃO ATIVA E ADIMPLENTE RUA MANCHESTER Nº 85
- ANTONIO DE SOUSA MARTINS NETO (JONATHAN ENTEADO): PROCESSO DE ADESÃO REPROVADO EM 02/04/2024 RUA MANCHESTER Nº 55 JARDIM EUROPA
</t>
    </r>
    <r>
      <rPr>
        <b/>
        <sz val="14"/>
        <color rgb="FFFF0000"/>
        <rFont val="Verdana"/>
        <family val="2"/>
      </rPr>
      <t xml:space="preserve">
ANTONIO DE SOUSA MARTINS NETO: CANCELADO POR INADIMPLENCIA (R$898,70)
</t>
    </r>
    <r>
      <rPr>
        <sz val="14"/>
        <color rgb="FF000000"/>
        <rFont val="Verdana"/>
        <family val="2"/>
      </rPr>
      <t xml:space="preserve">
MK NOMES:
- DALILA TEYLLOR NUNES RASSI BARBOSA 098.745.046-84 (ASSINANTE): POSSUI CONEXÃO ATIVA E ADIMPLENTE
- GLADSTON DAVI BARBOSA DE SOUZA (FILHO DA ASSINANTE): N/C
- GLADSTON JOSE BARBOSA DE SOUZA (ESPOSO DA ASSINANTE): N/C
- AMANDA OLIVEIRA NUNES (IRMÃ DA ASSINANTE): PROCESSO DE ADESÃO CANCELADO PELO CLIENTE EM 08/01/2021 PARA O ENDEREÇO RUA JOÃO BERNARDES DA SILVA Nºº 930 JARDIM PATRÍCIA.  AMANDA OPTOU POR SEGUIR COM A SOLICITAÇÃO EM NOME DE MARTA DAS DORES NUNES (MÃE)
- MARTA DAS DORES NUNES (MÃE DA ASSINANTE): POSSUI CONEXÃO ATIVA E ADIMPLENTE</t>
    </r>
  </si>
  <si>
    <r>
      <rPr>
        <sz val="14"/>
        <color rgb="FF000000"/>
        <rFont val="Verdana"/>
        <family val="2"/>
      </rPr>
      <t xml:space="preserve">MUD END + ALT PLANO RAILSON ROBERTO GOMES PROT:2605.88 ISENTO (BRUNA) - SEGISMUNDO PEREIRA  // </t>
    </r>
    <r>
      <rPr>
        <b/>
        <sz val="14"/>
        <color rgb="FFFF0000"/>
        <rFont val="Verdana"/>
        <family val="2"/>
      </rPr>
      <t xml:space="preserve"> *PEND COMPROVANTE DE END*</t>
    </r>
  </si>
  <si>
    <r>
      <rPr>
        <sz val="14"/>
        <color rgb="FF000000"/>
        <rFont val="Verdana"/>
        <family val="2"/>
      </rPr>
      <t xml:space="preserve">ENDEREÇO NOVO: RUA SETE DE SETEMBRO, 265
COMPLEMENTO: CASA ÚNICA
CEP: 38401543
BAIRRO: PACAEMBU
</t>
    </r>
    <r>
      <rPr>
        <b/>
        <sz val="14"/>
        <color rgb="FFFF0000"/>
        <rFont val="Verdana"/>
        <family val="2"/>
      </rPr>
      <t>R. 7 de Setembro, 265 - Pacaembu</t>
    </r>
  </si>
  <si>
    <r>
      <rPr>
        <sz val="14"/>
        <color rgb="FF000000"/>
        <rFont val="Verdana"/>
        <family val="2"/>
      </rPr>
      <t xml:space="preserve">MK END: N/C
MK NOME: CRISTINA VIERA ALVES (DISSE SER A DONA DO IMÓVEL) -- N/C
ALFREDO SIRINO DA SILVA (TITULAR) - POSSUI CONEXÃO CONOSCO DESDE 05/2024, ATIVA E ADIMPLENTE.
</t>
    </r>
    <r>
      <rPr>
        <b/>
        <sz val="14"/>
        <color rgb="FFFF0000"/>
        <rFont val="Verdana"/>
        <family val="2"/>
      </rPr>
      <t>FELIPE ALFREDO DA SILVA - FELIPE ALFREDO DA SILVA APROVADO PARA PAI ALFREDO SIRINO DA SILVA</t>
    </r>
  </si>
  <si>
    <r>
      <rPr>
        <sz val="14"/>
        <color rgb="FF000000"/>
        <rFont val="Verdana"/>
        <family val="2"/>
      </rPr>
      <t xml:space="preserve">MUD END ALANA ARANTES OLIVEIRA GONCALVES PROT:2604.29522 CARTAO (VITOR M.) - MORUMBI   </t>
    </r>
    <r>
      <rPr>
        <b/>
        <sz val="14"/>
        <color rgb="FFFF0000"/>
        <rFont val="Verdana"/>
        <family val="2"/>
      </rPr>
      <t>*NAO ANTECIPAR, CEMIG VAI LIGAR A ENERGIA SOMENTE NO DIA 04/05*</t>
    </r>
  </si>
  <si>
    <r>
      <rPr>
        <sz val="14"/>
        <color rgb="FF000000"/>
        <rFont val="Verdana"/>
        <family val="2"/>
      </rPr>
      <t xml:space="preserve">MUD END EDUARDO ANTONIO COSTA SANTOS PROT:2604.32085 PIX (PEDRO) - SANTA MÔNICA **PRÉDIO SEM PRUMADA - ENVIAR TÉCNICO DUPLADO** </t>
    </r>
    <r>
      <rPr>
        <b/>
        <sz val="14"/>
        <color rgb="FFFF0000"/>
        <rFont val="Verdana"/>
        <family val="2"/>
      </rPr>
      <t xml:space="preserve"> </t>
    </r>
  </si>
  <si>
    <r>
      <rPr>
        <sz val="14"/>
        <color rgb="FF000000"/>
        <rFont val="Verdana"/>
        <family val="2"/>
      </rPr>
      <t xml:space="preserve">GABRYELLE ALVES DE OLIVEIRA (LOCADORA): N/C
MARCOS VENICIO CONCEIÇÃO SILVA (ASSINTANTE): ATIVO E ADIMPLENTE
MÁRCIA REGINA MARTINS QUARESMA (ESPOSA DO ASSINANTE): N/C
</t>
    </r>
    <r>
      <rPr>
        <b/>
        <sz val="14"/>
        <color rgb="FFFF0000"/>
        <rFont val="Verdana"/>
        <family val="2"/>
      </rPr>
      <t xml:space="preserve">
JESSICA AMARAL LIMA (ANTIGA MORADORA) - NC</t>
    </r>
  </si>
  <si>
    <r>
      <rPr>
        <sz val="14"/>
        <color rgb="FF000000"/>
        <rFont val="Verdana"/>
        <family val="2"/>
      </rPr>
      <t xml:space="preserve">MUD END ELITA RODRIGUES DA SILVA PROT:2605.554 CARTAO (JHONATAN) - CONJUNTO ALVORADA  </t>
    </r>
    <r>
      <rPr>
        <b/>
        <sz val="14"/>
        <color rgb="FFFF0000"/>
        <rFont val="Verdana"/>
        <family val="2"/>
      </rPr>
      <t xml:space="preserve"> *PODE ANTECIPAR*</t>
    </r>
  </si>
  <si>
    <r>
      <rPr>
        <sz val="14"/>
        <color rgb="FF000000"/>
        <rFont val="Verdana"/>
        <family val="2"/>
      </rPr>
      <t xml:space="preserve">MUD END + ALT PLANO CRISTINA GELI RAUBAL DE FREITAS PROT:2604.29420 ISENTO (BRUNA) - SANTA ROSA  // </t>
    </r>
    <r>
      <rPr>
        <b/>
        <sz val="14"/>
        <color rgb="FFFF0000"/>
        <rFont val="Verdana"/>
        <family val="2"/>
      </rPr>
      <t xml:space="preserve"> *PEND MENSALIDADE EM ABERTO/ ASSINATURA*</t>
    </r>
  </si>
  <si>
    <r>
      <rPr>
        <sz val="14"/>
        <color rgb="FF000000"/>
        <rFont val="Verdana"/>
        <family val="2"/>
      </rPr>
      <t xml:space="preserve">MK END: 
CLOVIS JOSE DA SILVA: POSSUIA CONEXÃO ATIVA, PORÉM, EM 08/07/2025 O SERVIÇO FOI CANCELADO, POIS, O TITULAR FALECEU (EQUIPAMENTOS ENTREGUES, SEM PENDENCIAS).
AILTON ALVES DOS SANTOS (PASTELARIA SANTA ROSA): POSSUI CONEXÇAO ATIVA AO LADO (COMERCIO). </t>
    </r>
    <r>
      <rPr>
        <b/>
        <sz val="14"/>
        <color rgb="FFFF0000"/>
        <rFont val="Verdana"/>
        <family val="2"/>
      </rPr>
      <t xml:space="preserve">(CADASTRO REPROVADO - ESPOSA NÃO ACEITOU PAGAR TAXA DE INSTALAÇÃO)
</t>
    </r>
    <r>
      <rPr>
        <sz val="14"/>
        <color rgb="FF000000"/>
        <rFont val="Verdana"/>
        <family val="2"/>
      </rPr>
      <t xml:space="preserve">
MK NOMES:
GABRYELLA DE SOUZA SILVA (ANTIGA INQUILINA): REALIZOU A SOLICITAÇÃO DE INSTALAÇÃO EM 10/10/2025, PORÉM, LOGO DEPOIS CANCELOU O PEDIDO.
BRUNA VITÓRIA DE FREITAS (FILHA DE CRISTINA): SOLICITADO INSTALAÇÃO EM 11/02/2025, PORÉM, DEVIDO A FALTA DE INTERAÇÃO, NÃO FOI POSSIVEL REALIZAR A INSTALAÇÃO.
EM 26/05/2023 CLIENTE SOLICITOU INSTALAÇÃO, PORÉM, DESISTIU, POIS, HAVIA INSTALADO OUTRA OPERADORA.</t>
    </r>
  </si>
  <si>
    <r>
      <rPr>
        <sz val="14"/>
        <color rgb="FF000000"/>
        <rFont val="Verdana"/>
        <family val="2"/>
      </rPr>
      <t xml:space="preserve">MUD END + ALT PLANO ELIELDEM SILVA FERREIRA PROT:2605.2139 ISENTO (PEDRO) - TIBERY  //  </t>
    </r>
    <r>
      <rPr>
        <b/>
        <sz val="14"/>
        <color rgb="FFFF0000"/>
        <rFont val="Verdana"/>
        <family val="2"/>
      </rPr>
      <t>*PEND. COMPROVANTE*</t>
    </r>
  </si>
  <si>
    <r>
      <rPr>
        <sz val="14"/>
        <color rgb="FF000000"/>
        <rFont val="Verdana"/>
        <family val="2"/>
      </rPr>
      <t xml:space="preserve">MUD END ALICIA COELHO DE ALMEIDA PROT: 2605.431 CARTÃO (IZABELA) - DANIEL FONSECA </t>
    </r>
    <r>
      <rPr>
        <b/>
        <sz val="14"/>
        <color rgb="FFFF0000"/>
        <rFont val="Verdana"/>
        <family val="2"/>
      </rPr>
      <t>*ANTECIPAR SOMENTE SE FOR À PARTIR DAS 17H00*</t>
    </r>
  </si>
  <si>
    <r>
      <rPr>
        <sz val="14"/>
        <color rgb="FF000000"/>
        <rFont val="Verdana"/>
        <family val="2"/>
      </rPr>
      <t xml:space="preserve">MUD END + ALT PLANO SILVANEIDE ARAGAO DA SILVA PROT:2605.547 ISENTO (HALYSON) - LUIZOTE DE FREITAS **SOBRADO** //  </t>
    </r>
    <r>
      <rPr>
        <b/>
        <sz val="14"/>
        <color rgb="FFFF0000"/>
        <rFont val="Verdana"/>
        <family val="2"/>
      </rPr>
      <t>*PODE ANTECIPAR*</t>
    </r>
  </si>
  <si>
    <r>
      <rPr>
        <sz val="14"/>
        <color rgb="FF000000"/>
        <rFont val="Verdana"/>
        <family val="2"/>
      </rPr>
      <t xml:space="preserve">MUD END FRANCISCA BATISTA DE SOUSA PROT:2605.1202 PIX (BRUNA) - JARDIM BRASÍLIA  // </t>
    </r>
    <r>
      <rPr>
        <b/>
        <sz val="14"/>
        <color rgb="FFFF0000"/>
        <rFont val="Verdana"/>
        <family val="2"/>
      </rPr>
      <t>*PEND COMPROVANTE DE END*</t>
    </r>
  </si>
  <si>
    <r>
      <rPr>
        <sz val="14"/>
        <color rgb="FF000000"/>
        <rFont val="Verdana"/>
        <family val="2"/>
      </rPr>
      <t xml:space="preserve">MUD END DANIELLA CRISTINA DE MENESES PROT:2604.29920 DINHEIRO (PEDRO) - MARIA REZENDE   </t>
    </r>
    <r>
      <rPr>
        <b/>
        <sz val="14"/>
        <color rgb="FFFF0000"/>
        <rFont val="Verdana"/>
        <family val="2"/>
      </rPr>
      <t xml:space="preserve"> *ANÁLISE 90 DIAS / PODE ANTECIPAR SE AUTORIZADO*</t>
    </r>
  </si>
  <si>
    <r>
      <rPr>
        <sz val="14"/>
        <color rgb="FF000000"/>
        <rFont val="Verdana"/>
        <family val="2"/>
      </rPr>
      <t>MUD END LEANDRA CRISTINA GERVASIO DE SOUZA PROT:2605.1739 PIX (VICTOR H.) - LUIZOTE DE FREITAS</t>
    </r>
    <r>
      <rPr>
        <b/>
        <sz val="14"/>
        <color rgb="FFFF0000"/>
        <rFont val="Verdana"/>
        <family val="2"/>
      </rPr>
      <t xml:space="preserve"> NÃO ANTECIPAR *(POSSUI WI-FI EXTEND)** </t>
    </r>
  </si>
  <si>
    <r>
      <rPr>
        <sz val="14"/>
        <color rgb="FF000000"/>
        <rFont val="Verdana"/>
        <family val="2"/>
      </rPr>
      <t xml:space="preserve">MUD END ROSANGELA MARIA MEDEIROS PROT:2605.1497 DINHEIRO (HALYSON) - JARAGUÁ  **(POSSUI WI-FI EXTEND)** </t>
    </r>
    <r>
      <rPr>
        <b/>
        <sz val="14"/>
        <color rgb="FFFF0000"/>
        <rFont val="Verdana"/>
        <family val="2"/>
      </rPr>
      <t>*PEND. COMPROVANTE ATUALIZADO*</t>
    </r>
  </si>
  <si>
    <r>
      <rPr>
        <b/>
        <sz val="14"/>
        <color rgb="FF000000"/>
        <rFont val="Verdana"/>
        <family val="2"/>
      </rPr>
      <t>MUD END + ALT PLANO JULIANE RESENDE ORDONES MACHADO PROT:2604.29740 ISENTO (IZABELA) - JARDIM BRASÍLIA  //</t>
    </r>
    <r>
      <rPr>
        <sz val="14"/>
        <color rgb="FF000000"/>
        <rFont val="Verdana"/>
        <family val="2"/>
      </rPr>
      <t xml:space="preserve">  </t>
    </r>
    <r>
      <rPr>
        <b/>
        <sz val="14"/>
        <color rgb="FFFF0000"/>
        <rFont val="Verdana"/>
        <family val="2"/>
      </rPr>
      <t>*REAGENDADO*</t>
    </r>
  </si>
  <si>
    <r>
      <rPr>
        <sz val="14"/>
        <color rgb="FF000000"/>
        <rFont val="Verdana"/>
        <family val="2"/>
      </rPr>
      <t xml:space="preserve">MUD END + ALT PLANO SHIRLEI MARA SILVA RIBEIRO PROT:2605.2110 ISENTO (JOSÉ Jr) - LUIZOTE DE FREITAS  // </t>
    </r>
    <r>
      <rPr>
        <b/>
        <sz val="14"/>
        <color rgb="FFFF0000"/>
        <rFont val="Verdana"/>
        <family val="2"/>
      </rPr>
      <t xml:space="preserve"> *PENDENTE COMPROVANTE*</t>
    </r>
  </si>
  <si>
    <r>
      <rPr>
        <sz val="14"/>
        <color rgb="FF000000"/>
        <rFont val="Verdana"/>
        <family val="2"/>
      </rPr>
      <t xml:space="preserve">MUD END + ALT PLANO CINTHIA LETICIA CRUZEIRO (LETICIA RIBEIRO NAILS DESIGNER) PROT:2605.2395 ISENTO (JHONATAN) - LUIZOTE DE FREITAS  //  </t>
    </r>
    <r>
      <rPr>
        <b/>
        <sz val="14"/>
        <color rgb="FFFF0000"/>
        <rFont val="Verdana"/>
        <family val="2"/>
      </rPr>
      <t>*PEND COMPROVANTE*</t>
    </r>
  </si>
  <si>
    <r>
      <rPr>
        <sz val="14"/>
        <color rgb="FF000000"/>
        <rFont val="Verdana"/>
        <family val="2"/>
      </rPr>
      <t xml:space="preserve">MUD END RAMON GABRIEL BRITO MAITA PROT:2605.3389 PIX (LUIS) - JARDIM BRASÍLIA  </t>
    </r>
    <r>
      <rPr>
        <b/>
        <sz val="14"/>
        <color rgb="FFFF0000"/>
        <rFont val="Verdana"/>
        <family val="2"/>
      </rPr>
      <t>*PENDENTE COMPROVANTE*</t>
    </r>
  </si>
  <si>
    <r>
      <t xml:space="preserve">MUD END ADAO CARLOS FERREIRA DE ALMEIDA PROT:2604.28468 CARTAO (JHONATAN) - NOVO MUNDO </t>
    </r>
    <r>
      <rPr>
        <b/>
        <sz val="14"/>
        <color rgb="FFFF0000"/>
        <rFont val="Verdana"/>
        <family val="2"/>
      </rPr>
      <t xml:space="preserve"> *POSSUI CLIENTE NO AP 306*</t>
    </r>
  </si>
  <si>
    <r>
      <rPr>
        <sz val="14"/>
        <color rgb="FF000000"/>
        <rFont val="Verdana"/>
        <family val="2"/>
      </rPr>
      <t xml:space="preserve">MUD END SATLER FERREIRA GODINHO PROT:2605.4987 PIX (RONALD) - JARDIM DAS PALMEIRAS  // COM FIBRA EXISTENTE </t>
    </r>
    <r>
      <rPr>
        <b/>
        <sz val="14"/>
        <color rgb="FFFF0000"/>
        <rFont val="Verdana"/>
        <family val="2"/>
      </rPr>
      <t xml:space="preserve"> *SO PODE ESSE HORARIO*</t>
    </r>
  </si>
  <si>
    <r>
      <t xml:space="preserve">MUD END FERNANDA KELER BARROS PINTO (ACAI GOLDEN) PROT:2604.23968 PIX (PEDRO/VICTOR) - SANTA MÔNICA  </t>
    </r>
    <r>
      <rPr>
        <b/>
        <sz val="14"/>
        <color rgb="FFFF0000"/>
        <rFont val="Verdana"/>
        <family val="2"/>
      </rPr>
      <t>*PODE ANTECIPAR DESDE QUE AUTORIZADO / ANÁLISE CADASTRO*</t>
    </r>
  </si>
  <si>
    <r>
      <t xml:space="preserve">MUD END + ALT PLANO FLAVIO FURLANETO DOS SANTOS PROT:2605.1989 ISENTO (VICTOR H.) - JARDIM IPANEMA  // </t>
    </r>
    <r>
      <rPr>
        <b/>
        <sz val="14"/>
        <color rgb="FFFF0000"/>
        <rFont val="Verdana"/>
        <family val="2"/>
      </rPr>
      <t xml:space="preserve"> NÃO ANTECIPAR</t>
    </r>
  </si>
  <si>
    <r>
      <t>MUD END + ALT PLANO TANIA MARIA DUTRA PROT:2605.3399 ISENTO (IZABELA) - JARDIM PATRÍCIA</t>
    </r>
    <r>
      <rPr>
        <b/>
        <sz val="14"/>
        <color rgb="FFFF0000"/>
        <rFont val="Verdana"/>
        <family val="2"/>
      </rPr>
      <t xml:space="preserve"> *PENDENTE COMPROVANTE DE ENDEREÇO*</t>
    </r>
  </si>
  <si>
    <r>
      <rPr>
        <sz val="14"/>
        <color rgb="FF000000"/>
        <rFont val="Verdana"/>
        <family val="2"/>
      </rPr>
      <t xml:space="preserve">MUD END GUILHERME COELHO SILVA (MAIS TECH IMPORTADOS) PROT:2604.31007 PIX (JOSÉ Jr) - JARDIM BRASÍLIA   </t>
    </r>
    <r>
      <rPr>
        <b/>
        <sz val="14"/>
        <color rgb="FFFF0000"/>
        <rFont val="Verdana"/>
        <family val="2"/>
      </rPr>
      <t>*ANALISE 90 DIAS*</t>
    </r>
  </si>
  <si>
    <r>
      <rPr>
        <b/>
        <sz val="14"/>
        <color rgb="FF000000"/>
        <rFont val="Verdana"/>
        <family val="2"/>
      </rPr>
      <t xml:space="preserve">MUD END YASMIM DE SOUSA SILVA PROT:2604.28570 CARTAO (JOSÉ Jr) - GRANADA  </t>
    </r>
    <r>
      <rPr>
        <b/>
        <sz val="14"/>
        <color rgb="FFFF0000"/>
        <rFont val="Verdana"/>
        <family val="2"/>
      </rPr>
      <t xml:space="preserve"> </t>
    </r>
  </si>
  <si>
    <r>
      <rPr>
        <sz val="14"/>
        <color rgb="FF000000"/>
        <rFont val="Verdana"/>
        <family val="2"/>
      </rPr>
      <t xml:space="preserve">MUD END LAIS MEDEIROS GONCALVES PROT:2605.3167 DINHEIRO (JHONATAN) - NOVO MUNDO </t>
    </r>
    <r>
      <rPr>
        <b/>
        <sz val="14"/>
        <color rgb="FFFF0000"/>
        <rFont val="Verdana"/>
        <family val="2"/>
      </rPr>
      <t xml:space="preserve">**PRÉDIO COM PRUMADA** </t>
    </r>
  </si>
  <si>
    <r>
      <t xml:space="preserve">MUD END VALDEMAR LOPES NERY PROT:2604.13394 PIX (PEDRO) - PLANALTO  </t>
    </r>
    <r>
      <rPr>
        <b/>
        <sz val="14"/>
        <color rgb="FFFF0000"/>
        <rFont val="Verdana"/>
        <family val="2"/>
      </rPr>
      <t xml:space="preserve"> não pode adiantar, confirmar se pegou equipamento - NÃO PEGOU O EQUIPAMANTO</t>
    </r>
  </si>
  <si>
    <r>
      <rPr>
        <sz val="14"/>
        <color rgb="FF000000"/>
        <rFont val="Verdana"/>
        <family val="2"/>
      </rPr>
      <t xml:space="preserve">MUD END + ALT PLANO FABIO LOPES DA SILVA (FORMAT INFO) PROT:2605.3740 ISENTO (RONALD) - SÃO JORGE  //  </t>
    </r>
    <r>
      <rPr>
        <b/>
        <sz val="14"/>
        <color rgb="FFFF0000"/>
        <rFont val="Verdana"/>
        <family val="2"/>
      </rPr>
      <t>*NÃO ANTECIPAR*</t>
    </r>
  </si>
  <si>
    <r>
      <rPr>
        <sz val="14"/>
        <color rgb="FF000000"/>
        <rFont val="Verdana"/>
        <family val="2"/>
      </rPr>
      <t xml:space="preserve">MUD END + ALT PLANO GEISA ALVES BISPO PROT:2605.6294 ISENTO (LUIS) - JARDIM CANAÃ  //  </t>
    </r>
    <r>
      <rPr>
        <b/>
        <sz val="14"/>
        <color rgb="FFFF0000"/>
        <rFont val="Verdana"/>
        <family val="2"/>
      </rPr>
      <t>*PODE ANTECIPAR*</t>
    </r>
  </si>
  <si>
    <r>
      <rPr>
        <sz val="14"/>
        <color rgb="FF000000"/>
        <rFont val="Verdana"/>
        <family val="2"/>
      </rPr>
      <t xml:space="preserve">MK END 
→ WILLIAM DOS SANTOS LIMA: CONEXÃO ATIVA DESDE 01/2025 - FATURA DO MÊS 05/2026 EM ABERTO (PORÉM CONSTA COMPLEMENTO APT.1) - </t>
    </r>
    <r>
      <rPr>
        <b/>
        <sz val="14"/>
        <color rgb="FFFF0000"/>
        <rFont val="Verdana"/>
        <family val="2"/>
      </rPr>
      <t xml:space="preserve">APARECE NO CADASTRO COMO FILHO DE JOZILENE (ESPOSA DE IVAN). 
</t>
    </r>
    <r>
      <rPr>
        <sz val="14"/>
        <color rgb="FF000000"/>
        <rFont val="Verdana"/>
        <family val="2"/>
      </rPr>
      <t xml:space="preserve">
MK NOME 
→ JOZILENE DOS SANTOS LIMA (DISSE QUE É A ESPOSA): N/C</t>
    </r>
  </si>
  <si>
    <r>
      <rPr>
        <sz val="14"/>
        <color rgb="FF000000"/>
        <rFont val="Verdana"/>
        <family val="2"/>
      </rPr>
      <t xml:space="preserve">MUD END + ALT PLANO LEONARDO REZENDE BARACAS PROT:2605.3385 (JOSÉ Jr) - SANTA MÔNICA </t>
    </r>
    <r>
      <rPr>
        <b/>
        <sz val="14"/>
        <color rgb="FFFF0000"/>
        <rFont val="Verdana"/>
        <family val="2"/>
      </rPr>
      <t>*PENDENTE COMPROVANTE*</t>
    </r>
  </si>
  <si>
    <r>
      <rPr>
        <sz val="14"/>
        <color rgb="FF000000"/>
        <rFont val="Verdana"/>
        <family val="2"/>
      </rPr>
      <t xml:space="preserve">MK END 
→ KETLEN ALVES SILVA: PROCESSO DE ADESÃO RECUSADO EM 07/2025 
MK NOME 
→ LORRANE CASTRO DA SILVA (DIZ SER A DONA DO IMÓVEL): N/C
</t>
    </r>
    <r>
      <rPr>
        <b/>
        <sz val="14"/>
        <color rgb="FFFF0000"/>
        <rFont val="Verdana"/>
        <family val="2"/>
      </rPr>
      <t>QUENIA ANDRELINA DOS SANTOS BERNARDES DA SILVA: QUENIA ANDRELINA DOS SANTOS BERNARDES DA SILVA APROVADO PARA O ESPOSO JOAO BATISTA DA SILVA</t>
    </r>
  </si>
  <si>
    <r>
      <t>MUD END HIGHLANDER DE SOUZA RODRIGUES PROT:2605.3102 PIX (IZABELA) - JARDIM CANAÃ</t>
    </r>
    <r>
      <rPr>
        <b/>
        <sz val="14"/>
        <color rgb="FFFF0000"/>
        <rFont val="Verdana"/>
        <family val="2"/>
      </rPr>
      <t xml:space="preserve"> *PENDENTE COMPROVANTE DE ENDEREÇO*</t>
    </r>
  </si>
  <si>
    <r>
      <rPr>
        <sz val="14"/>
        <color rgb="FF000000"/>
        <rFont val="Verdana"/>
        <family val="2"/>
      </rPr>
      <t xml:space="preserve">MUD END + ALT PLANO ROSANGELA CLARA DOS REIS DA SILVA SANTOS (JOICE/IRMA) PROT:2605.3397 ISENTO (JHONATAN) - TIBERY  //  </t>
    </r>
    <r>
      <rPr>
        <b/>
        <sz val="14"/>
        <color rgb="FFFF0000"/>
        <rFont val="Verdana"/>
        <family val="2"/>
      </rPr>
      <t>* PENDENTE COMPROVANTE *</t>
    </r>
  </si>
  <si>
    <r>
      <rPr>
        <b/>
        <sz val="14"/>
        <color rgb="FF000000"/>
        <rFont val="Verdana"/>
        <family val="2"/>
      </rPr>
      <t xml:space="preserve">MUD END + ALT PLANO KARITA DARC MACHADO PROT:2605.3124 ISENTO (JOSÉ Jr) - MANSOUR **PRÉDIO COM PRUMADA** // </t>
    </r>
    <r>
      <rPr>
        <b/>
        <sz val="14"/>
        <color rgb="FFFF0000"/>
        <rFont val="Verdana"/>
        <family val="2"/>
      </rPr>
      <t xml:space="preserve"> *CONFIRMAR ANTES SE A CEMIG ATIVOU ENERGIA*</t>
    </r>
  </si>
  <si>
    <r>
      <rPr>
        <sz val="14"/>
        <color rgb="FF000000"/>
        <rFont val="Verdana"/>
        <family val="2"/>
      </rPr>
      <t xml:space="preserve">MUD END + ALT PLANO WALISTON SABINO SILVA PROT:2605.5347 ISENTO (RONALD) - JARDIM CANAÃ  //  </t>
    </r>
    <r>
      <rPr>
        <b/>
        <sz val="14"/>
        <color rgb="FFFF0000"/>
        <rFont val="Verdana"/>
        <family val="2"/>
      </rPr>
      <t>*PODE ANTECIPAR*</t>
    </r>
  </si>
  <si>
    <r>
      <t xml:space="preserve">MUD END JENIFFER MIRANDA DE FREITAS PROT:2604.29654 PIX (BRUNA) - LUIZOTE DE FREITAS   //  REAGENDADO / </t>
    </r>
    <r>
      <rPr>
        <b/>
        <sz val="14"/>
        <color rgb="FFFF0000"/>
        <rFont val="Verdana"/>
        <family val="2"/>
      </rPr>
      <t xml:space="preserve">PODE ANTECIPAR </t>
    </r>
  </si>
  <si>
    <r>
      <rPr>
        <sz val="14"/>
        <color rgb="FF000000"/>
        <rFont val="Verdana"/>
        <family val="2"/>
      </rPr>
      <t>MK END: GISLAINE GUIMARAES DA SILVA (CASA 1 FRENTE) - CONTRATOU CONOSCO EM 05/2025, MAS FOI CANCELADO EM 03/2026 POR INADIMPLÊNCIA. SEGUE EM PENDÊNCIA FINANCEIRA CONOSCO E NÃO DEVOLVEU OS EQUIPAMENTOS.</t>
    </r>
    <r>
      <rPr>
        <b/>
        <sz val="14"/>
        <color rgb="FFFF0000"/>
        <rFont val="Verdana"/>
        <family val="2"/>
      </rPr>
      <t xml:space="preserve">(R$1.039,70)
</t>
    </r>
    <r>
      <rPr>
        <sz val="14"/>
        <color rgb="FF000000"/>
        <rFont val="Verdana"/>
        <family val="2"/>
      </rPr>
      <t xml:space="preserve">
MK NOME: GEOVANNA VITORIA ROCHA (DISSE SER FILHA DA DONA DA CASA) - SOLICITOU CONOSCO EM 07/2024, MAS SÓ FOI APROVADO COM A INSTALAÇÃO PAGA, DIANTE DISSO ELA NÃO TEVE INTERESSE EM SEGUIR.
ANDERSON ROBERTO DA SILVA (TITULAR) - POSSUI CONEXÃO CONOSCO DESDE 01/2025, ATIVA E ADIMPLENTE.</t>
    </r>
  </si>
  <si>
    <r>
      <rPr>
        <sz val="14"/>
        <color rgb="FF000000"/>
        <rFont val="Verdana"/>
        <family val="2"/>
      </rPr>
      <t xml:space="preserve">MUD END + ALT PLANO GABRIEL MACHADO FLORIZ PROT:2605.7305 ISENTO (JHONATAN) - SANTA MÔNICA  // </t>
    </r>
    <r>
      <rPr>
        <b/>
        <sz val="14"/>
        <color rgb="FFFF0000"/>
        <rFont val="Verdana"/>
        <family val="2"/>
      </rPr>
      <t>*FATURA EM ABERTO*</t>
    </r>
    <r>
      <rPr>
        <sz val="14"/>
        <color rgb="FF000000"/>
        <rFont val="Verdana"/>
        <family val="2"/>
      </rPr>
      <t xml:space="preserve"> </t>
    </r>
    <r>
      <rPr>
        <b/>
        <sz val="14"/>
        <color rgb="FFFF0000"/>
        <rFont val="Verdana"/>
        <family val="2"/>
      </rPr>
      <t xml:space="preserve">*PENDENTE GERAR CONTRATO E ASSINATURA* </t>
    </r>
  </si>
  <si>
    <r>
      <rPr>
        <sz val="14"/>
        <color rgb="FF000000"/>
        <rFont val="Verdana"/>
        <family val="2"/>
      </rPr>
      <t xml:space="preserve">MUD END IVANILSON BENICIO BRANDAO (AUTO MECANICA NILCAR) PROT:2605.7314 PIX (RAMONY) - TOCANTINS / </t>
    </r>
    <r>
      <rPr>
        <b/>
        <sz val="14"/>
        <color rgb="FFFF0000"/>
        <rFont val="Verdana"/>
        <family val="2"/>
      </rPr>
      <t>FATURA EM ABERTO</t>
    </r>
  </si>
  <si>
    <r>
      <rPr>
        <sz val="14"/>
        <color rgb="FF000000"/>
        <rFont val="Verdana"/>
        <family val="2"/>
      </rPr>
      <t xml:space="preserve">MK END:
   RICARDO JUNIOR (SUPER PET) CNPJ:43.401.948/0001-61 CONEXÃO CANCELADA EM 10/2022. CLIENTE INADIMPLENTE E SEM DEVOLUÇÃO DOS EQUIPAMENTOS. VALOR TOTAL DOS DÉBITOS: R$ </t>
    </r>
    <r>
      <rPr>
        <b/>
        <sz val="14"/>
        <color rgb="FFFF0000"/>
        <rFont val="Verdana"/>
        <family val="2"/>
      </rPr>
      <t>1.225,80</t>
    </r>
    <r>
      <rPr>
        <sz val="14"/>
        <color rgb="FF000000"/>
        <rFont val="Verdana"/>
        <family val="2"/>
      </rPr>
      <t>.
MK NOMES:
   VIRGINIA HELENA DE SOUZA CPF:987.054.746-04 (LOCADOR)N/C
   BRENA MAIRA DA CRUZ SENA CPF:144.630.566-08 (LOCATARIO) ESPOSA DO TITULAR PROCESSO DE ADESÃO APROVADO NO DIA 21/12/2023 PARA O TITULAR DA CONEXÃO ELTON JHON BORGES DE JESUS
   JOÃO PAULO CARDOSO COSTA CPF:148.199.526-09 (TESTEMUNHA)N/C
   JOÃO RICARDO CASTILHO DE GODOY CPF:038.655.036-08(TESTEMUNHA) CLIENTE COM CONEXÃO ATIVA DESDE 01/2024 E UMA MENSALIDADE EM ABERTO REFERENTE AO MÊS ATUAL, COM VENCIMENTO EM 10/05/2026.</t>
    </r>
  </si>
  <si>
    <r>
      <rPr>
        <sz val="14"/>
        <color rgb="FF000000"/>
        <rFont val="Verdana"/>
        <family val="2"/>
      </rPr>
      <t xml:space="preserve">MUD END LUIZ FELIPE DE SOUZA FERNADES PROT:2605.7635 PIX (PEDRO) - DONA ZULMIRA   </t>
    </r>
    <r>
      <rPr>
        <b/>
        <sz val="14"/>
        <color rgb="FFFF0000"/>
        <rFont val="Verdana"/>
        <family val="2"/>
      </rPr>
      <t>*PODE ANTECIPAR*</t>
    </r>
  </si>
  <si>
    <r>
      <rPr>
        <sz val="14"/>
        <color rgb="FF000000"/>
        <rFont val="Verdana"/>
        <family val="2"/>
      </rPr>
      <t xml:space="preserve">MUD END + ALT PLANO BARBARA ALVES ROSA PROT:2605.6534 ISENTO (VAGNER) - JARDIM HOLANDA *PRÉDIO COM PRUMADA* </t>
    </r>
    <r>
      <rPr>
        <b/>
        <sz val="14"/>
        <color rgb="FFFF0000"/>
        <rFont val="Verdana"/>
        <family val="2"/>
      </rPr>
      <t>*PODE ANTECIPAR*</t>
    </r>
  </si>
  <si>
    <r>
      <t xml:space="preserve">MUD END + ALT PLANO CLINICA MEDICA NOSSA SENHORA DA ABADIA LTDA PROT:2605.6510 ISENTO (PEDRO) - VIGILATO PEREIRA  //  </t>
    </r>
    <r>
      <rPr>
        <b/>
        <sz val="14"/>
        <color rgb="FFFF0000"/>
        <rFont val="Verdana"/>
        <family val="2"/>
      </rPr>
      <t>*PENDENTE COMPROVANTE DE END.*</t>
    </r>
  </si>
  <si>
    <r>
      <rPr>
        <b/>
        <sz val="14"/>
        <color rgb="FF000000"/>
        <rFont val="Verdana"/>
        <family val="2"/>
      </rPr>
      <t xml:space="preserve">15/05 - 08:00 </t>
    </r>
    <r>
      <rPr>
        <sz val="14"/>
        <color rgb="FF000000"/>
        <rFont val="Verdana"/>
        <family val="2"/>
      </rPr>
      <t xml:space="preserve">MUD END + ALT PLANO NILZABETE PEREIRA DO NASCIMENTO PROT:2604.29209 ISENTO (BRUNA) - NOVO MUNDO  //  *TROCA DE EQUIPAMENTO*  </t>
    </r>
    <r>
      <rPr>
        <b/>
        <sz val="14"/>
        <color rgb="FFFF0000"/>
        <rFont val="Verdana"/>
        <family val="2"/>
      </rPr>
      <t>*PODE ANTECIPAR*</t>
    </r>
  </si>
  <si>
    <r>
      <rPr>
        <sz val="14"/>
        <color rgb="FF000000"/>
        <rFont val="Verdana"/>
        <family val="2"/>
      </rPr>
      <t xml:space="preserve">MUD END ANA MARIA DE SOUZA DANTAS DE OLIVEIRA PROT:2605.8058 PIX (JHONATAN) - JARDIM IPANEMA  </t>
    </r>
    <r>
      <rPr>
        <b/>
        <sz val="14"/>
        <color rgb="FFFF0000"/>
        <rFont val="Verdana"/>
        <family val="2"/>
      </rPr>
      <t xml:space="preserve"> *PENDENTE COMPROVANTE END*</t>
    </r>
  </si>
  <si>
    <r>
      <rPr>
        <sz val="14"/>
        <color rgb="FF000000"/>
        <rFont val="Verdana"/>
        <family val="2"/>
      </rPr>
      <t xml:space="preserve">MUD END - RESERVA JHONATAN / TALITA CAMILA DUTRA SILVA (RICARROS CENTRO AUTOMOTIVO) </t>
    </r>
    <r>
      <rPr>
        <b/>
        <sz val="14"/>
        <color rgb="FFFF0000"/>
        <rFont val="Verdana"/>
        <family val="2"/>
      </rPr>
      <t>* PENDENTE COMPROVANTE*</t>
    </r>
  </si>
  <si>
    <r>
      <rPr>
        <sz val="14"/>
        <color rgb="FF000000"/>
        <rFont val="Verdana"/>
        <family val="2"/>
      </rPr>
      <t xml:space="preserve">MK END: 
</t>
    </r>
    <r>
      <rPr>
        <b/>
        <sz val="14"/>
        <color rgb="FFFF0000"/>
        <rFont val="Verdana"/>
        <family val="2"/>
      </rPr>
      <t xml:space="preserve">JESSICA DOS SANTOS ALVES - PROCESSO DE ADESÃO NEGADO, POR CONJUGE TER DÉBITOS COM A MZ
MARIA AMELIA FERREIRA CUNHA - CONEXÃO CANCELADA SEM DÉBITOS
</t>
    </r>
    <r>
      <rPr>
        <sz val="14"/>
        <color rgb="FF000000"/>
        <rFont val="Verdana"/>
        <family val="2"/>
      </rPr>
      <t xml:space="preserve">
ILSA MARIA FERREIRA (LOCADOR) CPF: 460.753.646-68 - N/C
IVAN NEGÓCIOS IMOBILIÁRIOS LTDA. (ADMINISTRADORA) CNPJ: 20.869.012/0001-64 - N/C
IVAN GRACIANO DA COSTA FILHO (REPRESENTANTE) CPF: 040.246.836-83 - N/C
RICARDO GRACIANO DA COSTA (REPRESENTANTE) CPF: 042.613.186-01 - N/C
VICENTE PAULO FERREIRA (PROCURADOR) CPF: 435.173.826-04 - N/C
JOYCE APARECIDA DIAS (PROCURADORA) CPF: 058.367.476-36 - N/C
LUTZ LAMARA BALBESTER TEIXEIRA ALVES (PROCURADORA) CPF: 320.333.798-33 - N/C</t>
    </r>
  </si>
  <si>
    <r>
      <rPr>
        <b/>
        <sz val="14"/>
        <color rgb="FF000000"/>
        <rFont val="Verdana"/>
        <family val="2"/>
      </rPr>
      <t>MUD END + ALT PLANO JULIANE RESENDE ORDONES MACHADO PROT:2604.29740 ISENTO (IZABELA) - JARDIM BRASÍLIA  //</t>
    </r>
    <r>
      <rPr>
        <sz val="14"/>
        <color rgb="FF000000"/>
        <rFont val="Verdana"/>
        <family val="2"/>
      </rPr>
      <t xml:space="preserve">  </t>
    </r>
    <r>
      <rPr>
        <b/>
        <sz val="14"/>
        <color rgb="FFFF0000"/>
        <rFont val="Verdana"/>
        <family val="2"/>
      </rPr>
      <t>*NÃO ANTECIPAR*</t>
    </r>
  </si>
  <si>
    <r>
      <rPr>
        <sz val="14"/>
        <color rgb="FF000000"/>
        <rFont val="Verdana"/>
        <family val="2"/>
      </rPr>
      <t xml:space="preserve">MUD END SUSANA CRISTINA SANTOS PROT: 2604.29471 CARTAO (JOSÉ Jr) - JARDIM CANAÃ   </t>
    </r>
    <r>
      <rPr>
        <b/>
        <sz val="14"/>
        <color rgb="FFFF0000"/>
        <rFont val="Verdana"/>
        <family val="2"/>
      </rPr>
      <t>*PENDENTE COMPROVANTE**PENDENTE MENSALIDADE*</t>
    </r>
  </si>
  <si>
    <r>
      <rPr>
        <sz val="14"/>
        <color rgb="FF000000"/>
        <rFont val="Verdana"/>
        <family val="2"/>
      </rPr>
      <t xml:space="preserve">MUD END + ALT PLANO GABRIELE DE SOUZA PAIXÃO PROT:2605.8157 ISENTO (VAGNER) - MORUMBI </t>
    </r>
    <r>
      <rPr>
        <b/>
        <sz val="14"/>
        <color rgb="FFFF0000"/>
        <rFont val="Verdana"/>
        <family val="2"/>
      </rPr>
      <t xml:space="preserve">*PODE ANTECIPAR* *PENDENTE ASSINATURA* </t>
    </r>
    <r>
      <rPr>
        <b/>
        <sz val="14"/>
        <color rgb="FF000000"/>
        <rFont val="Verdana"/>
        <family val="2"/>
      </rPr>
      <t>// *VAI MUDAR OUTRA PESSOA PARA LÁ - MICHELA SOUZA NEGREIROS*</t>
    </r>
  </si>
  <si>
    <r>
      <rPr>
        <sz val="14"/>
        <color rgb="FF000000"/>
        <rFont val="Verdana"/>
        <family val="2"/>
      </rPr>
      <t xml:space="preserve">MK END;
</t>
    </r>
    <r>
      <rPr>
        <b/>
        <sz val="14"/>
        <color rgb="FFFF0000"/>
        <rFont val="Verdana"/>
        <family val="2"/>
      </rPr>
      <t xml:space="preserve">MESMO ENDEREÇO(RUA GUAPEVA,1038) - MICHELA SOUZA NEGREIROS - POSSUI SOLICITAÇÃO DE MUDANÇA DE ENDEREÇO AINDA NAO AGENDADA PARA O MESMO ENDREÇO QUE GABRIELE. 
</t>
    </r>
    <r>
      <rPr>
        <sz val="14"/>
        <color rgb="FF000000"/>
        <rFont val="Verdana"/>
        <family val="2"/>
      </rPr>
      <t xml:space="preserve">
MK NOME: MARIA APARECIDA BORGES (ANTIGO INQUILINO) - N/C
</t>
    </r>
    <r>
      <rPr>
        <b/>
        <sz val="14"/>
        <color rgb="FFFF0000"/>
        <rFont val="Verdana"/>
        <family val="2"/>
      </rPr>
      <t>MARIA DULCE BONIFACIO DE SOUZA (MÃE DE GABRIELE) - NC</t>
    </r>
  </si>
  <si>
    <r>
      <rPr>
        <sz val="14"/>
        <color rgb="FF000000"/>
        <rFont val="Verdana"/>
        <family val="2"/>
      </rPr>
      <t xml:space="preserve">MUD END MARINEZ RODRIGUES DA ROCHA PINHEIRO PROT:2605.9316 DINHEIRO (HALYSON) - SÃO JORGE  </t>
    </r>
    <r>
      <rPr>
        <b/>
        <sz val="14"/>
        <color rgb="FFFF0000"/>
        <rFont val="Verdana"/>
        <family val="2"/>
      </rPr>
      <t>*PODE ANTECIPAR*</t>
    </r>
  </si>
  <si>
    <r>
      <rPr>
        <sz val="14"/>
        <color rgb="FF000000"/>
        <rFont val="Verdana"/>
        <family val="2"/>
      </rPr>
      <t xml:space="preserve">MUD END FABIANO HENRIQUE AMANCIO PROT:2605.8860 CARTAO (BRUNA) - JARDIM EUROPA  </t>
    </r>
    <r>
      <rPr>
        <b/>
        <sz val="14"/>
        <color rgb="FFFF0000"/>
        <rFont val="Verdana"/>
        <family val="2"/>
      </rPr>
      <t xml:space="preserve"> *MENSALIDADE EM ABERTO*</t>
    </r>
  </si>
  <si>
    <r>
      <rPr>
        <sz val="14"/>
        <color rgb="FF000000"/>
        <rFont val="Verdana"/>
        <family val="2"/>
      </rPr>
      <t>MK END: 
KARYNY VITORIA SILVA CRUZ (EX INQUILINA): EM 28/01/2025, SOLICITOU INSTALAÇÃO, PORÉM, A FICHA FOI REPROVADA DEVIDO AO SCORE. OFERTADA INSTALAÇÃO MEDIANTE PAGAMENTO DA TAXA, NO ENTANTO, A MESMA NÃO DEMONSTROU INTERESSE.
FERNANDA AGUIAR DA SILVA (CASA 8): EM 24/02/2022, SOLICITOU INSTALAÇÃO, PORÉM, O PROCESSO NÃO FOI CONCLUÍDO. NÃO HÁ MAIS INFORMAÇÕES REGISTRADAS.
VALERIA COSTITE: POSSUÍA CONEXÃO ATIVA, PORÉM, O CONTRATO FOI BAIXADO DEVIDO A PENDÊNCIAS FINANCEIRAS</t>
    </r>
    <r>
      <rPr>
        <b/>
        <sz val="14"/>
        <color rgb="FFFF0000"/>
        <rFont val="Verdana"/>
        <family val="2"/>
      </rPr>
      <t>.(R$1.362,95)</t>
    </r>
    <r>
      <rPr>
        <sz val="14"/>
        <color rgb="FF000000"/>
        <rFont val="Verdana"/>
        <family val="2"/>
      </rPr>
      <t xml:space="preserve"> 
DANIELLE CRISTINE APARECIDA SILVA: POSSUÍA CONEXÃO ATIVA, PORÉM, O CONTRATO FOI BAIXADO DEVIDO A PENDÊNCIAS FINANCEIRAS.</t>
    </r>
    <r>
      <rPr>
        <b/>
        <sz val="14"/>
        <color rgb="FFFF0000"/>
        <rFont val="Verdana"/>
        <family val="2"/>
      </rPr>
      <t xml:space="preserve"> (R$1.811,02) 
</t>
    </r>
    <r>
      <rPr>
        <sz val="14"/>
        <color rgb="FF000000"/>
        <rFont val="Verdana"/>
        <family val="2"/>
      </rPr>
      <t xml:space="preserve">
MK NOMES: 
NAJARA SILVA SANTOS (ESPOSA DE FABIANO/PROPRIETARIA DO IMOVEL): N/C</t>
    </r>
  </si>
  <si>
    <r>
      <rPr>
        <sz val="14"/>
        <color rgb="FF000000"/>
        <rFont val="Verdana"/>
        <family val="2"/>
      </rPr>
      <t xml:space="preserve">MK END 
N/C
MK NOME
-&gt; JAQUELINE CAROLINA DA SILVA (ASSINANTE DA CONEXÃO)
</t>
    </r>
    <r>
      <rPr>
        <b/>
        <sz val="14"/>
        <color rgb="FFFF0000"/>
        <rFont val="Verdana"/>
        <family val="2"/>
      </rPr>
      <t>- LAIS ALVES DE OLIVEIRA SILVA - NC</t>
    </r>
  </si>
  <si>
    <r>
      <rPr>
        <sz val="14"/>
        <color rgb="FF000000"/>
        <rFont val="Verdana"/>
        <family val="2"/>
      </rPr>
      <t xml:space="preserve">MUD END ESTER EFRAIN DE ARAUJO ESTEVO PROT:2605.10759 PIX (BRUNA) - LÍDICE  </t>
    </r>
    <r>
      <rPr>
        <b/>
        <sz val="14"/>
        <color rgb="FFFF0000"/>
        <rFont val="Verdana"/>
        <family val="2"/>
      </rPr>
      <t>*PODE ANTECIPAR*</t>
    </r>
  </si>
  <si>
    <r>
      <rPr>
        <sz val="14"/>
        <color rgb="FF000000"/>
        <rFont val="Verdana"/>
        <family val="2"/>
      </rPr>
      <t xml:space="preserve">MK END:
DEZIRRE PIAZZA BRUZZO DOS REIS: EM 11/04/2024 ENTROU EM CONTATO E SOLICITOU INSTALAÇÃO, SENDO A FICHA REPROVADA, FOI OFERTADO DAR CONTINUIDADE COM A COMPRA DOS EQUIPAMENTOS, PORÉM, DEZIERRE OPTOU EM NÃO PROSSEGUIR.
MK NOMES: 
GABRIEL MENDES DE SOUSA (INQUILINO/ CASA FRENTE): N/C
CLAUDIANE GOMES DE ARAUJO ESTEVO (MÃE DE ESTER): POSSUI CONEXÃO ATIVA EM OUTRO ENDEREÇO, SEM PENDENCIAS. </t>
    </r>
    <r>
      <rPr>
        <b/>
        <sz val="14"/>
        <color rgb="FFFF0000"/>
        <rFont val="Verdana"/>
        <family val="2"/>
      </rPr>
      <t>Rua Paulo Maia,86 - casa fundos</t>
    </r>
  </si>
  <si>
    <r>
      <rPr>
        <sz val="14"/>
        <color rgb="FF000000"/>
        <rFont val="Verdana"/>
        <family val="2"/>
      </rPr>
      <t>MUD END ALINE MARQUES DURAES PROT:2605.14028 PIX (RAMONY) - TOCANTINS //</t>
    </r>
    <r>
      <rPr>
        <b/>
        <sz val="14"/>
        <color rgb="FFFF0000"/>
        <rFont val="Verdana"/>
        <family val="2"/>
      </rPr>
      <t xml:space="preserve"> PENDENTE MENSALIDADE EM ABERTO</t>
    </r>
  </si>
  <si>
    <r>
      <rPr>
        <sz val="14"/>
        <color rgb="FF000000"/>
        <rFont val="Verdana"/>
        <family val="2"/>
      </rPr>
      <t xml:space="preserve">MUD END + ALT PLANO VICTOR HUGO PEREIRA PROT:2605.5305 ISENTO (PEDRO) - DANIEL FONSECA  //  </t>
    </r>
    <r>
      <rPr>
        <b/>
        <sz val="14"/>
        <color rgb="FFFF0000"/>
        <rFont val="Verdana"/>
        <family val="2"/>
      </rPr>
      <t>*PENDENTE COMPROVANTE DE ENDEREÇO*</t>
    </r>
  </si>
  <si>
    <r>
      <rPr>
        <sz val="14"/>
        <color rgb="FF000000"/>
        <rFont val="Verdana"/>
        <family val="2"/>
      </rPr>
      <t xml:space="preserve">MUD END JOAO PAULO CARLOS SILVA (JL BARBEARIA) PROT:2605.10954 PIX (JOSÉ Jr) - RESIDENCIAL INTEGRAÇÃO </t>
    </r>
    <r>
      <rPr>
        <b/>
        <sz val="14"/>
        <color rgb="FFFF0000"/>
        <rFont val="Verdana"/>
        <family val="2"/>
      </rPr>
      <t xml:space="preserve">  *PENDENTE COMPROVANTE*</t>
    </r>
  </si>
  <si>
    <r>
      <rPr>
        <sz val="14"/>
        <color rgb="FF000000"/>
        <rFont val="Verdana"/>
        <family val="2"/>
      </rPr>
      <t xml:space="preserve">MUD END PRISCILA APARECIDA DE CARVALHO PROT:2605.10984 PIX (JOSÉ Jr) - JARDIM BRASÍLIA   </t>
    </r>
    <r>
      <rPr>
        <b/>
        <sz val="14"/>
        <color rgb="FFFF0000"/>
        <rFont val="Verdana"/>
        <family val="2"/>
      </rPr>
      <t>*PENDENTE COMPROVANTE DE ENDEREÇO*</t>
    </r>
  </si>
  <si>
    <r>
      <rPr>
        <sz val="14"/>
        <color rgb="FF000000"/>
        <rFont val="Verdana"/>
        <family val="2"/>
      </rPr>
      <t xml:space="preserve">MUD END ERICA DAIANE DE SOUZA PROT:2601.30329 CARTÃO (JOSÉ Jr) - OSVALDO REZENDE  </t>
    </r>
    <r>
      <rPr>
        <b/>
        <sz val="14"/>
        <color rgb="FFFF0000"/>
        <rFont val="Verdana"/>
        <family val="2"/>
      </rPr>
      <t>*PENDENTE COMPROVANTE DE ENDEREÇO*</t>
    </r>
  </si>
  <si>
    <r>
      <rPr>
        <sz val="14"/>
        <color rgb="FF000000"/>
        <rFont val="Verdana"/>
        <family val="2"/>
      </rPr>
      <t>MUD END ARIANA DA SILVA JAGER PROT:2605.11792 PIX (JHONATAN) - GRAND VILLE</t>
    </r>
    <r>
      <rPr>
        <b/>
        <sz val="14"/>
        <color rgb="FFFF0000"/>
        <rFont val="Verdana"/>
        <family val="2"/>
      </rPr>
      <t xml:space="preserve"> **PRÉDIO COM PRUMADA** *PODE ANTECIPAR*</t>
    </r>
  </si>
  <si>
    <r>
      <rPr>
        <b/>
        <sz val="14"/>
        <color rgb="FF000000"/>
        <rFont val="Verdana"/>
        <family val="2"/>
      </rPr>
      <t>MUD END ADAO CARLOS FERREIRA DE ALMEIDA PROT:2604.28468 CARTAO (JHONATAN) - NOVO MUNDO</t>
    </r>
    <r>
      <rPr>
        <sz val="14"/>
        <color rgb="FF000000"/>
        <rFont val="Verdana"/>
        <family val="2"/>
      </rPr>
      <t xml:space="preserve"> </t>
    </r>
    <r>
      <rPr>
        <b/>
        <sz val="14"/>
        <color rgb="FFFF0000"/>
        <rFont val="Verdana"/>
        <family val="2"/>
      </rPr>
      <t>*REAGENDADO*</t>
    </r>
    <r>
      <rPr>
        <sz val="14"/>
        <color rgb="FF000000"/>
        <rFont val="Verdana"/>
        <family val="2"/>
      </rPr>
      <t xml:space="preserve"> </t>
    </r>
    <r>
      <rPr>
        <b/>
        <sz val="14"/>
        <color rgb="FFFF0000"/>
        <rFont val="Verdana"/>
        <family val="2"/>
      </rPr>
      <t>*POSSUI CLIENTE NO AP 306*</t>
    </r>
    <r>
      <rPr>
        <sz val="14"/>
        <color rgb="FF000000"/>
        <rFont val="Verdana"/>
        <family val="2"/>
      </rPr>
      <t xml:space="preserve">  </t>
    </r>
    <r>
      <rPr>
        <b/>
        <sz val="14"/>
        <color rgb="FFFF0000"/>
        <rFont val="Verdana"/>
        <family val="2"/>
      </rPr>
      <t>*PODE ANTECIPAR*</t>
    </r>
  </si>
  <si>
    <r>
      <rPr>
        <sz val="14"/>
        <color rgb="FF000000"/>
        <rFont val="Verdana"/>
        <family val="2"/>
      </rPr>
      <t xml:space="preserve">MUD END + ALT PLANO MICHELA SOUZA NEGREIROS PROT:2605.8293 ISENTO (PEDRO) - MORUMBI  //  </t>
    </r>
    <r>
      <rPr>
        <b/>
        <sz val="14"/>
        <color rgb="FFFF0000"/>
        <rFont val="Verdana"/>
        <family val="2"/>
      </rPr>
      <t>*ANÁLISE COM O CADASTRO*</t>
    </r>
  </si>
  <si>
    <r>
      <rPr>
        <sz val="14"/>
        <color rgb="FF000000"/>
        <rFont val="Verdana"/>
        <family val="2"/>
      </rPr>
      <t xml:space="preserve">MUD END + ALT PLANO THIAGO SANTOS SILVA PROT:2605.12371 ISENTO (VAGNER) - GUARANI  // </t>
    </r>
    <r>
      <rPr>
        <b/>
        <sz val="14"/>
        <color rgb="FFFF0000"/>
        <rFont val="Verdana"/>
        <family val="2"/>
      </rPr>
      <t xml:space="preserve"> *15h30*</t>
    </r>
  </si>
  <si>
    <r>
      <rPr>
        <sz val="14"/>
        <color rgb="FF000000"/>
        <rFont val="Verdana"/>
        <family val="2"/>
      </rPr>
      <t xml:space="preserve">MUD END + ALT PLANO GABRIEL MARQUES PEREIRA (JOAO/IRMAO) PROT 2605.11280 ISENTO (PEDRO) - MARTA HELENA </t>
    </r>
    <r>
      <rPr>
        <b/>
        <sz val="14"/>
        <color rgb="FFFF0000"/>
        <rFont val="Verdana"/>
        <family val="2"/>
      </rPr>
      <t xml:space="preserve">*PODE ANTECIPAR*
</t>
    </r>
  </si>
  <si>
    <r>
      <rPr>
        <sz val="14"/>
        <color rgb="FF000000"/>
        <rFont val="Verdana"/>
        <family val="2"/>
      </rPr>
      <t xml:space="preserve">MK END: N/C
MK NOME: MARCOS CESAR MARQUES (DISSE SER O ANTIGO MORADOR) - N/C
GABRIEL MARQUES PEREIRA (TITULAR) - POSSUI CONEXÃO CONOSCO DESDE 05/2024, ATIVA E ADIMPLENTE
</t>
    </r>
    <r>
      <rPr>
        <b/>
        <sz val="14"/>
        <color rgb="FFFF0000"/>
        <rFont val="Verdana"/>
        <family val="2"/>
      </rPr>
      <t>JULIA ALVES ANDRADE (CUNHADA DE GABRIEL) - NC
 JULIA ALVES ANDRADE (CUNHADA/22) 145.881.386-00</t>
    </r>
  </si>
  <si>
    <r>
      <rPr>
        <sz val="14"/>
        <color rgb="FF000000"/>
        <rFont val="Verdana"/>
        <family val="2"/>
      </rPr>
      <t>MUD END + ALT PLANO JULIO ALVES SILVA PROT:2605.12109 ISENTO (BRUNA) - PANORAMA  //</t>
    </r>
    <r>
      <rPr>
        <b/>
        <sz val="14"/>
        <color rgb="FFFF0000"/>
        <rFont val="Verdana"/>
        <family val="2"/>
      </rPr>
      <t xml:space="preserve">  *PODE ANTECIPAR*</t>
    </r>
  </si>
  <si>
    <r>
      <rPr>
        <sz val="14"/>
        <color rgb="FF000000"/>
        <rFont val="Verdana"/>
        <family val="2"/>
      </rPr>
      <t xml:space="preserve">MUD END JOYCEMARA DE JESUS AGUIAR PROT:2605.10850 DINHEIRO (GABRIEL M.) - RESIDENCIAL FRUTA DO CONDE  </t>
    </r>
    <r>
      <rPr>
        <b/>
        <sz val="14"/>
        <color rgb="FFFF0000"/>
        <rFont val="Verdana"/>
        <family val="2"/>
      </rPr>
      <t xml:space="preserve"> *PODE ANTECIPAR*</t>
    </r>
  </si>
  <si>
    <r>
      <rPr>
        <sz val="14"/>
        <color rgb="FF000000"/>
        <rFont val="Verdana"/>
        <family val="2"/>
      </rPr>
      <t>MUD END + ALT PLANO SANDRA ALICIA DE SOUZA PROT:2605.11013 ISENTO (VICTOR H.) - LOTEAMENTO MONTE HEBRON  /</t>
    </r>
    <r>
      <rPr>
        <b/>
        <sz val="14"/>
        <color rgb="FFFF0000"/>
        <rFont val="Verdana"/>
        <family val="2"/>
      </rPr>
      <t>/  *TROCA DE EQUIPAMENTO*</t>
    </r>
  </si>
  <si>
    <r>
      <rPr>
        <sz val="14"/>
        <color rgb="FF000000"/>
        <rFont val="Verdana"/>
        <family val="2"/>
      </rPr>
      <t xml:space="preserve">MK END: N/C
MK NOME: PRISCILA PALOMINO DE SOUSA (VENDEDORA): </t>
    </r>
    <r>
      <rPr>
        <b/>
        <sz val="14"/>
        <color rgb="FFFF0000"/>
        <rFont val="Verdana"/>
        <family val="2"/>
      </rPr>
      <t xml:space="preserve">POSSUI 3 SOLICITAÇÕES DE ADESÃO CANCELADAS
</t>
    </r>
    <r>
      <rPr>
        <sz val="14"/>
        <color rgb="FF000000"/>
        <rFont val="Verdana"/>
        <family val="2"/>
      </rPr>
      <t xml:space="preserve">
THIAGO DE ALMEIDA SILVA (PROCURADOR): N/C
ALEXANDRE DE SOUZA BELCHIOR (ASSINANTE): ATIVO E ADIMPLENTE
GEISIENE MENDES SILVA (ESPOSA DO ASSINANTE): N/C</t>
    </r>
  </si>
  <si>
    <r>
      <rPr>
        <b/>
        <sz val="14"/>
        <color rgb="FF000000"/>
        <rFont val="Verdana"/>
        <family val="2"/>
      </rPr>
      <t xml:space="preserve">MUD END + ALT PLANO KARITA DARC MACHADO PROT:2605.3124 ISENTO (JOSÉ Jr) - MANSOUR </t>
    </r>
    <r>
      <rPr>
        <b/>
        <sz val="14"/>
        <color rgb="FFFF0000"/>
        <rFont val="Verdana"/>
        <family val="2"/>
      </rPr>
      <t>**PRÉDIO COM PRUMADA** //  *PODE ANTECIPAR*</t>
    </r>
  </si>
  <si>
    <r>
      <rPr>
        <sz val="14"/>
        <color rgb="FF000000"/>
        <rFont val="Verdana"/>
        <family val="2"/>
      </rPr>
      <t xml:space="preserve">MUD END + ALT PLANO MARIA CRISTIANE GONZAGA PROT:2605.15863 ISENTO (VICTOR H.) - JARAGUÁ  //  </t>
    </r>
    <r>
      <rPr>
        <b/>
        <sz val="14"/>
        <color rgb="FFFF0000"/>
        <rFont val="Verdana"/>
        <family val="2"/>
      </rPr>
      <t>PENDENTE COMPROVANTE DE ENDEREÇO</t>
    </r>
  </si>
  <si>
    <r>
      <rPr>
        <sz val="14"/>
        <color rgb="FF000000"/>
        <rFont val="Verdana"/>
        <family val="2"/>
      </rPr>
      <t xml:space="preserve">MUD END + ALT PLANO ANDERSON ROBERTO DA SILVA PROT:2605.8430 ISENTO (PEDRO) - LUIZOTE DE FREITAS  // </t>
    </r>
    <r>
      <rPr>
        <b/>
        <sz val="14"/>
        <color rgb="FFFF0000"/>
        <rFont val="Verdana"/>
        <family val="2"/>
      </rPr>
      <t xml:space="preserve"> *PEND. MENSALIDADE*</t>
    </r>
  </si>
  <si>
    <r>
      <rPr>
        <sz val="14"/>
        <color rgb="FF000000"/>
        <rFont val="Verdana"/>
        <family val="2"/>
      </rPr>
      <t xml:space="preserve">MK END: GISLAINE GUIMARAES DA SILVA (CASA 1 FRENTE) - CONTRATOU CONOSCO EM 05/2025, MAS FOI CANCELADO EM 03/2026 POR INADIMPLÊNCIA. SEGUE EM PENDÊNCIA FINANCEIRA CONOSCO E NÃO DEVOLVEU OS EQUIPAMENTOS. PENDÊNCIAS: 3 MENSALIDADES (R$79,90), MULTA CONTRATUAL (R$240,00) E EQUIPAMENTOS (R$560,00 - ROTEADOR ZTE H199A E ONU DATA) </t>
    </r>
    <r>
      <rPr>
        <b/>
        <sz val="14"/>
        <color rgb="FFFF0000"/>
        <rFont val="Verdana"/>
        <family val="2"/>
      </rPr>
      <t xml:space="preserve">(R$1.039,70)
</t>
    </r>
    <r>
      <rPr>
        <sz val="14"/>
        <color rgb="FF000000"/>
        <rFont val="Verdana"/>
        <family val="2"/>
      </rPr>
      <t xml:space="preserve">
MARLUCE JERONIMO (CASA FUNDO) - SOLICITOU INSTALAÇÃO EM 08/2025, PORÉM NÃO QUIS DAR MAIS INFORMAÇÕES AO CADASTRO E FOI NEGADA.
MK NOME: GEOVANNA VITORIA ROCHA (DISSE SER FILHA DA DONA DA CASA) - SOLICITOU CONOSCO EM 07/2024, MAS SÓ FOI APROVADO COM A INSTALAÇÃO PAGA, DIANTE DISSO ELA NÃO TEVE INTERESSE EM SEGUIR.
ANDERSON ROBERTO DA SILVA (TITULAR) - POSSUI CONEXÃO CONOSCO DESDE 01/2025, ATIVA E ADIMPLENTE.</t>
    </r>
  </si>
  <si>
    <r>
      <rPr>
        <sz val="14"/>
        <color rgb="FF000000"/>
        <rFont val="Verdana"/>
        <family val="2"/>
      </rPr>
      <t>MK END:N/C
MK NOMES:
    VIVIANE DOS REIS GOMES CPF:031.***.***-21 (CLIENTE DIZ QUE É O LOCADOR)</t>
    </r>
    <r>
      <rPr>
        <b/>
        <sz val="14"/>
        <color rgb="FFFF0000"/>
        <rFont val="Verdana"/>
        <family val="2"/>
      </rPr>
      <t xml:space="preserve"> - CONEXÃO ATIVA E ADIMPLENTE COM A MZ
</t>
    </r>
    <r>
      <rPr>
        <sz val="14"/>
        <color rgb="FF000000"/>
        <rFont val="Verdana"/>
        <family val="2"/>
      </rPr>
      <t xml:space="preserve">    SUZETE DE OLIVEIRA RUMAO BENÍCIO (ESPOSA DO TITULAR)PROCESSO DE ADESÃO REPROVADO NA DATA 24/08/2023. MOTIVO: ESPOSO EDSON, TITULAR DA CONEXÃO, TINHA DÉBITOS ATRASADOS COM A MZNET.</t>
    </r>
  </si>
  <si>
    <r>
      <rPr>
        <sz val="14"/>
        <color rgb="FF000000"/>
        <rFont val="Verdana"/>
        <family val="2"/>
      </rPr>
      <t xml:space="preserve">MUD END + ALT PLANO GERSON GILEADE DA SILVA SANTOS PROT:2605.16189 ISENTO (BRUNA) - MANSOUR  // </t>
    </r>
    <r>
      <rPr>
        <b/>
        <sz val="14"/>
        <color rgb="FFFF0000"/>
        <rFont val="Verdana"/>
        <family val="2"/>
      </rPr>
      <t xml:space="preserve"> </t>
    </r>
  </si>
  <si>
    <r>
      <rPr>
        <b/>
        <sz val="14"/>
        <color rgb="FF000000"/>
        <rFont val="Verdana"/>
        <family val="2"/>
      </rPr>
      <t>MUD END + ALT PLANO JULIANE RESENDE ORDONES MACHADO PROT:2604.29740 ISENTO (IZABELA) - JARDIM BRASÍLIA  //</t>
    </r>
    <r>
      <rPr>
        <sz val="14"/>
        <color rgb="FF000000"/>
        <rFont val="Verdana"/>
        <family val="2"/>
      </rPr>
      <t xml:space="preserve">  </t>
    </r>
    <r>
      <rPr>
        <b/>
        <sz val="14"/>
        <color rgb="FFFF0000"/>
        <rFont val="Verdana"/>
        <family val="2"/>
      </rPr>
      <t>*NÃO ANTECIPAR* LIGAR AS 14:00</t>
    </r>
  </si>
  <si>
    <r>
      <t xml:space="preserve">MUD END + ALT PLANO VLADIA ARAUJO DE LIMA VARELA PROT:2605.20166 ISENTO (PEDRO) - JARDIM EUROPA  //  </t>
    </r>
    <r>
      <rPr>
        <b/>
        <sz val="14"/>
        <color rgb="FFFF0000"/>
        <rFont val="Verdana"/>
        <family val="2"/>
      </rPr>
      <t>*PODE ANTECIPAR*</t>
    </r>
  </si>
  <si>
    <r>
      <rPr>
        <sz val="14"/>
        <color rgb="FF000000"/>
        <rFont val="Verdana"/>
        <family val="2"/>
      </rPr>
      <t xml:space="preserve">MUD END + ALT PLANO GUSTAVO HENRIQUE DOS REIS MACHADO PROT:2605.15562 ISENTO (HALYSON) - MARTINS  //  </t>
    </r>
    <r>
      <rPr>
        <b/>
        <sz val="14"/>
        <color rgb="FFFF0000"/>
        <rFont val="Verdana"/>
        <family val="2"/>
      </rPr>
      <t>*PENDENTE COMPROVANTE ENDEREÇO*</t>
    </r>
  </si>
  <si>
    <r>
      <rPr>
        <sz val="14"/>
        <color rgb="FF000000"/>
        <rFont val="Verdana"/>
        <family val="2"/>
      </rPr>
      <t xml:space="preserve">MUD END + ALT PLANO MARINEIA DANTAS RAMALHO PROT:2605.7764 ISENTO (BRUNA) - JARDIM PATRÍCIA **PRÉDIO COM PRUMADA** // </t>
    </r>
    <r>
      <rPr>
        <b/>
        <sz val="14"/>
        <color rgb="FFFF0000"/>
        <rFont val="Verdana"/>
        <family val="2"/>
      </rPr>
      <t xml:space="preserve"> </t>
    </r>
  </si>
  <si>
    <r>
      <rPr>
        <sz val="14"/>
        <color rgb="FF000000"/>
        <rFont val="Verdana"/>
        <family val="2"/>
      </rPr>
      <t xml:space="preserve">MUD END ISMAEL VICTOR DOS SANTOS SOUSA PROT:2601.30329 PIX (JOSÉ Jr) - GRAND VILLE **PRÉDIO COM PRUMADA** </t>
    </r>
    <r>
      <rPr>
        <b/>
        <sz val="14"/>
        <color rgb="FFFF0000"/>
        <rFont val="Verdana"/>
        <family val="2"/>
      </rPr>
      <t>*PENDENTE COMPROVANTE DE ENDEREÇO*</t>
    </r>
  </si>
  <si>
    <r>
      <rPr>
        <sz val="14"/>
        <color rgb="FF000000"/>
        <rFont val="Verdana"/>
        <family val="2"/>
      </rPr>
      <t xml:space="preserve">MUD END + ALT PLANO ROGERIO BARBOSA DOS SANTOS PROT:2605.17062 ISENTO (BRUNA) - JARDIM PATRÍCIA  //  *TROCA DE EQUIPAMENTO*/ </t>
    </r>
    <r>
      <rPr>
        <b/>
        <sz val="14"/>
        <color rgb="FFFF0000"/>
        <rFont val="Verdana"/>
        <family val="2"/>
      </rPr>
      <t>*PEND MENSALIDADE E ASSINATURA*</t>
    </r>
  </si>
  <si>
    <r>
      <rPr>
        <sz val="14"/>
        <color rgb="FF000000"/>
        <rFont val="Verdana"/>
        <family val="2"/>
      </rPr>
      <t xml:space="preserve">MK END: N/C
MK NOMES: 
CÉLIA APARECIDA RODRIGUES PEREIRA (ESPOSA DE ROGERIO): N/C
JEFFERSON MARQUES GAIA (PROPRIETARIO DO IMOVEL):  POSSUI 2 CONEXÕES ATIVAS CONOSCO (JEFFERSON MARQUES GAIA (EMPORIO NOVA ERA)). 
</t>
    </r>
    <r>
      <rPr>
        <b/>
        <sz val="14"/>
        <color rgb="FFFF0000"/>
        <rFont val="Verdana"/>
        <family val="2"/>
      </rPr>
      <t xml:space="preserve">JEFFERSON MARQUES GAIA (EMPORIO NOVA ERA) - MENSALIDADE DE MAIO EM ABERTO
</t>
    </r>
    <r>
      <rPr>
        <sz val="14"/>
        <color rgb="FF000000"/>
        <rFont val="Verdana"/>
        <family val="2"/>
      </rPr>
      <t xml:space="preserve">
SEM PENDENCIAS. </t>
    </r>
  </si>
  <si>
    <r>
      <rPr>
        <sz val="14"/>
        <color rgb="FF000000"/>
        <rFont val="Verdana"/>
        <family val="2"/>
      </rPr>
      <t xml:space="preserve">MUD END JULIA MATOS VASCONCELOS PROT:2605.17585 PIX (JHONATAN) - LARANJEIRAS </t>
    </r>
    <r>
      <rPr>
        <b/>
        <sz val="14"/>
        <color rgb="FFFF0000"/>
        <rFont val="Verdana"/>
        <family val="2"/>
      </rPr>
      <t xml:space="preserve">**PRÉDIO COM PRUMADA** </t>
    </r>
  </si>
  <si>
    <r>
      <rPr>
        <sz val="14"/>
        <color rgb="FF000000"/>
        <rFont val="Verdana"/>
        <family val="2"/>
      </rPr>
      <t xml:space="preserve">MUD END + ALT PLANO FRANCIELLE DA CRUZ SILVA PROT:2605.21213 ISENTO (GABRIEL M.) - SÃO JORGE  //  </t>
    </r>
    <r>
      <rPr>
        <b/>
        <sz val="14"/>
        <color rgb="FFFF0000"/>
        <rFont val="Verdana"/>
        <family val="2"/>
      </rPr>
      <t>*PENDENTE COMPROVANTE DE ENDEREÇO*</t>
    </r>
  </si>
  <si>
    <r>
      <rPr>
        <b/>
        <sz val="14"/>
        <color rgb="FF000000"/>
        <rFont val="Verdana"/>
        <family val="2"/>
      </rPr>
      <t>MUD END LUIS FELIPE ABREU FRANCO DE GODOY PROT:2412.18340 CARTÃO (BRUNA) - GUARANI   //</t>
    </r>
    <r>
      <rPr>
        <b/>
        <sz val="14"/>
        <color rgb="FFFF0000"/>
        <rFont val="Verdana"/>
        <family val="2"/>
      </rPr>
      <t xml:space="preserve"> </t>
    </r>
  </si>
  <si>
    <r>
      <rPr>
        <sz val="14"/>
        <color rgb="FF000000"/>
        <rFont val="Verdana"/>
        <family val="2"/>
      </rPr>
      <t xml:space="preserve">COMPROVANTE DE ENDEREÇO (CONTRATO DE </t>
    </r>
    <r>
      <rPr>
        <b/>
        <sz val="14"/>
        <color rgb="FFFF0000"/>
        <rFont val="Verdana"/>
        <family val="2"/>
      </rPr>
      <t>LOCAÇÃO</t>
    </r>
    <r>
      <rPr>
        <sz val="14"/>
        <color rgb="FF000000"/>
        <rFont val="Verdana"/>
        <family val="2"/>
      </rPr>
      <t>) EM ANEXO
NOME NO COMPROVANTE: KAMILLY VITORIA ASSIS RODRIGUES (FILHA DE FABIANA)</t>
    </r>
  </si>
  <si>
    <r>
      <rPr>
        <sz val="14"/>
        <color rgb="FF000000"/>
        <rFont val="Verdana"/>
        <family val="2"/>
      </rPr>
      <t xml:space="preserve">MK END: N/C 
MK NOMES: 
RENATO ALVES PEREIRA CPF 045.435.536-08 (LOCADOR) - N/C
KAMILLY VITORIA ASSIS RODRIGUES (LOCATÁRIA - FILHA DE FABIANA)
PROTOCOLO DE ADESÃO 2409.332 - APROVADO PARA MÃE (FABIANA MARIA ASSIS) QUE É A CONEXÃO QUE SOLICITOU MUDANÇA
PROTOCOLO DE ADESÃO 2507.16759 NEGADO, POIS CONEXÃO DA MÃE HAVIA FIDELIDADE. 
</t>
    </r>
    <r>
      <rPr>
        <b/>
        <sz val="14"/>
        <color rgb="FFFF0000"/>
        <rFont val="Verdana"/>
        <family val="2"/>
      </rPr>
      <t>REINALDO AFONSO RODRIGUES (PAI DE KAMILLY) - NC</t>
    </r>
  </si>
  <si>
    <r>
      <rPr>
        <sz val="14"/>
        <color rgb="FF000000"/>
        <rFont val="Verdana"/>
        <family val="2"/>
      </rPr>
      <t xml:space="preserve">MUD END ELISABETH ANTUNES CARDOSO DE JESUS (ROBSON/FILHO) PROT:2605.19453 PIX (JHONATAN) - VILA SATÉLITE   </t>
    </r>
    <r>
      <rPr>
        <b/>
        <sz val="14"/>
        <color rgb="FFFF0000"/>
        <rFont val="Verdana"/>
        <family val="2"/>
      </rPr>
      <t>*PODE ANTECIPAR*</t>
    </r>
  </si>
  <si>
    <r>
      <t>MUD END + ALT PLANO ANA BARBARA REIS SANTOS PROT:2605.23135 ISENTO (ANDREZA) - RESIDENCIAL INTEGRAÇÃO  //</t>
    </r>
    <r>
      <rPr>
        <b/>
        <sz val="14"/>
        <color rgb="FF000000"/>
        <rFont val="Verdana"/>
        <family val="2"/>
      </rPr>
      <t xml:space="preserve"> </t>
    </r>
    <r>
      <rPr>
        <b/>
        <sz val="14"/>
        <color rgb="FFFF0000"/>
        <rFont val="Verdana"/>
        <family val="2"/>
      </rPr>
      <t xml:space="preserve"> *PEND. COMPROVANTE DE END*</t>
    </r>
  </si>
  <si>
    <r>
      <rPr>
        <sz val="14"/>
        <color rgb="FF000000"/>
        <rFont val="Verdana"/>
        <family val="2"/>
      </rPr>
      <t xml:space="preserve">MUD END LEIR MARIA DE MELO (LETICIA/FILHA) PROT:2605.15824 CARTAO (PEDRO) - SÃO JORGE   </t>
    </r>
    <r>
      <rPr>
        <b/>
        <sz val="14"/>
        <color rgb="FFFF0000"/>
        <rFont val="Verdana"/>
        <family val="2"/>
      </rPr>
      <t>*ANÁLISE 90 DIAS / PENDENTE VALIÇÃO DA TITULAR / PODE ANTECIPAR SE AUTORIZADO*</t>
    </r>
  </si>
  <si>
    <r>
      <rPr>
        <sz val="14"/>
        <color rgb="FF000000"/>
        <rFont val="Verdana"/>
        <family val="2"/>
      </rPr>
      <t xml:space="preserve">MUD END + ALT PLANO DENISIA DE ARAUJO VASQUES PROT:2605.15785 ISENTO (HALYSON) - NOSSA SENHORA APARECIDA  //  </t>
    </r>
    <r>
      <rPr>
        <b/>
        <sz val="14"/>
        <color rgb="FFFF0000"/>
        <rFont val="Verdana"/>
        <family val="2"/>
      </rPr>
      <t>*PEND. COMPROVANTE PAGAMENTO*</t>
    </r>
  </si>
  <si>
    <r>
      <rPr>
        <sz val="14"/>
        <color rgb="FF000000"/>
        <rFont val="Verdana"/>
        <family val="2"/>
      </rPr>
      <t xml:space="preserve">MUD END LUCINEIDE LUCIA DA COSTA PROT:2605.22883 PIX (VICTOR H.) - TOCANTINS </t>
    </r>
    <r>
      <rPr>
        <b/>
        <sz val="14"/>
        <color rgb="FFFF0000"/>
        <rFont val="Verdana"/>
        <family val="2"/>
      </rPr>
      <t>**SOBRADO** PENDENTE COMPROVANTE DE ENDEREÇO</t>
    </r>
  </si>
  <si>
    <r>
      <rPr>
        <sz val="14"/>
        <color rgb="FF000000"/>
        <rFont val="Verdana"/>
        <family val="2"/>
      </rPr>
      <t xml:space="preserve">RESERVA JHONATAN / MUD END JESSICA MARTINS DE OLIVEIRA PROT:2605.22731 CARTAO (JHONATAN) - JARAGUÁ    / </t>
    </r>
    <r>
      <rPr>
        <b/>
        <sz val="14"/>
        <color rgb="FFFF0000"/>
        <rFont val="Verdana"/>
        <family val="2"/>
      </rPr>
      <t xml:space="preserve">*PEND. CONFIRMAR FORMA DE PAGAMENTO E COMPROVANTE*
</t>
    </r>
  </si>
  <si>
    <r>
      <rPr>
        <sz val="14"/>
        <color rgb="FF000000"/>
        <rFont val="Verdana"/>
        <family val="2"/>
      </rPr>
      <t xml:space="preserve">MUD END + ALT PLANO ALMIZETE GOMES ROCHA PROT:2605.23034 ISENTO (JHONATAN) - JARDIM BRASÍLIA **PRÉDIO COM PRUMADA** //  </t>
    </r>
    <r>
      <rPr>
        <b/>
        <sz val="14"/>
        <color rgb="FFFF0000"/>
        <rFont val="Verdana"/>
        <family val="2"/>
      </rPr>
      <t>*PEND. COMPROVANTE END*</t>
    </r>
  </si>
  <si>
    <r>
      <rPr>
        <sz val="14"/>
        <color rgb="FF000000"/>
        <rFont val="Verdana"/>
        <family val="2"/>
      </rPr>
      <t xml:space="preserve">ENDEREÇO NOVO: RUA JOSÉ ELIAS, 150
COMPLEMENTO: APTO 401 TR. 2
</t>
    </r>
    <r>
      <rPr>
        <b/>
        <sz val="14"/>
        <color rgb="FFFF0000"/>
        <rFont val="Verdana"/>
        <family val="2"/>
      </rPr>
      <t xml:space="preserve">CEP: 38.411-106
</t>
    </r>
    <r>
      <rPr>
        <sz val="14"/>
        <color rgb="FF000000"/>
        <rFont val="Verdana"/>
        <family val="2"/>
      </rPr>
      <t>BAIRRO: JARDIM KARAÍBA</t>
    </r>
  </si>
  <si>
    <r>
      <rPr>
        <sz val="14"/>
        <color rgb="FF000000"/>
        <rFont val="Verdana"/>
        <family val="2"/>
      </rPr>
      <t>MUD END JOSE MATEUS VALENTIM SANTOS SILVA PROT:2605.25063 CARTAO (JHONATAN) - PRESIDENTE ROOSEVELT   /</t>
    </r>
    <r>
      <rPr>
        <b/>
        <sz val="14"/>
        <color rgb="FFFF0000"/>
        <rFont val="Verdana"/>
        <family val="2"/>
      </rPr>
      <t xml:space="preserve"> *PEND. COMPROVANTE END*
</t>
    </r>
  </si>
  <si>
    <r>
      <rPr>
        <sz val="14"/>
        <color rgb="FF000000"/>
        <rFont val="Verdana"/>
        <family val="2"/>
      </rPr>
      <t xml:space="preserve">ENDEREÇO NOVO: AVENIDA JOÃO BERNARDES DE SOUZA, 309
COMPLEMENTO: </t>
    </r>
    <r>
      <rPr>
        <b/>
        <sz val="14"/>
        <color rgb="FFFF0000"/>
        <rFont val="Verdana"/>
        <family val="2"/>
      </rPr>
      <t xml:space="preserve">FUNDO DA LOJA GABRIEL PRESENTES
</t>
    </r>
    <r>
      <rPr>
        <sz val="14"/>
        <color rgb="FF000000"/>
        <rFont val="Verdana"/>
        <family val="2"/>
      </rPr>
      <t>CEP: 38401016
BAIRRO: PRESIDENTE ROOSEVELT</t>
    </r>
  </si>
  <si>
    <r>
      <rPr>
        <sz val="14"/>
        <color rgb="FF000000"/>
        <rFont val="Verdana"/>
        <family val="2"/>
      </rPr>
      <t xml:space="preserve">RAUIL FONSECA CORREIA (LOCADOR) 
GABRIEL WESLEY SANTOS DA SILVA (LOCATARIO) </t>
    </r>
    <r>
      <rPr>
        <b/>
        <sz val="14"/>
        <color rgb="FFFF0000"/>
        <rFont val="Verdana"/>
        <family val="2"/>
      </rPr>
      <t>(GABRIEL AMIGO DE JOSÉ)
MK END: 
DAIANNE ROSA DOMINGOS - CADASTRO REPROVADO (APROVADO COM TAXA POREM NÃO TEVE INTERESSE)</t>
    </r>
  </si>
  <si>
    <r>
      <rPr>
        <sz val="14"/>
        <color rgb="FF000000"/>
        <rFont val="Verdana"/>
        <family val="2"/>
      </rPr>
      <t xml:space="preserve">MUD END LAIS LARA DE OLIVEIRA PROT:2605.23146 PIX (HALYSON) - GUARANI   </t>
    </r>
    <r>
      <rPr>
        <b/>
        <sz val="14"/>
        <color rgb="FFFF0000"/>
        <rFont val="Verdana"/>
        <family val="2"/>
      </rPr>
      <t>*PODE ANTECIPAR*</t>
    </r>
  </si>
  <si>
    <r>
      <rPr>
        <sz val="14"/>
        <color rgb="FF000000"/>
        <rFont val="Verdana"/>
        <family val="2"/>
      </rPr>
      <t xml:space="preserve">MUD END + ALT PLANO ROGERIO BARBOSA DOS SANTOS PROT:2605.17062 ISENTO (BRUNA) - JARDIM PATRÍCIA  //  *TROCA DE EQUIPAMENTO* </t>
    </r>
    <r>
      <rPr>
        <b/>
        <sz val="14"/>
        <color rgb="FFFF0000"/>
        <rFont val="Verdana"/>
        <family val="2"/>
      </rPr>
      <t>*ASSI PEND*</t>
    </r>
  </si>
  <si>
    <r>
      <rPr>
        <sz val="14"/>
        <color rgb="FF000000"/>
        <rFont val="Verdana"/>
        <family val="2"/>
      </rPr>
      <t xml:space="preserve">MUD END + ALT PLANO ANDREIA ALIDICE ALBINO FARIA PROT:2605.22667 ISENTO (HALYSON) - TOCANTINS  // </t>
    </r>
    <r>
      <rPr>
        <b/>
        <sz val="14"/>
        <color rgb="FFFF0000"/>
        <rFont val="Verdana"/>
        <family val="2"/>
      </rPr>
      <t xml:space="preserve"> *PEND. COMPROVANTE DE ENDEREÇO*</t>
    </r>
  </si>
  <si>
    <r>
      <rPr>
        <sz val="14"/>
        <color rgb="FF000000"/>
        <rFont val="Verdana"/>
        <family val="2"/>
      </rPr>
      <t xml:space="preserve">MUD END HENZO CARVALHO CAVALCANTI (ROYAL ESTICA AUTOMOTIVA) PROT:2605.16817 CARTAO (VICTOR H.) - PRESIDENTE ROOSEVELT   </t>
    </r>
    <r>
      <rPr>
        <b/>
        <sz val="14"/>
        <color rgb="FFFF0000"/>
        <rFont val="Verdana"/>
        <family val="2"/>
      </rPr>
      <t>*ANÁLISE KAROLAYNE*</t>
    </r>
  </si>
  <si>
    <r>
      <t xml:space="preserve">MUD END NATHANNE OLIVEIRA MARTINS PROT:2605.27729. CARTAO (LAUREN) - TAIAMAN  </t>
    </r>
    <r>
      <rPr>
        <b/>
        <sz val="14"/>
        <color rgb="FFFF0000"/>
        <rFont val="Verdana"/>
        <family val="2"/>
      </rPr>
      <t xml:space="preserve"> *PODE ANTECIPAR*</t>
    </r>
  </si>
  <si>
    <r>
      <t xml:space="preserve">MUD END + ALT PLANO LETICIA CARMO MACHADO PROT:2605.28261 ISENTO (JHONATAN) - LOTEAMENTO LUIZOTE DE FREITAS IV **PRÉDIO COM PRUMADA** //  </t>
    </r>
    <r>
      <rPr>
        <b/>
        <sz val="14"/>
        <color rgb="FFFF0000"/>
        <rFont val="Verdana"/>
        <family val="2"/>
      </rPr>
      <t>*PENDENTE ASSINATURA DE CONTRATO*</t>
    </r>
  </si>
  <si>
    <r>
      <rPr>
        <sz val="14"/>
        <color rgb="FF000000"/>
        <rFont val="Verdana"/>
        <family val="2"/>
      </rPr>
      <t xml:space="preserve">MUD END RAFAEL ALVES OLIVEIRA PROT:2605.20467 CARTAO (PEDRO) - CHÁCARAS TUBALINA E QUARTEL **PRÉDIO COM PRUMADA**  </t>
    </r>
    <r>
      <rPr>
        <b/>
        <sz val="14"/>
        <color rgb="FFFF0000"/>
        <rFont val="Verdana"/>
        <family val="2"/>
      </rPr>
      <t>*ANÁLISE 90 DIAS / PODE MUDAR SE AUTORIZADO*</t>
    </r>
  </si>
  <si>
    <r>
      <t xml:space="preserve">MUD END JORGE MIGUEL GONZALEZ PEREZ PROT:2605.25275 PIX (PEDRO) - NOSSA SENHORA APARECIDA  </t>
    </r>
    <r>
      <rPr>
        <b/>
        <sz val="14"/>
        <color rgb="FFFF0000"/>
        <rFont val="Verdana"/>
        <family val="2"/>
      </rPr>
      <t>*PENDENTE COMPROVANTE*</t>
    </r>
  </si>
  <si>
    <r>
      <t xml:space="preserve">MUD END KELEN CRISTINA MENEZES (GLAM STUDIO) PROT:2605.23900 CARTÃO (ANDREZA) - JARDIM BRASÍLIA  // </t>
    </r>
    <r>
      <rPr>
        <b/>
        <sz val="14"/>
        <color rgb="FF000000"/>
        <rFont val="Verdana"/>
        <family val="2"/>
      </rPr>
      <t>*ANÁLISE 90 DIAS*</t>
    </r>
  </si>
  <si>
    <r>
      <rPr>
        <sz val="14"/>
        <color rgb="FF000000"/>
        <rFont val="Verdana"/>
        <family val="2"/>
      </rPr>
      <t>&lt;b&gt;</t>
    </r>
    <r>
      <rPr>
        <b/>
        <sz val="14"/>
        <color rgb="FFFF0000"/>
        <rFont val="Verdana"/>
        <family val="2"/>
      </rPr>
      <t>ONU = ZTE</t>
    </r>
    <r>
      <rPr>
        <sz val="14"/>
        <color rgb="FF000000"/>
        <rFont val="Verdana"/>
        <family val="2"/>
      </rPr>
      <t xml:space="preserve"> // CONECTOR = VERDE.&lt;/b&gt;</t>
    </r>
  </si>
  <si>
    <r>
      <rPr>
        <sz val="14"/>
        <color rgb="FF000000"/>
        <rFont val="Verdana"/>
        <family val="2"/>
      </rPr>
      <t xml:space="preserve">MUD END JESSICA LIDIANE CORREA DE ANDRADE DA SILVA PROT:2605.28537 PIX (PEDRO) - JARDIM DAS PALMEIRAS   </t>
    </r>
    <r>
      <rPr>
        <b/>
        <sz val="14"/>
        <color rgb="FFFF0000"/>
        <rFont val="Verdana"/>
        <family val="2"/>
      </rPr>
      <t>*PENDENTE COMPROVANTE*</t>
    </r>
  </si>
  <si>
    <r>
      <t xml:space="preserve">MUD END + ALT PLANO TATIANA LUANA DA SILVA PROT:2605.28212 ISENTO (ANDREZA) - JARDIM BRASÍLIA  //  </t>
    </r>
    <r>
      <rPr>
        <b/>
        <sz val="14"/>
        <color rgb="FFFF0000"/>
        <rFont val="Verdana"/>
        <family val="2"/>
      </rPr>
      <t>*PENDENTE COMPROVANTE DE END*</t>
    </r>
  </si>
  <si>
    <r>
      <t>&lt;b&gt;ONT = ONT TP LINK</t>
    </r>
    <r>
      <rPr>
        <b/>
        <sz val="14"/>
        <color rgb="FFFF0000"/>
        <rFont val="Verdana"/>
        <family val="2"/>
      </rPr>
      <t xml:space="preserve"> 230</t>
    </r>
    <r>
      <rPr>
        <sz val="14"/>
        <color theme="1"/>
        <rFont val="Verdana"/>
        <family val="2"/>
      </rPr>
      <t xml:space="preserve"> // CONECTOR = VERDE.&lt;/b&gt;</t>
    </r>
  </si>
  <si>
    <r>
      <t xml:space="preserve">MK END: ANA PAULA DOS SANTOS (CPF: 058.968.066-80) - POSSUI CONEXÃO CONOSCO DESDE 12/2020, MAS SOLICITOU CANCELAMENTO HOJE (29/05/2026), POIS DISSE QUE IRÁ MUDAR PARA OUTRA CIDADE. EQUIPAMENTOS ESTÃO COM O CYRO NA CASA.
</t>
    </r>
    <r>
      <rPr>
        <b/>
        <sz val="14"/>
        <color rgb="FFFF0000"/>
        <rFont val="Verdana"/>
        <family val="2"/>
      </rPr>
      <t xml:space="preserve">(CANCELADO SEM DÉBITOS)
</t>
    </r>
    <r>
      <rPr>
        <sz val="14"/>
        <color theme="1"/>
        <rFont val="Verdana"/>
        <family val="2"/>
      </rPr>
      <t xml:space="preserve">
MK NOME: VALTER ANTONIO SILVA (CONTA DA DMAE / RELAÇÃO NÃO INFORMADA) - N/C
CYRO AUGUSTO SANTOS DE ASSIS (TITULAR) - N/C
&gt; CASSIS CONSULTORIA E TREINAMENTOS LTDA - POSSUI CONEXÃO CONOSCO DESDE 01/2026, ATIVA E ADIMPLENTE.</t>
    </r>
  </si>
  <si>
    <r>
      <t xml:space="preserve">MUD END PALOMA CUNHA SANTOS PROT:2606.288 CARTAO (RAMONY) - PRESIDENTE ROOSEVELT / </t>
    </r>
    <r>
      <rPr>
        <b/>
        <sz val="14"/>
        <color rgb="FF000000"/>
        <rFont val="Verdana"/>
        <family val="2"/>
      </rPr>
      <t>PODE ANTECIPAR</t>
    </r>
  </si>
  <si>
    <r>
      <t xml:space="preserve">MUD END + ALT PLANO LUIZ PHELLIPE SANTOS OLIVEIRA PROT:2605.31724 ISENTO (BRUNA/VAGNER) - JARDIM HOLANDA  // </t>
    </r>
    <r>
      <rPr>
        <b/>
        <sz val="14"/>
        <color rgb="FFFF0000"/>
        <rFont val="Verdana"/>
        <family val="2"/>
      </rPr>
      <t xml:space="preserve"> </t>
    </r>
  </si>
  <si>
    <r>
      <t xml:space="preserve">&lt;b&gt;ONT = </t>
    </r>
    <r>
      <rPr>
        <b/>
        <sz val="14"/>
        <color rgb="FFFF0000"/>
        <rFont val="Verdana"/>
        <family val="2"/>
      </rPr>
      <t>ONT TP LINK 230</t>
    </r>
    <r>
      <rPr>
        <sz val="14"/>
        <color theme="1"/>
        <rFont val="Verdana"/>
        <family val="2"/>
      </rPr>
      <t xml:space="preserve"> // CONECTOR = VERDE.&lt;/b&gt;</t>
    </r>
  </si>
  <si>
    <r>
      <t xml:space="preserve">MK NOME COMPLETO GISLENE  (MAE)
&gt; GISLENE NUNES PAULA (MAE)
 :. CONEXÃO ATIVA DESDE 01/2020 - COM REDUÇÃO E FATURA EM ABERTO 05/05
 ::.  CONEXÃO (FLORENZA MODA FITNESS) (CNPJ) ATIVA DESDE 04/2025 - CONTRATO SUSPENSO NA DATA DE 01/06/26
 ::. CONEXÃO GISLENE NUNES PAULA / FLORENZA MODA FITNESS (CPF) - CONEXÃO CANCELADA EM 09/2020 - EQUIPAMENTOS DEVOLVIDOS - SEM DÉBITOS </t>
    </r>
    <r>
      <rPr>
        <b/>
        <sz val="14"/>
        <color rgb="FFFF0000"/>
        <rFont val="Verdana"/>
        <family val="2"/>
      </rPr>
      <t>(POSSUI MENSALIDADE SUSPENSA NO VALOR DE R$79,90)</t>
    </r>
    <r>
      <rPr>
        <sz val="14"/>
        <color theme="1"/>
        <rFont val="Verdana"/>
        <family val="2"/>
      </rPr>
      <t xml:space="preserve">
MK END - NC</t>
    </r>
  </si>
  <si>
    <r>
      <t xml:space="preserve">MK END:
-&gt; JOSIELMA SOUSA DA SILVA - CPF 106.213.484-22: </t>
    </r>
    <r>
      <rPr>
        <b/>
        <sz val="14"/>
        <color rgb="FFFF0000"/>
        <rFont val="Verdana"/>
        <family val="2"/>
      </rPr>
      <t>SOLICITAÇÃO DE ADESÃO COM PROTOCOLO AINDA EM ABERTO</t>
    </r>
    <r>
      <rPr>
        <sz val="14"/>
        <color theme="1"/>
        <rFont val="Verdana"/>
        <family val="2"/>
      </rPr>
      <t>.
-&gt; MACIEL JERONIMO DOS SANTOS (JOSIELMA/CUNHADA) - CPF 057.154.694-30: SOLICITAÇÃO DE ADESÃO EM 30/05/2026 REPROVADA.
________________________________________
MK NOMES:
-&gt; JONAS SOUSA DA SILVA (AMIGO DO ASSINANTE) - CPF 106.213.494-02: SOLICITAÇÃO DE ADESÃO EM 12/2025 REPROVADA.
-&gt; JOAO CORREIA DA SILVA (DISSE QUE É O DONO DO IMÓVEL): N/C</t>
    </r>
  </si>
  <si>
    <r>
      <t xml:space="preserve">MUD END PAMELA ANDRESSA SILVA NICOLOFF PROT:2606.328 CARTAO (JHONATAN) - MANSOUR III   </t>
    </r>
    <r>
      <rPr>
        <b/>
        <sz val="14"/>
        <color rgb="FFFF0000"/>
        <rFont val="Verdana"/>
        <family val="2"/>
      </rPr>
      <t>*NÃO ANTECIPAR*</t>
    </r>
  </si>
  <si>
    <r>
      <t xml:space="preserve">MUD END THAUANA RODRIGUES CARVALHO PEREIRA PROT:2605.29832 PIX (PEDRO) - SEGISMUNDO PEREIRA   </t>
    </r>
    <r>
      <rPr>
        <b/>
        <sz val="14"/>
        <color rgb="FFFF0000"/>
        <rFont val="Verdana"/>
        <family val="2"/>
      </rPr>
      <t>*PENDENTE COMPROVANTE - ANÁLISE 90 DIAS*</t>
    </r>
  </si>
  <si>
    <r>
      <t xml:space="preserve">MUD END + ALT PLANO GIOVANNA GABRIELLE LISBOA MELO PROT:2606.4719 ISENTO (BRUNA) - LOTEAMENTO RESIDENCIAL PEQUIS  //   </t>
    </r>
    <r>
      <rPr>
        <b/>
        <sz val="14"/>
        <color rgb="FFFF0000"/>
        <rFont val="Verdana"/>
        <family val="2"/>
      </rPr>
      <t>*PEND ASSINATURA*</t>
    </r>
  </si>
  <si>
    <r>
      <t>FALTA COMP RESID CORRETO</t>
    </r>
    <r>
      <rPr>
        <sz val="14"/>
        <color rgb="FF000000"/>
        <rFont val="Verdana"/>
        <family val="2"/>
      </rPr>
      <t xml:space="preserve"> - MUD END + ALT PLANO UILME SOARES RODRIGUES PROT:2606.5046 ISENTO (LUIS/RAMONY) - MANSOUR  //  *TROCA DE EQUIPAMENTO*</t>
    </r>
  </si>
  <si>
    <r>
      <t xml:space="preserve">MK END; - N/C
MK NOME; 
RAIANE CARVALHO DE MELO 080.814.695-59 (ASSINANTE)  - CONEXÃO ATIVA E ADIMPLENTE
LAIS ALVES DE OLIVEIRA SILVA 080.2**.***-** (ANTIGA INQUILINA) - N/C
</t>
    </r>
    <r>
      <rPr>
        <b/>
        <sz val="14"/>
        <color rgb="FFFF0000"/>
        <rFont val="Verdana"/>
        <family val="2"/>
      </rPr>
      <t xml:space="preserve">
- ANA LUCIA PEREIRA DE CARVALHO (MÃE DA ASSINANTE) - N/C</t>
    </r>
  </si>
  <si>
    <t>ENDEREÇO NOVO: AVENIDA DOS EUCALIPTOS, 1000
COMPLEMENTO: BL 04 APT 504
CEP: 38414123
BAIRRO: JARDIM PATRÍCIA</t>
  </si>
  <si>
    <t>PLANO ATUAL: 600 MEGA + WI-FI EXTEND/119,90 CONTRATADO EM 11/2025 COM FIDELIDADE DE 12 MESES. ROTEADOR: ONT TP-LINK X530
- PLANO OFERTADO: 600 MEGA/79,90. BENEFÍCIOS: ACESSO GRATUITO AO APP MZTV (CDNTV+)</t>
  </si>
  <si>
    <t>MK END: 
ANDREIA DINIZ DE SOUSA MACEDO - SOLICITAÇÃO DE ADESÃO AINDA NÃO FINALIZADA, INICIADA DIA 06/06; 
SUSANE AMANCIO SANTOS - SOLICITAÇÃO DE ADESÃO NÃO FINALIZADA, INICIADA DIA 01/06</t>
  </si>
  <si>
    <t>ENDEREÇO NOVO: RUA PIAPARA, 620
COMPLEMENTO: CASA
CEP: 38421104
BAIRRO: LOTEAMENTO RESIDENCIAL PEQUIS</t>
  </si>
  <si>
    <t>PLANO ATUAL: 500 MEGA/79,90 CONTRATADO EM 05/2024 COM FIDELIDADE DE 12 MESES. ROTEADOR: ZTE H199-A
PLANO OFERTADO: 600 MEGA/79,90. BENEFÍCIOS: ACESSO GRATUITO AO APP MZTV (CDNTV+)</t>
  </si>
  <si>
    <t>COMPROVANTE DE ENDEREÇO (CEMIG) EM ANEXO
NOME NO COMPROVANTE: JESSICA LETICIA RODRIGUES SILVA (ANTIGA MORADORA E IRMÃ DA ASSINANTE)</t>
  </si>
  <si>
    <t>MK END: N/C
MK NOMES:
- ARIANE PAULA RODRIGUES ALEIXO (ASSINANTE): POSSUI CONEXÃO ATIVA E ADIMPLENTE.
- JESSICA LETICIA RODRIGUES SILVA (ANTIGA MORADORA E IRMÃ DA ASSINANTE): N/C</t>
  </si>
  <si>
    <t>ENDEREÇO NOVO: RUA SILHÃO, 419
COMPLEMENTO: BL C APTO 206
CEP: 38407258
BAIRRO: MORUMBI</t>
  </si>
  <si>
    <t>PLANO ATUAL: 1000 MEGA/99,90 CONTRATADO EM 07/2026 COM FIDELIDADE DE 12 MESES. ROTEADOR: ONT TP-LINK X530
PLANO OFERTADO: 1 GIGA (1.000 MEGA) R$99,90. BENEFÍCIOS: ACESSO GRATUITO AO APP MZTV (CDNTV+) + VOD</t>
  </si>
  <si>
    <t>ENDEREÇO NOVO: RUA GUILHERME DOMINGUES FRANCO, 152
COMPLEMENTO: APTO 4
CEP: 38425355
BAIRRO: SHOPPING PARK</t>
  </si>
  <si>
    <t>COMPROVANTE DE ENDEREÇO (CONTRATO DE LOCAÇÃO) EM ANEXO
NOME NO COMPROVANTE: ELIANA DIMAS ROCHA (ASSINANTE)</t>
  </si>
  <si>
    <t>MUD END + ALT PLANO DENISIA DE ARAUJO VASQUES PROT:2605.15785 ISENTO (HALYSON) - NOSSA SENHORA APARECIDA  //  *PEND. COMPROVANTE PAGAMENTO*</t>
  </si>
  <si>
    <t>ENDEREÇO NOVO: RUA PEDRO QUIRINO DA SILVA, 860
COMPLEMENTO: LOJA 1
CEP: 38402293
BAIRRO: MARTA HELENA</t>
  </si>
  <si>
    <t xml:space="preserve">COMPROVANTE DE ENDEREÇO (CEMIG) EM ANEXO
NOME NO COMPROVANTE: BRUNA MAGALHÃES FONSECA (ANTIGA INQUILINA) </t>
  </si>
  <si>
    <t>MK END: N/C
MK NOMES: 
- NATASSHA MARINA MORENA BRANDAO AZEVEDO (SALAO DE BELEZA): POSSUI CONEXÃO ATIVA E ADIMPLENTE
*OBSERVAÇÃO: PROCESSO DE ADESÃO REPROVADO POR FALTA DE INTERAÇÃO ENCERRADO NO DIA 02/09/2025 12:33:53.
- BRUNA MAGALHÃES FONSECA (ANTIGA INQUILINA): N/C</t>
  </si>
  <si>
    <t>COMPROVANTE DE ENDEREÇO (DMAE) EM ANEXO
NOME NO COMPROVANTE: CLAUDIANA PEREIRA DA SILVA  (DIZ SER PROPRIETARIA DO IMOVEL)</t>
  </si>
  <si>
    <t>34 99767-4632</t>
  </si>
  <si>
    <t>LETICIA TAIS DE AZEVEDO (FILHA))</t>
  </si>
  <si>
    <t>COMPROVANTE DE ENDEREÇO (CERTIDÃO NEGATIVA DÉBITOS MUNICIPAL) EM ANEXO
NOME NO COMPROVANTE: IRIS BARBOSA DA SILVA (DISSE QUE É O PROPRIETÁRIO/PADASTRO)</t>
  </si>
  <si>
    <t>MK END
N/C 
MK NOME:
&gt; IRIS BARBOSA DA SILVA (CONTRIBUINTE/RESPONSÁVEL CADASTRADA NO IPTU):
        :. DISSE QUE É O PROPRIETÁRIO/PADASTRO: N/C</t>
  </si>
  <si>
    <t>JULIANA MENDES PEREIRA (ESPOSA)</t>
  </si>
  <si>
    <t>COMPROVANTE DE ENDEREÇO (CONTRATO DE LOCAÇÃO) EM ANEXO
NOME NO COMPROVANTE: CARLOS ALBERTO DE SOUZA COSTA (ASSINANTE)</t>
  </si>
  <si>
    <t>MK END: N/C
________________________________________
MK NOMES:
-&gt; NILTON ANTONIO SANCHES (LOCADOR) - CPF 848.348.978-34: N/C
-&gt; IVAN NEGÓCIOS IMOBILIÁRIOS LTDA (ADMINISTRADORA) - CNPJ 20.869.012/0001-64: N/C
-&gt; IVAN GRACIANO DA COSTA FILHO (SÓCIO GERENTE) - CPF 040.246.836-83: N/C
-&gt; RICARDO GRACIANO DA COSTA (PROCURADOR / ADVOGADO) - CPF 042.613.186-01: N/C
-&gt; VICENTE PAULO FERREIRA (PROCURADOR / ADMINISTRADORA) - CPF 435.173.826-04: N/C
-&gt; JOYCE APARECIDA DIAS (PROCURADOR / ADMINISTRADORA) - CPF 058.367.476-36: N/C
-&gt; TAIZ LAMARA BALESTERE TEIXEIRA ALVES (PROCURADOR / ADMINISTRADORA) - CPF 320.333.798-33: N/C
-&gt; CARLOS ALBERTO DE SOUZA COSTA (LOCATÁRIO) - CPF 013.056.076-60: ASSINANTE DA CONEXÃO.
-&gt; TOKIO MARINE SEGURADORA (GARANTIA / SEGURO FIANÇA): N/C
-&gt; WALTER DA COSTA (PAI / FILIAÇÃO DO LOCATÁRIO): N/C
-&gt; NILZA MARIA DE SOUZA COSTA (MÃE / FILIAÇÃO DO LOCATÁRIO): N/C
-&gt; JULIANA MENDES PEREIRA (ESPOSA DO ASSINANTE): N/C</t>
  </si>
  <si>
    <t>ENDEREÇO NOVO: RUA REPÚBLICA DO PIRATINI, 991
COMPLEMENTO: CASA ÚNICA
CEP: 38405325
BAIRRO: UMUARAMA</t>
  </si>
  <si>
    <t>MK END: N/C
MK NOMES: 
ANNE GLYCIA ROCHA ESTEVES (LOCADOR) N/C 
ELIANA DIMAS ROCHA (ASSINANTE) - ASSINANTE, CONEXÃO ATIVA E ADIMPLENTE</t>
  </si>
  <si>
    <t xml:space="preserve">MUD END JONAS CACILDO DE AZEVEDO PROT:2606.6919 PIX (RONALD) - GUARANI  </t>
  </si>
  <si>
    <t>ENDEREÇO NOVO: RUA DA BATUCADA, 245
COMPLEMENTO: CASA FUNDO
CEP: 38415408
BAIRRO: GUARANI</t>
  </si>
  <si>
    <r>
      <t xml:space="preserve">MK END: N/C
MK NOMES: 
CLAUDIANA PEREIRA DA SILVA (PROPRIETARIA DO IMOVEL): N/C
LETICIA TAIS DE AZEVEDO (FILHA DE JONAS): N/C
</t>
    </r>
    <r>
      <rPr>
        <b/>
        <sz val="14"/>
        <color rgb="FFFF0000"/>
        <rFont val="Verdana"/>
        <family val="2"/>
      </rPr>
      <t xml:space="preserve">CARMEM (NORA DE JONAS) - NÃO POSSUI CONFERENCIA - NÃO POSSUEM MAIS INFORMAÇÕES PARA CONFERÊNCIA </t>
    </r>
  </si>
  <si>
    <t xml:space="preserve">MK END: 
- ANDREIA DINIZ DE SOUSA MACEDO - CPF: 100.195.826-84 - FOI ABERTO UMA FICHA CADASTRAL NA DATA DO DIA 06/06/26 PARA CONTRATAÇÃO NESTE ENDEREÇO; 
- SUSANE AMANCIO SANTOS (AMIGA DE LEYRIELE) - CPF: 034.420.433-28 - FOI ABERTO UMA FICHA CADASTRAL NA DATA DO DIA 01/06/26 PARA CONTRATAÇÃO NESTE ENDEREÇO; 
MK NOMES:
- KAYLANNE AMANCIO SANTOS – CPF 034.524.043-07 – LOCATÁRIA (IRMA DE SUSASE / AMIGA DA TITULAR) - N/C;
- SEVERIANA ALBINO DE PONTES – CPF 009.313.276-01 – LOCADORA - N/C;
- FRANCIS HEME CESAR PEREIRA – CPF 086.429.536-75 – REPRESENTANTE LEGAL DA DELTA IMÓVEIS E ADMINISTRAÇÃO LTDA. (PROCURADORA DA LOCADORA) - N/C ; 
- VALERIA CRISTINA FERREIRA DE CARVALHO – TESTEMUNHA - N/C
- RHAYANNE MYCHELLE INÁCIO DE PAULA – CPF 704.090.796-85 – TESTEMUNHA - CLIENTE ATIVO E ADIMPLENTE COM A EMPRESA LOCALIZADO NO ENDEREÇO: RUA JOAO RODRIGUES DA SILVA, 60 - CASA 01. 
- LEYRIELE LEANDRA BARROS CARDOSO - CPF 159.502.296-14 - ASSINANTE - CLIENTE ATIVO E ADIMPLENTE COM A EMPRESA. </t>
  </si>
  <si>
    <t>COMPROVANTE DE ENDEREÇO (CONTRATO DE LOCAÇÃO) EM ANEXO
NOME NO COMPROVANTE: KAYLANNE AMANCIO SANTOS (DIZ SER AMIGA DE LEYRIELE)</t>
  </si>
  <si>
    <t xml:space="preserve">MUD END GABRIELLE CAROLINE ARAUJO RAMOS SILVA PROT:2606.8440 PIX (ANDREZA) - RESIDENCIAL INTEGRAÇÃO  </t>
  </si>
  <si>
    <t>MUD END + ALT PLANO JUSCELINO LIMA RODRIGUES PROT:2606.7002 ISENTO (JHONATAN) - TUBALINA **PRÉDIO SEM PRUMADA - 4 APTO / 2 POR ANDAR**</t>
  </si>
  <si>
    <t>MUD END + ALT PLANO SUELEN DA CRUZ OLIVEIRA PROT:2606.3017 ISENTO (RONALD) - SANTA MÔNICA **PRÉDIO COM PRUMADA -  APT. 302**</t>
  </si>
  <si>
    <t>MUD END IAN SAMUEL GARCIA SILVA PROT:2606.7167 DINHEIRO (BRUNA) - JARDIM PATRÍCIA **SOBRADO**  // *KAROL CIENTE*</t>
  </si>
  <si>
    <t>MUD END GEFSON SIMOES SANTOS PROT:2605.19897 CARTAO (JOSÉ Jr) - UMUARAMA *AGENDAMENTO PARA O DIA 10/06/2026 AS 13:00HRS*</t>
  </si>
  <si>
    <t>MUD END ROMARIO COSMO PIRES FONSECA PROT:2606.8496 CARTAO (JHONATAN) - JARDIM EUROPA   * VALIDAR COM TITULAR*</t>
  </si>
  <si>
    <t xml:space="preserve">MUD END FRANCINEIDE ALVES DO NASCIMENTO PROT:2606.8377 CARTAO (PEDRO) - JARDIM IPANEMA   </t>
  </si>
  <si>
    <t xml:space="preserve">MUD END GILBERTO PEREIRA PROT:2606.8469 CARTAO (JHONATAN) - JARAGUÁ   </t>
  </si>
  <si>
    <t>MUD END + ALT PLANO ADAUTO ALVES (CINTHIA/FILHA) PROT:2606.7544 ISENTO (PEDRO/JHONATAN) / VIGILATO PEREIRA *AVISAR ANTES PARA O TITULAR SE DESLOCAR PARA O LOCAL)*</t>
  </si>
  <si>
    <t>MUD END WELLINGTON MARTINS FAGUNDES PROT:2606.6897 PIX (RONALD) - GRAND VILLE **PRÉDIO COM PRUMADA**  *COND. MIRANTE DOS VENTOS, BL 02 APT 203*</t>
  </si>
  <si>
    <t>JUSCELINO LIMA RODRIGUES</t>
  </si>
  <si>
    <t>GABRIELLE CAROLINE ARAUJO RAMOS SILVA</t>
  </si>
  <si>
    <t>FRANCINEIDE ALVES DO NASCIMENTO</t>
  </si>
  <si>
    <t>THAYLA GLENDA DE SOUZA MENDONÇA</t>
  </si>
  <si>
    <t>IAN SAMUEL GARCIA SILVA</t>
  </si>
  <si>
    <t>ROMARIO COSMO PIRES FONSECA</t>
  </si>
  <si>
    <t>LEOMAR GONCALVES</t>
  </si>
  <si>
    <t>GEFSON SIMOES SANTOS</t>
  </si>
  <si>
    <t>EMANUELA RIBEIRO DA SILVA</t>
  </si>
  <si>
    <t>GILBERTO PEREIRA</t>
  </si>
  <si>
    <t>ADAUTO ALVES (CINTHIA/FILHA)</t>
  </si>
  <si>
    <t>WELLINGTON MARTINS FAGUNDES</t>
  </si>
  <si>
    <t>ENDEREÇO NOVO: RUA SENADOR FURTADO, 263 
COMPLEMENTO: APTO 201
CEP: 38412060
BAIRRO: TUBALINA</t>
  </si>
  <si>
    <t>PLANO ATUAL: 1000 MEGA/99,90 CONTRATADO EM 02/25 COM FIDELIDADE DE 12 MESES. ROTEADOR: ONT TP-LINK X530
PLANO OFERTADO: 1 GIGA (1.000 MEGA) R$99,90. BENEFÍCIOS: ACESSO GRATUITO AO APP MZTV (CDNTV+) + VOD</t>
  </si>
  <si>
    <t>COMPROVANTE DE ENDEREÇO (CERTIDÃO DE VALOR VENAL) EM ANEXO
NOME NO COMPROVANTE: SPENSER RODRIGUES QUEIROZ (DISSE QUE É SEU SOBRINHO)</t>
  </si>
  <si>
    <t xml:space="preserve">MK END 
N/C 
MK NOME 
&gt; SPENSER RODRIGUES QUEIROZ (DISSE QUE É SEU SOBRINHO): N/C </t>
  </si>
  <si>
    <t>ENDEREÇO NOVO: AVENIDA SOLIDARIEDADE, 970
COMPLEMENTO: SALA 01
CEP: 38407030
BAIRRO: RESIDENCIAL INTEGRAÇÃO</t>
  </si>
  <si>
    <t>MARIA (FILHA DE GABRIELLE)
CASSIO MAURICIO DA SILVA (ESPOSO)</t>
  </si>
  <si>
    <t>34992463895 | 34 99898-9666</t>
  </si>
  <si>
    <t>COMPROVANTE DE ENDEREÇO (CONTRATO DE LOCAÇÃO) EM ANEXO.
NOME NO COMPROVANTE:  CASSIO MAURICIO DA SILVA (ESPOSO DA ASSINANTE)
____________________________________________________________
COMPROVANTE DE ENDEREÇO (CEMIG) EM ANEXO.
NOME NO COMPROVANTE:  SEBASTIÃO VIEIRA DA MOTA (DISSE QUE É O DONO DO IMÓVEL)</t>
  </si>
  <si>
    <t>MK END: N/C
________________________________________
MK NOMES:
-&gt; MARIA CLARA ARAUJO SILVA (FILHA DA ASSINANTE/TESTEMUNHA) -  CPF 133.806.576-97: N/C
-&gt; SEBASTIÃO VIEIRA DA MOTA (DISSE QUE É O DONO DO IMÓVEL/LOCADOR) - CPF 678.537.816-87: N/C
-&gt; CASSIO MAURICIO DA SILVA (ESPOSO DA ASSINANTE/LOCATÁRIO) - CPF 067.672.946-08: N/C</t>
  </si>
  <si>
    <t>MUD END + ALT DE PLANO THAYLA GLENDA DE SOUZA MENDONÇA PROT 2606.7093 ISENTO (VICTOR H.) PACAEMBU</t>
  </si>
  <si>
    <t>ENDEREÇO NOVO: RUA SEVERINO HERMINO DE AZEVEDO, 75
COMPLEMENTO: CASA UNICA
CEP: 38401490
BAIRRO: PACAEMBU</t>
  </si>
  <si>
    <t>COMPROVANTE DE ENDEREÇO (CEMIG) EM ANEXO
NOME NO COMPROVANTE: TELMA DE FATIMA SOUZA (DISSE SER SUA TIA)</t>
  </si>
  <si>
    <t>SANDRA ALICIA DE SOUZA (MÃE)</t>
  </si>
  <si>
    <t xml:space="preserve">MK END: N/C 
MK NOMES: 
SANDRA ALICIA DE SOUZA (MAE DE THAYLA) - POSSUI CONEXÃO COM A EMPRESA, CONTRATOU EM 09/2023 CONEXÃO ATIVA E ADIMPLENTE
TELMA DE FATIMA SOUZA (DISSE SER SUA TIA) - N/C
</t>
  </si>
  <si>
    <t>3499178-5329</t>
  </si>
  <si>
    <t>ENDEREÇO NOVO: AVENIDA ASPIRANTE MEGA, 2309
COMPLEMENTO: SOBRADO
CEP: 38414064
BAIRRO: JARDIM PATRÍCIA</t>
  </si>
  <si>
    <t>3499656-8834</t>
  </si>
  <si>
    <t>COMPROVANTE DE ENDEREÇO (CONTRATO DE LOCAÇÃO) EM ANEXO.
NOME NO COMPROVANTE:  IAN SAMUEL GARCIA SILVA (ASSINANTE)</t>
  </si>
  <si>
    <t>MK END: 
POLLIANA GARCIA (LAR GERIATRICO BEM VIVER):POSSUI CONEXÃO ATIVA. CONTUDO, HÁ REGISTRO RECENTE DE CONTATO INFORMANDO MUDANÇA DE CIDADE, COM DESTINO A PATROCÍNIO.
JOSE CARLOS BATISTA ARNOUR: POSSUÍA CONEXÃO ATIVA. CONTRATO BAIXADO EM RAZÃO DE DÉBITOS FINANCEIROS E AUSÊNCIA DE RETORNO DO CLIENTE PARA TRATATIVA.
POLLIANA GARCIA:POSSUÍA CONEXÃO ATIVA, PORÉM SOLICITOU O CANCELAMENTO DO SERVIÇO EM 02/04/2024. CONTRATO ENCERRADO SEM PENDÊNCIAS FINANCEIRAS E COM EQUIPAMENTOS DEVIDAMENTE DEVOLVIDOS.
MK NOMES: 
ITAMAR SEVERINO DE SOUZA (LOCADOR): N/C
DIVONETH FERREIRA NEVES DE SOUZA ( LOCADORA): N/C
IAN SAMUEL GARCIA SILVA (LOCATÁRIO): CONEXÃO ATIVA, SEM PENDENCIAS.
ELIEUMA MARIA NUNES (AVALISTA/FIADORA DO CONTRATO): N/C</t>
  </si>
  <si>
    <t>ELIEUMA MARIA NUNES  (ESPOSA)</t>
  </si>
  <si>
    <t>PLANO ATUAL: 1000 MEGA/99,90 CONTRATADO EM 01/2025 COM FIDELIDADE DE 12 MESES. ROTEADOR: HUAWEI AX2
PLANO OFERTADO: 1 GIGA (1.000 MEGA) R$99,90. BENEFÍCIOS: ACESSO GRATUITO AO APP MZTV (CDNTV+) + VOD</t>
  </si>
  <si>
    <t>COMPROVANTE DE ENDEREÇO (CONTRATO DE LOCAÇÃO) EM ANEXO
NOME NO COMPROVANTE: GEFSON SIMOES SANTOS (ASSINANTE)</t>
  </si>
  <si>
    <t>MK END:N/C
MK NOMES:
     GISELA CARRIJO RODRIGUES FRANÇA CPF: 062.363.906-81 (LOCADORA)N/C
     GEFSON SIMÕES SANTOS CPF: 048.417.505-09 (LOCATÁRIO)TITULAR DA CONEXÃO</t>
  </si>
  <si>
    <t>ENDEREÇO NOVO: AVENIDA TEREZINA, 2251
COMPLEMENTO:RESIDENCIAL PARQUE HUMANITA BLOCO 4, APARTAMENTO 401
CEP: 38405324</t>
  </si>
  <si>
    <t>MUD END + ALT PLANO EMANUELA RIBEIRO DA SILVA PROT:2606.7963 ISENTO (JHONATAN) - SANTA MÔNICA * PODE ANTECIPAR * ENTRAR EM CONTATO ANTES *</t>
  </si>
  <si>
    <t>ENDEREÇO NOVO: RUA JOSÉ LÉLIS FRANÇA, 175
COMPLEMENTO: CASA
CEP: 38408234
BAIRRO: SANTA MÔNICA</t>
  </si>
  <si>
    <t>34 99779-4297</t>
  </si>
  <si>
    <t>MK END 
N/C
MK NOME
&gt; EMANUELA RIBEIRO DA SILVA: ASSINANTE DA CONEXÃO
&gt; WELLINGTON LUIZ FARIA DE PAULA (ESPOSO): N/C
&gt; WELLINGTON LUIZ FARIA DE PAULA JUNIOR (FILHO): N/C
&gt; RODINEI DE MOURA SOUZA (DISSE QUE É ANTIGO MORADOR): CONEXÃO SOLICITADA EM 08/2023 - CONTRATO BAIXADO EM 02/2025 POR FALTA DE PAGAMENTO (DÉBITOS R$ 898,70) - EQUIPAMENTOS NÃO DEVOLVIDOS</t>
  </si>
  <si>
    <t>ENDEREÇO NOVO: AVENIDA SAN MARINO, 145
COMPLEMENTO: CASA 2 
CEP: 38414554
BAIRRO: JARDIM EUROPA</t>
  </si>
  <si>
    <t xml:space="preserve"> ENDEREÇO NOVO: RUA ORIENTAL, 1454
COMPLEMENTO: CASA 2 (FUNDO)
CEP: 38406277
BAIRRO: JARDIM IPANEMA</t>
  </si>
  <si>
    <t>COMPROVANTE DE ENDEREÇO (CEMIG) EM ANEXO
NOME NO COMPROVANTE: CARLOS ALBERTO DA SILVA (DISSE SER O DONO DO IMÓVEL)</t>
  </si>
  <si>
    <t>MK END: JOSE PAULINO DA SILVA (CASA 01 FRENTE) - POSSUI CONEXÃO CONOSCO DESDE 12/2025, ATIVA E ADIMPLENTE.
MK NOME: CARLOS ALBERTO DA SILVA (CPF 545.XXX) - N/C 
FRANCINEIDE ALVES DO NASCIMENTO (TITULAR) - POSSUI CONEXÃO CONOSCO DESDE 02/2026, ATIVA E ADIMPLENTE.</t>
  </si>
  <si>
    <t>ENDEREÇO NOVO: RUA DAS SERINGUEIRAS, 540
COMPLEMENTO: CASA FRENTE
CEP: 38413024</t>
  </si>
  <si>
    <t>COMPROVANTE DE ENDEREÇO (DMAE) EM ANEXO
NOME NO COMPROVANTE: MARIZA DE FATIMA OLIVEIRA  (DISSE QUE É A ANTIGA DONA)</t>
  </si>
  <si>
    <t>MK END
DANIELE RODRIGUES DA COSTA: 
CONEXÃO CANCELADA EM 05/2022 - EQUIPAMENTOS NÃO DEVOLVIDOS - DÉBITO EM ABERTO R$ 1796,60
MK NOME 
GILBERTO PEREIRA: ASSINANTE DA CONEXÃO 
MARIZA DE FATIMA OLIVEIRA (DISSE QUE É A ANTIGA DONA): N/C</t>
  </si>
  <si>
    <t>ENDEREÇO NOVO: RUA PRATA, 205
COMPLEMENTO: CASA FUNDO
CEP: 38400622
BAIRRO: NOSSA SENHORA APARECIDA</t>
  </si>
  <si>
    <t>COMPROVANTE DE ENDEREÇO (CEMIG) EM ANEXO
NOME NO COMPROVANTE: ANARI TEREZINHA DE MORAIS (DISSE QUE É A DONA DA CASA)</t>
  </si>
  <si>
    <t>COMPROVANTE DE ENDEREÇO (CONTRATO DE LOCAÇÃO) EM ANEXO
NOME NO COMPROVANTE: WELLINGTON MARTINS FAGUNDES (ASSINANTE)</t>
  </si>
  <si>
    <t>MK END: N/C
MK NOMES:
WELLINGTON MARTINS FAGUNDES - 021.829.071-30 - (LOCATÁRIO E ASSINANTE)- CLIENTE ATIVO E ADIMPLENTE COM A EMPRESA
MARIA EDUARDA PALMENZONE DE OLIVEIRA - 700.511.826-02 - (LOCADORA) - N/C
PATRICIA DA SILVA DIONIZIO - 016.533.886-50 - (ESPOSA DE WELLINGTON) - FICHA CADASTRAL REALIZADA EM 06/2023 PARA O ENDEREÇO RUA MONTE CARMELO, 480 - MARTINS NA QUAL FOI REPROVADA. 
DARLENE SEGATO PALMEZONE 043.978.236-85 (PAGADOR) - N/C</t>
  </si>
  <si>
    <t>MUD END + ALT PLANO ANA PAULA DE ANDRADE FREIRE PROT:2606.9009 ISENTO (RAMONY) - TUBALINA</t>
  </si>
  <si>
    <t>MUD END VITOR GONCALVES NETO PROT:2606.2714 PIX (JHONATAN) - SÃO JORGE *ANÁLISE DE 90 DIAS* *DESDE QUE APROVADO, PODE ANTECIPAR*</t>
  </si>
  <si>
    <t xml:space="preserve">MUD END + ALT PLANO ADRIANO QUISTONE DIAS PROT:2606.8104 ISENTO (HALYSON) - MORADA DA COLINA  //  </t>
  </si>
  <si>
    <t>MUD END + ALT PLANO OTAVIO EDUARDO SILVA RODRIGUES PROT: 2606.782 ISENTO (VICTOR H.) - SANTA MÔNICA **PRÉDIO SEM PRUMADA** // NÃO ANTECIPAR ESTÁ NO PRIMEIRO ANDAR, PREDIO COM 3 ANDARES, CLIENTE NÃO SOUBE INFORMAR QUANTO APTOS POR ANDAR POSSUI</t>
  </si>
  <si>
    <t>VITOR GONCALVES NETO</t>
  </si>
  <si>
    <t>ANA PAULA DE ANDRADE FREIRE</t>
  </si>
  <si>
    <t>ADRIANO QUISTONE DIAS</t>
  </si>
  <si>
    <t>NUBIA SUELY TEIXEIRA DA SILVA</t>
  </si>
  <si>
    <t xml:space="preserve"> OTAVIO EDUARDO SILVA RODRIGUES</t>
  </si>
  <si>
    <t xml:space="preserve">MUD END NUBIA SUELY TEIXEIRA DA SILVA PROT:2606.9404 DINHEIRO (BRUNA) - LOTEAMENTO MONTE HEBRON   </t>
  </si>
  <si>
    <t>MUD END + ALT PLANO JOYCE CAROLINY CARVALHO MOURA PROT:2606.8082 ISENTO (BRUNA) - SEGISMUNDO PEREIRA **PRÉDIO SEM PRUMADA - ENVIAR TÉCNICO DUPLADO** //  *DEIXAR FIBRA NO LOCAL PARA INSTALAR PRUMADA EM CASO DE NOVAS SOLICITAÇÕES* // *1 PREDIO, 4 APTOS POR ANDAR* // *PEND  ASSINATURA*</t>
  </si>
  <si>
    <t xml:space="preserve">MUD END FLAVIA MARTINS DE PAULA GONZAGA PROT:2606.8908 CARTAO (BRUNA) - MORUMBI **PRÉDIO COM PRUMADA** // </t>
  </si>
  <si>
    <t xml:space="preserve">MUD END + ALT PLANO ANTONIO MARCUS BERNARDES (MASTERYCAR) PROT:2606.5868 ISENTO (ANDREZA) - LARANJEIRAS  //  </t>
  </si>
  <si>
    <t xml:space="preserve">MUD END + ALT PLANO JOAO VITOR ALVES DE LIMA PROT:XXXXXX ISENTO (HALYSON) - JARDIM DAS PALMEIRAS  //  </t>
  </si>
  <si>
    <t>JOYCE CAROLINY CARVALHO MOURA</t>
  </si>
  <si>
    <t>BRENO DA SILVA PEREIRA</t>
  </si>
  <si>
    <t>FLAVIA MARTINS DE PAULA GONZAGA</t>
  </si>
  <si>
    <t>ANTONIO MARCUS BERNARDES (MASTERYCAR)</t>
  </si>
  <si>
    <t>JOAO VITOR ALVES DE LIMA</t>
  </si>
  <si>
    <t>MUD END SUELI GONZAGA DE VAL (FILHA/KARINA) PROT:2606.3125 PIX (RONALD) - PRESIDENTE ROOSEVELT *ANALISE 90 DIAS*</t>
  </si>
  <si>
    <r>
      <t xml:space="preserve">MUD END LOURIVAL LUIZ DE ANDRADE PROT:2606.9314 DINHEIRO (VICTOR H.) - LOTEAMENTO MONTE HEBRON   // </t>
    </r>
    <r>
      <rPr>
        <b/>
        <sz val="11"/>
        <color rgb="FFFF0000"/>
        <rFont val="Calibri"/>
        <family val="2"/>
      </rPr>
      <t>PENDENTE COMPROVANTE DE ENDEREÇO</t>
    </r>
  </si>
  <si>
    <t>SUELI GONZAGA DE VAL (FILHA/KARINA)</t>
  </si>
  <si>
    <t>LOURIVAL LUIZ DE ANDRADE</t>
  </si>
  <si>
    <t>MENSALIDADE PENDENTE
REMOVIDO DA AGENDA</t>
  </si>
  <si>
    <t>COMPROVANTE DE ENDEREÇO (CEMIG) EM ANEXO
NOME NO COMPROVANTE: RODINEI DE MOURA SOUZA (DISSE QUE É ANTIGO MORADOR)</t>
  </si>
  <si>
    <t>WELLINGTON LUIZ FARIA DE PAULA JUNIOR (FILHO  DE EMANUELA)</t>
  </si>
  <si>
    <t>DANIELLE MALTA GARCIA (ESPOSA)</t>
  </si>
  <si>
    <t xml:space="preserve">MUD END LEOMAR GONCALVES PROT: 2606.9520 PIX (GABRIEL M.) - LARANJEIRAS   </t>
  </si>
  <si>
    <t>COMPROVANTE DE ENDEREÇO (DMAE) EM ANEXO
NOME NO COMPROVANTE: DEGNA PEREIRA MARTINS ESPOLIO (LOCADOR)</t>
  </si>
  <si>
    <t>MK END: N/C
MK NOMES: 
DEGNA PEREIRA MARTINS ESPOLIO (LOCADOR) - N/C</t>
  </si>
  <si>
    <t>ENDEREÇO NOVO: RUA ARÁBIAS, 75
COMPLEMENTO: CASA FRENTE
CEP: 38410248
BAIRRO: LARANJEIRAS</t>
  </si>
  <si>
    <t xml:space="preserve">MK END 
N/C
MK NOME
ROMARIO COSMO PIRES FONSECA: ASSINANTE DA CONEXÃO
DANIELLE MALTA GARCIA (ESPOSA): SOLICITAÇÃO DE CONEXÃO EM 05/2024 - APROVADA PARA ESPOSO ROMARIO COSMO PIRES FONSECA (CONEXÃO ATUAL)
PAULO RODRIGO PIRES (IRMÃO DO ASSINANTE): CONEXÃO CANCELADA EM 05/2025 - SEM DÉBITO, EQUIPAMENTOS DEVOLVIDOS </t>
  </si>
  <si>
    <t xml:space="preserve">COMPROVANTE DE ENDEREÇO (CEMIG) EM ANEXO
NOME NO COMPROVANTE:  </t>
  </si>
  <si>
    <t>ALAN FARLEY BATISTA DE SOUZA(GENRO).
YASMIN VIEIRA ALVES BARCELOS (FILHA DE CINTHIA) (MENOR DE IDADE)</t>
  </si>
  <si>
    <t>(34) 99148-2215. | (34) 98408-9704</t>
  </si>
  <si>
    <t>MK END: N/C
MK NOME: ANARI TEREZINHA DE MORAIS (DISSE QUE É A DONA DA CASA) - N/C
ADAUTO ALVES (TITULAR) - POSSUI APENAS CONEXÃO UTILIZADA PELA FILHA CINTHIA.
CINTHIA VIEIRA ALVES (FILHA DO ADAUTO) - SOLICITOU INSTALAÇÃO EM 09/2025, MAS FOI APROVADO PARA O PAI.</t>
  </si>
  <si>
    <t xml:space="preserve">MUD END JULIANA ANOVAZZI SILVA (AIRBNB - APT 204) PROT:2606.9714 PIX (JOSÉ Jr) - PATRIMÔNIO **PRÉDIO COM PRUMADA** </t>
  </si>
  <si>
    <t>JULIANA ANOVAZZI SILVA (AIRBNB - APT 204)</t>
  </si>
  <si>
    <t xml:space="preserve">MUD END + ALT PLANO ALEX ROSA DE LIMA JUNIOR PROT:2606.9849 ISENTO (ANDREZA) - MINAS GERAIS  //  </t>
  </si>
  <si>
    <t>ALEX ROSA DE LIMA JUNIOR</t>
  </si>
  <si>
    <t>ENDEREÇO NOVO: RUA CHAPADA DOS PARECIS, 106
COMPLEMENTO: CASA UNICA
CEP: 38410350
BAIRRO: SÃO JORGE</t>
  </si>
  <si>
    <t>COMPROVANTE DE ENDEREÇO (CONTRATO DE LOCAÇÃO) EM ANEXO
NOME NO COMPROVANTE: VITOR GONCALVES NETO (ASSINANTE)</t>
  </si>
  <si>
    <t>MK END 
N/C
MK NOME
ANTONIO ARAUJO DOS SANTOS FILHO (LOCADOR): N/C 
VITOR GONÇALVES NETO (LOCATÁRIO): ASSINANTE DA CONEXÃO</t>
  </si>
  <si>
    <t>ENDEREÇO NOVO: AVENIDA OSCARINA CUNHA CHAVES, 510
COMPLEMENTO: TORRE 03 APT 1103
CEP: 38411102
BAIRRO: PATRIMÔNIO</t>
  </si>
  <si>
    <t>COMPROVANTE DE ENDEREÇO (CEMIG) EM ANEXO
NOME NO COMPROVANTE: JULIANA ANOVAZZI SILVA (ASSINANTE)</t>
  </si>
  <si>
    <t>MK END:N/C
MK NOMES:
   JULIANA ANOVAZZI SILVA CPF 065.2**.***-**(TITULAR DA CONEXÃO)</t>
  </si>
  <si>
    <t>ENDEREÇO NOVO: RUA SEBASTIANA VIEIRA DOS SANTOS, 115
COMPLEMENTO: CASA UNICA
CEP: 38412090
BAIRRO: TUBALINA</t>
  </si>
  <si>
    <t>PLANO ATUAL: 500 MEGA/79,90 CONTRATADO EM 09/2025 COM FIDELIDADE DE 12 MESES. ROTEADOR: ONT ZTE F 670-L
PLANO OFERTADO: 600 MEGA/79,90. BENEFÍCIOS: ACESSO GRATUITO AO APP MZTV (CDNTV+)</t>
  </si>
  <si>
    <t>COMPROVANTE DE ENDEREÇO (DMAE) EM ANEXO
NOME NO COMPROVANTE: PEDRO PEREIRA DA SILVA JUNIOR (PROPRIETÁRIO DO IMOVEL)</t>
  </si>
  <si>
    <r>
      <t xml:space="preserve">MK END: 
</t>
    </r>
    <r>
      <rPr>
        <b/>
        <sz val="14"/>
        <color rgb="FFFF0000"/>
        <rFont val="Verdana"/>
        <family val="2"/>
      </rPr>
      <t xml:space="preserve">RAMIREZ HENRIQUE BORGES CRUZ - CONEXÃO ATIVA E ADIMPLENTE (FILHO DE JANE)
JANE CRISTINA MARCAO - PROCESSO DE ADESÃO NÃO INSTALADO
</t>
    </r>
    <r>
      <rPr>
        <sz val="14"/>
        <color theme="1"/>
        <rFont val="Verdana"/>
        <family val="2"/>
      </rPr>
      <t xml:space="preserve">
MK NOME: N/C
PEDRO PEREIRA DA SILVA JUNIOR (PROPRIETÁRIO DO IMOVEL)</t>
    </r>
  </si>
  <si>
    <t>ENDEREÇO NOVO: RUA DOM ALMIR MARQUES FERREIRA, 315
COMPLEMENTO: CASA UNICA
CEP: 38411170
BAIRRO: MORADA DA COLINA</t>
  </si>
  <si>
    <t>COMPROVANTE DE ENDEREÇO (DMAE) EM ANEXO
NOME NO COMPROVANTE: VANESSA PETRELLI CORREA (ANTIGA PROPRIETÁRIA)</t>
  </si>
  <si>
    <t>MK END: N/C
MK NOMES:
- ADRIANO QUISTONE DIAS (ASSINANTE): CONEXÃO ATIVA E ADIMPLENTE
- ADRIANO QUISTONE DIAS (GALERIA): CONEXÃO ATIVA E ADIMPLENTE | END: QUINTINO BOCAIÚVA Nº 1859 B: SARAIVA 
- VANESSA PETRELLI CORREA (ANTIGA PROPRIETÁRIA): N/C</t>
  </si>
  <si>
    <t>COMPROVANTE NÃO ANEXADO</t>
  </si>
  <si>
    <t>ENDEREÇO NOVO: RUA MARIA JOSÉ VIEIRA LUCAS, 641
COMPLEMENTO: CASA ÚNICA
CEP: 38421543
BAIRRO: LOTEAMENTO MONTE HEBRON</t>
  </si>
  <si>
    <t>COMPROVANTE DE ENDEREÇO (CEMIG) EM ANEXO
NOME NO COMPROVANTE: NUBIA SUELY TEIXEIRA DA SILVA (ASSINANTE)</t>
  </si>
  <si>
    <t>MK END: N/C
MK NOMES:
NUBIA SUELY TEIXEIRA DA SILVA (TITULAR/NOME CONSTANTE NO COMPROVANTE): CONEXÃO ATIVA, SEM PENDENCIAS.</t>
  </si>
  <si>
    <t>ENDEREÇO NOVO: RUA DO AMENDOIM, 2716
COMPLEMENTO: CASA ÚNICA
CEP: 38402206
BAIRRO: MINAS GERAIS</t>
  </si>
  <si>
    <t>PLANO ATUAL: 600 MEGA/79,90 CONTRATADO EM 10/2024 COM FIDELIDADE DE 12 MESES. ROTEADOR: ONT TP-LINK XC230
PLANO OFERTADO: 600 MEGA/79,90. BENEFÍCIOS: ACESSO GRATUITO AO APP MZTV (CDNTV+)</t>
  </si>
  <si>
    <t>RANIELLY DE SOUSA FIUZA (ESPOSA)</t>
  </si>
  <si>
    <t>34 9 9682-1490</t>
  </si>
  <si>
    <t>COMPROVANTE DE ENDEREÇO (DMAE) EM ANEXO
NOME NO COMPROVANTE: LEANDRO ARAUJO GOMES (DISSE QUE É O DONO DO IMÓVEL)</t>
  </si>
  <si>
    <t>MK END: N/C
________________________________________
MK NOMES:
-&gt; RANIELLY DE SOUSA FIUZA (ESPOSA DO ASSINANTE): N/C
-&gt; LEANDRO ARAUJO GOMES (DISSE QUE É O DONO DO IMÓVEL): N/C</t>
  </si>
  <si>
    <t>ENDEREÇO NOVO: AVENIDA FRANCISCO RIBEIRO, 390 
COMPLEMENTO: APTO 101
CEP: 38408186
BAIRRO: SANTA MÔNICA</t>
  </si>
  <si>
    <t>MUD END + ALT PLANO JHEAN BECKER GONCALVES PROT:2605.27719 ISENTO (BRUNA) - SHOPPING PARK</t>
  </si>
  <si>
    <t>JHEAN BECKER GONCALVES</t>
  </si>
  <si>
    <t>COMPROVANTE DE ENDEREÇO (CONTRATO DE LOCAÇÃO) EM ANEXO
NOME NO COMPROVANTE: OTAVIO EDUARDO SILVA RODRIGUES (ASSINANTE)</t>
  </si>
  <si>
    <t>MK END: N/C 
MK NOMES: 
BEATRIZ LAMOUNIER BORGES CPF: 418.367.076-49 (LOCADORA) - N/C 
OTAVIO EDUARDO SILVA RODRIGUES CPF: 700.672.826-60 (LOCATÁRIO) - ASSINANTE, CONEXÃO ATIVA E ADIMPLENTE
THAFINY CRISTINA DOS SANTOS RODRIGUES CPF: 104.230.686-95 (LOCATÁRIA E ESPOSA DE OTAVIO) - N/C
AMARILDO NEVES CPF: 905.668.407-82 (FIADOR) - N/C
MARIA APARECIDA BORGES CPF: 753.586.976-91 (FIADORA) - N/C</t>
  </si>
  <si>
    <t>3499779-0832</t>
  </si>
  <si>
    <t>ENDEREÇO NOVO: RUA ARLINDO GOMES RODRIGUES, 235
COMPLEMENTO: BLOCO A AP 104
CEP: 38408264
BAIRRO: SEGISMUNDO PEREIRA</t>
  </si>
  <si>
    <t>PLANO ATUAL: 600 MEGA/79,90 CONTRATADO EM 09/25 COM FIDELIDADE DE 12 MESES. ROTEADOR: ONT TP-LINK XC220
PLANO OFERTADO: 600 MEGA/79,90. BENEFÍCIOS: ACESSO GRATUITO AO APP MZTV (CDNTV+)</t>
  </si>
  <si>
    <t>JULIANA DA SILVA CARVALHO MOURRA (MÃE)</t>
  </si>
  <si>
    <t>34 99127-7876</t>
  </si>
  <si>
    <t>COMPROVANTE DE ENDEREÇO (CEMIG) EM ANEXO
NOME NO COMPROVANTE: SUELEN ALVES MARTINS (DIZ SER PROPRIETARIO DO IMOVEL)</t>
  </si>
  <si>
    <t>MK END: N/C
MK NOMES: 
SUELEN ALVES MARTINS (PROPRIETARIA): N/C
JULIANA DA SILVA CARVALHO MOURA (MÃE DE JOYCE): N/C</t>
  </si>
  <si>
    <t>ENDEREÇO NOVO: RUA HUMAITÁ, 155
COMPLEMENTO: APT 302
CEP: 38412000
BAIRRO: TUBALINA</t>
  </si>
  <si>
    <t xml:space="preserve"> ISENTO</t>
  </si>
  <si>
    <t>ENDEREÇO NOVO: RUA SILHÃO, 419
COMPLEMENTO: COND. TREZ RESIDENCE BL C AP 04
CEP: 38407258
BAIRRO: MORUMBI</t>
  </si>
  <si>
    <t>COMPROVANTE DE ENDEREÇO (CERTIDÃO NEGATIVA) EM ANEXO
NOME NO COMPROVANTE: FLAVIA MARTINS DE PAULA GONZAGA (ASSINANTE)</t>
  </si>
  <si>
    <t>MK END: N/C
MK NOMES: 
FLAVIA MARTINS DE PAULA GONZAGA (TITULAR/NOME CONSTANTE NO COMPROVANTE): CONEXÃO ATIVA, SEM PENDENCIAS.</t>
  </si>
  <si>
    <t>ENDEREÇO NOVO: RUA JOSÉ DOMINGOS DE SOUZA, 246
COMPLEMENTO: CASA 1
CEP: 38425559
BAIRRO: SHOPPING PARK</t>
  </si>
  <si>
    <t>PLANO ATUAL: 600 MEGA/79,90 CONTRATADO EM 01/25 COM FIDELIDADE DE 12 MESES. ROTEADOR: ONT TP-LINK X530
PLANO OFERTADO: 600 MEGA/79,90. BENEFÍCIOS: ACESSO GRATUITO AO APP MZTV (CDNTV+)</t>
  </si>
  <si>
    <t>COMPROVANTE DE ENDEREÇO (CONTRATO DE HABITAÇÃO) EM ANEXO
NOME NO COMPROVANTE: BRUNA CRISTINA APARECIDA LEMES  (DIZ SER SUA ESPOSA)</t>
  </si>
  <si>
    <t>MK END:
APARECIDA REIS DA CRUZ (RESIDE NA CASA 3): CONEXÃO ATIVA SEM PENDENCIAS.
MK NOMES:
BRUNA CRISTINA APARECIDA LEMES (COMPRADOR/ESPOSA DE JHEAN): EM 18/01/2025 FOI REALIZADA SOLICITAÇÃO DE INSTALAÇÃO, PORÉM A FICHA CADASTRAL FOI REPROVADA EM RAZÃO DE SCORE BAIXO E RESTRIÇÕES JUNTO AO SPC/SERASA. POSTERIORMENTE, A SOLICITAÇÃO FOI REALIZADA EM NOME DO ESPOSO, SENDO A FICHA APROVADA.
CONSTRUTORA E EMPREITEIRA NUNES LTDA (VENDEDORA DO IMÓVEL): N/C
LUCAS SOARES DE OLIVEIRA MAMEDE (REPRESENTANTE DA CAIXA ECONÔMICA FEDERAL): N/C
CAIXA ECONÔMICA FEDERAL (SEGURADORA): N/C</t>
  </si>
  <si>
    <t>CONFERENCIAS INCORRETAS
removido da agenda - cliente solicitou suspensão do contrato</t>
  </si>
  <si>
    <t>ENDEREÇO NOVO: AVENIDA SEME SIMÃO, 1643
COMPLEMENTO: COMÉRCIO
CEP: 38410327
BAIRRO: LARANJEIRAS</t>
  </si>
  <si>
    <t>COMPROVANTE DE ENDEREÇO (CONTRATO DE LOCAÇÃO) EM ANEXO
NOME NO COMPROVANTE: ANTONIO MARCUS BERNARDES (ASSINANTE)</t>
  </si>
  <si>
    <t>ENDEREÇO NOVO: RUA DO POETA, 811 
COMPLEMENTO: CASA UNICA
CEP: 38412276
BAIRRO: JARDIM DAS PALMEIRAS</t>
  </si>
  <si>
    <t>PLANO ATUAL: 600 MEGA/79,90 CONTRATADO EM 01/2025 COM FIDELIDADE DE 12 MESES. ROTEADOR: ONT TP-LINK XC220
PLANO OFERTADO: 600 MEGA/79,90. BENEFÍCIOS: ACESSO GRATUITO AO APP MZTV (CDNTV+)</t>
  </si>
  <si>
    <t>COMPROVANTE DE ENDEREÇO (DMAE) EM ANEXO
NOME NO COMPROVANTE: JOAO VITOR ALVES DE LIMA (ASSINANTE)</t>
  </si>
  <si>
    <t>MK END: N/C
MK NOMES: 
- JOAO VITOR ALVES DE LIMA (ASSINANTE): CONEXÃO ATIVA E ADIMPLENTE</t>
  </si>
  <si>
    <t>ENDEREÇO NOVO: RUA PROMOTOR OSWALDO AFONSO BORGES, 421 
COMPLEMENTO: CASA 2
CEP: 38401050
BAIRRO: PRESIDENTE ROOSEVELT</t>
  </si>
  <si>
    <t>COMPROVANTE DE ENDEREÇO (CONTRATO DE LOCAÇÃO) EM ANEXO.
NOME NO COMPROVANTE:  MARIO RODRIGUES DE SOUZA  (PAI DE KARINE)</t>
  </si>
  <si>
    <t>MK END; - N/C
MK NOME;
SUELI GONZAGA DE VAL (ASSINANTE) - CONEXÃO ATIVA E ADIMPLENTE
KARINE GONZAGA DE SOUZA (FILHA DE SUELI) - SOLICITOU CONTRATAÇAÕ EM 04/2026 PORÉM FOI APROVADO COM TAXA, CLIENTE INFORMOU QUE IRIA CONVERSAR COM IRMÃO E RETORNA O CONTATO. PORÉM NÃO HÁ CONEXÃO EM SEU NOME, APROVADO NO NOME DA MÃR.
MARIO RODRIGUES DE SOUZA  (PAI DE KARINE) - N/C
JOSE SUDARIO DE OLIVEIRA 323.045.106-63 (LOCADOR) - N/C</t>
  </si>
  <si>
    <t>KARINE GONZAGA DE SOUZA (FILHA  DE SUELI)</t>
  </si>
  <si>
    <t>ENDEREÇO NOVO: RUA EURIPEDES CARLOS BRUNELI, 50
COMPLEMENTO: CASA UNICA
CEP: 38421574
BAIRRO: LOTEAMENTO MONTE HEBRON</t>
  </si>
  <si>
    <t>COMPROVANTE DE ENDEREÇO (CEMIG) EM ANEXO
NOME NO COMPROVANTE: PLACIDIO RESENDE DA SILVA (DISSE SER PROPRIETÁRIO DO IMOVEL)</t>
  </si>
  <si>
    <t>MK END: N/C 
MK NOMES: 
PLACIDIO RESENDE DA SILVA (DISSE SER PROPRIETÁRIO DO IMOVEL) N/C</t>
  </si>
  <si>
    <t>JESSE CESAR BENTO MELO</t>
  </si>
  <si>
    <t>MUD END JESSE CESAR BENTO MELO PROT:2606.10182 CARTÃO (RONALD) - SANTA MÔNICA **PRÉDIO SEM PRUMADA**  // 5 ANDARES, 4 APTOS POR ANDAR</t>
  </si>
  <si>
    <t>ENDEREÇO NOVO: RUA ALEXANDRINO SANTOS LIMA, 87
COMPLEMENTO: APT 102
CEP: 38408082
BAIRRO: SANTA MÔNICA</t>
  </si>
  <si>
    <t>PENHA BENTO BEANUCCI (TIA)</t>
  </si>
  <si>
    <t>34 999736366</t>
  </si>
  <si>
    <t>COMPROVANTE DE ENDEREÇO (CEMIG) EM ANEXO
NOME NO COMPROVANTE:  PENHA BENTO BEANUCCI (ASSINANTE DISSE QUE É SUA TIA)</t>
  </si>
  <si>
    <t>TÉC. ANDREZA
MK END &amp; NOME:
-&gt; PENHA BENTO BEANUCCI (ASSINANTE DISSE QUE É SUA TIA) - CPF 302.704.056-15: SOLICITAÇÃO DE ADESÃO EM 04/2026 REPROVADA.</t>
  </si>
  <si>
    <t xml:space="preserve">MUD END + ALT PLANO TAYNARA DA SILVA VITOR PROT:2606.11219 ISENTO (ANDREZA) - MANSOUR III  //  </t>
  </si>
  <si>
    <t xml:space="preserve">MUD END + ALT PLANO FRANCISCO FERNANDO MORAES DE OLIVEIRA PROT:2606.10899 ISENTO (BRUNA) - GRANADA  //  </t>
  </si>
  <si>
    <t>MUD END + ALT PLANO KAUE FERREIRA DE SOUZA PROT:2606.10176 ISENTO (RONALD) - SANTA MÔNICA **PRÉDIO SEM PRUMADA** APT 204 1º ANDAR*</t>
  </si>
  <si>
    <t xml:space="preserve">MUD END ERICA DAIANE DE SOUZA PROT 2605.11017 CARTÃO (JOSE JR) OSVALDO REZENDE </t>
  </si>
  <si>
    <t>TAYNARA DA SILVA VITOR</t>
  </si>
  <si>
    <t>FRANCISCO FERNANDO MORAES DE OLIVEIRA</t>
  </si>
  <si>
    <t>KAUE FERREIRA DE SOUZA</t>
  </si>
  <si>
    <t>ERICA DAIANE DE SOUZA</t>
  </si>
  <si>
    <t>ENDEREÇO NOVO: RUA MÁRIO LÚCIO MATOS, 814
COMPLEMENTO: CASA ÚNICA
CEP: 38418686
BAIRRO: MANSOUR III</t>
  </si>
  <si>
    <t>PLANO ATUAL: 1000 MEGA/99,90 CONTRATADO EM 06/2026 COM FIDELIDADE DE 12 MESES. ROTEADOR: ZTE H199-A
PLANO OFERTADO: 1 GIGA (1.000 MEGA) R$99,90. BENEFÍCIOS: ACESSO GRATUITO AO APP MZTV (CDNTV+) + VOD</t>
  </si>
  <si>
    <t>COMPROVANTE DE ENDEREÇO (CEMIG) EM ANEXO
NOME NO COMPROVANTE: WANDERSON CLEYTON NASCIMENTO (ESPOSO DA ASSINANTE)</t>
  </si>
  <si>
    <t>MK END: N/C
________________________________________
MK NOMES:
-&gt; WANDERSON CLEYTON NASCIMENTO (ESPOSO DA ASSINANTE): N/C</t>
  </si>
  <si>
    <t>ENDEREÇO NOVO: RUA GERALDINO MARTINS RODRIGUES, 62
COMPLEMENTO: CASA ÚNICA
CEP: 38410134
BAIRRO: GRANADA</t>
  </si>
  <si>
    <t>PLANO ATUAL: 1000 MEGA/99,90 CONTRATADO EM 08/25 COM FIDELIDADE DE 12 MESES. ROTEADOR: ONT TP-LINK X530
PLANO OFERTADO: 1 GIGA (1.000 MEGA) R$99,90. BENEFÍCIOS: ACESSO GRATUITO AO APP MZTV (CDNTV+) + VOD</t>
  </si>
  <si>
    <t>COMPROVANTE DE ENDEREÇO (CONTRATO DE LOCAÇÃO) EM ANEXO
NOME NO COMPROVANTE: ANDREIA DE JESUS FARIAS DOS REIS (DIZ SER SUA ESPOSA)</t>
  </si>
  <si>
    <t>MK END: N/C
MK NOMES:
PAULA CAMILLA CARDOSO GOMES (LOCADORA/PROPRIETÁRIA DO IMÓVEL): N/C
ANDREIA DE JESUS FARIAS DOS REIS (LOCATÁRIA/INQUILINA): N/C</t>
  </si>
  <si>
    <t>ENDEREÇO NOVO: RUA ANTÔNIO FORTUNATO DA SILVA, 52
COMPLEMENTO: APT. 204
CEP: 38408210
BAIRRO: SANTA MÔNICA</t>
  </si>
  <si>
    <t>PLANO ATUAL: 250 MEGA/69,90 CONTRATADO EM 06/2024 COM FIDELIDADE DE 12 MESES. ROTEADOR: ONT TP-LINK XC220
PLANO OFERTADO: 300 MEGA/69,90. BENEFÍCIOS: ACESSO GRATUITO AO APP MZTV (CDNTV+)</t>
  </si>
  <si>
    <t>COMPROVANTE DE ENDEREÇO (CONTRATO DE LOCAÇÃO) EM ANEXO
NOME NO COMPROVANTE: KAUE FERREIRA DE SOUZA (ASSINANTE)</t>
  </si>
  <si>
    <t>COMPROVANTE DE ENDEREÇO (CEMIG) EM ANEXO
NOME NO COMPROVANTE: LUIZ GUSTAVO DE SOUZA (DISSE SER O ANTIGO INQUILINO)</t>
  </si>
  <si>
    <t>FELIPE VIEIRA DE SOUZA (FILHO)</t>
  </si>
  <si>
    <t>COMPROVANTE DE ENDEREÇO (CONTRATO DE LOCAÇÃO) EM ANEXO
NOME NO COMPROVANTE: BRENO DA SILVA PEREIRA (ASSINANTE)</t>
  </si>
  <si>
    <t>MK NOMES:
WAGNER VILARINO CPF 264.256.908-01 (LOCADOR) - N/C
BRENO DA SILVA PEREIRA CPF 038.388.761-56 (LOCATÁRIO) - ASSINANTE, CONEXÃO ATIVA E ADIMPLENTE
VERY JOSE DA SILVA CPF 588.425.431-87 (FIADOR) - N/C 
RAIMUNDO PEREIRA DE SOUZA FILHO CPF 413.801.261-34 (FIADOR)  - N/C 
JOSÉ NOGUEIRA COIMBRA NETO CPF 076.257.396-19 (PROCURADOR DO LOCADOR)  - N/C 
ROTINA ADMINISTRAÇÃO DE RECEBÍVEIS LTDA CNPJ 27.385.041/0001-08 (REPRESENTANTE DO LOCADOR) - N/C 
THALLES GUSTAVO DE FREITAS REZENDE CPF 131.849.236-41 (TESTEMUNHA) - N/C 
PAULO SÉRGIO SILVA SEGUNDO CPF 083.565.346-60 (TESTEMUNHA) - N/C 
MK END: N/C</t>
  </si>
  <si>
    <t>MUD END + ALT PLANO  BRENO DA SILVA PEREIRA PROT: 2606.8478 ISENTO (IZABELA)- TUBALINA *PREDIO SEM PRUMADA* *1 PRÉDIO, 3 ANDARES E 5 OU 6 APT POR ANDAR* | PENDENTE COMPROVANTE DE ENDEREÇO*</t>
  </si>
  <si>
    <t>MK END: N/C
________________________________________
MK NOMES:
-&gt; LUCIANA APARECIDA DE FELIPE CARBONE (LOCADORA) - CPF 159.724.778-23: N/C
-&gt; FABIO ANTONIO DA SILVA (CÔNJUGE DO LOCADOR) - CPF 561.415.136-20: N/C
-&gt; IVAN NEGÓCIOS IMOBILIÁRIOS LTDA. (ADMINISTRADORA) - CGC/MF (CNPJ) 20.869.012/0001-64: N/C
-&gt; IVAN GRACIANO DA COSTA FILHO (SÓCIO GERENTE) - CPF 040.246.836-83: N/C
-&gt; RICARDO GRACIANO DA COSTA (PROCURADOR / ADVOGADO) - CPF 042.613.186-01: N/C
-&gt; VICENTE PAULO FERREIRA (PROCURADOR / ADMINISTRADORA) - CPF 435.173.826-04: N/C
-&gt; JOYCE APARECIDA DIAS (PROCURADOR / ADMINISTRADORA) - CPF 058.367.476-36: N/C
-&gt; TAIZ LAMARA BALESTERE TEIXEIRA ALVES (PROCURADOR / ADMINISTRADORA) - CPF 320.333.798-33: N/C
-&gt; ANTÔNIO MARCUS BERNARDES (LOCATÁRIO) - CPF 073.911.896-00: ASSINANTE DA CONEXÃO.
::. POSSUI OUTRA SOLICITAÇÃO DE ADESÃO EM 03/2025 APROVADO PARA ESPOSA VITORIA APARECIDA ALBUQUERQUE DOS SANTOS -&gt; CONEXÃO DE VITÓRIA ESTÁ ATIVA E ADIMPLENTE.::
-&gt; LAURA BERENICE GALVAO (FIADORA) - CPF 603.749.006-33: N/C</t>
  </si>
  <si>
    <t xml:space="preserve">MUD END + ALT PLANO SILVIO DE LIMA AMORIM JUNIOR PROT:2606.9460 ISENTO (HALYSON) - TAIAMAN  //  </t>
  </si>
  <si>
    <t>MUD END + ALT PLANO POLYANA VIANA VALADARES TEIXEIRA PROT:2606.12139 ISENTO (ANDREZA) - MARTINS **PRÉDIO SEM PRUMADA**// *TROCA DE EQUIPAMENTO*// 3 ANDARES, 3 APTOS POR ANDAR</t>
  </si>
  <si>
    <t xml:space="preserve">MUD END ROSELI DARC BRITO PROT:. DINHEIRO (LAUREN) - NOVO MUNDO   </t>
  </si>
  <si>
    <t xml:space="preserve">MUD END CLEITON DA SILVA PROT:2606.8610  PIX (JOSÉ Jr) - RESIDENCIAL GRAMADO   </t>
  </si>
  <si>
    <t xml:space="preserve">MUD END + ALT PLANO LUCIVA DA SILVA SANTOS PROT:2606.9451 ISENTO (PEDRO) - NOVO MUNDO  //  </t>
  </si>
  <si>
    <t>SILVIO DE LIMA AMORIM JUNIOR</t>
  </si>
  <si>
    <t>POLYANA VIANA VALADARES TEIXEIRA</t>
  </si>
  <si>
    <t>ROSELI DARC BRITO</t>
  </si>
  <si>
    <t>CLEITON DA SILVA</t>
  </si>
  <si>
    <t>LUCIVA DA SILVA SANTOS</t>
  </si>
  <si>
    <t>ENDEREÇO NOVO: RUA MARLI DIAS MARTINS, 130
COMPLEMENTO: CASA 1
CEP: 38415175
BAIRRO: TAIAMAN</t>
  </si>
  <si>
    <t>COMPROVANTE DE ENDEREÇO (CEMIG) EM ANEXO
NOME NO COMPROVANTE: BRUNO RAFAEL SOARES DA SILVA (PROPRIETÁRIO)</t>
  </si>
  <si>
    <t>MK END:
- BRUNO RAFAEL SOARES DA SILVA (PROPRIETÁRIO DO IMÓVEL): CONEXÃO CANCELADA SEM DÉBITOS EM 24/05/2021 END: RUA MARLI DIAS MARTINS, 130, TAIAMAN
MK NOMES:
- SILVIO DE LIMA AMORIM JUNIOR (ASSINANTE): POSSUI CONEXÃO ATIVA E ADIMPLENTE</t>
  </si>
  <si>
    <t>ENDEREÇO NOVO: AVENIDA VASCONCELOS COSTA, 810
COMPLEMENTO: APTO 14
CEP: 38400448
BAIRRO: MARTINS</t>
  </si>
  <si>
    <t>PLANO ATUAL: 1000 MEGA/99,90 CONTRATADO EM 08/2023 COM FIDELIDADE DE 12 MESES. ROTEADOR: ZTE H199-A
PLANO OFERTADO: 1 GIGA (1.000 MEGA) R$99,90. BENEFÍCIOS: ACESSO GRATUITO AO APP MZTV (CDNTV+) + VOD</t>
  </si>
  <si>
    <t>KEROLAYNE VIANA VALADARES LANA (FILHA)</t>
  </si>
  <si>
    <t>34 99834-8822</t>
  </si>
  <si>
    <t>COMPROVANTE DE ENDEREÇO (CONTRATO DE LOCAÇÃO) EM ANEXO
NOME NO COMPROVANTE: POLYANA VIANA VALADARES TEIXEIRA (ASSINANTE)
____________________________________________________________
COMPROVANTE DE ENDEREÇO (IPTU) EM ANEXO
NOME NO COMPROVANTE: ENY FERREIRA DE SOUZA (DISSE QUE É O DONO DO IMÓVEL)</t>
  </si>
  <si>
    <t>MK END: N/C
MK NOMES: 
  LUIZ GUSTAVO DE SOUZA CPF:056.5**.***-**(DISSE SER O ANTIGO INQUILINO) N/C 
  FELIPE VIEIRA DE SOUZA (FILHO DA TITULAR)N/C</t>
  </si>
  <si>
    <t>ENDEREÇO NOVO: RUA AUSTIN, 135
COMPLEMENTO: APT. 1101, BLOCO 1
CEP: 38407746
BAIRRO: NOVO MUNDO</t>
  </si>
  <si>
    <t>(34) 99294-5159</t>
  </si>
  <si>
    <t>MK END - N/C
MK NOMES -
MATHEUS PEREIRA MOREIRA (DIZ SER LOCADOR) - CPF 104.988.276-82 - N/C
GESSICA BRITO NOGUEIRA  (FILHA DE ROSELI) - CPF - NÃO IDENTIFICADO - N/C
ROSELI DARC BRITO (TITULAR) - CPF - 014.512.156-90 - ADIMPLENTE COM A EMPRESA.</t>
  </si>
  <si>
    <t>COMPROVANTE DE ENDEREÇO (CONTRATO DE LOCAÇÃO) EM ANEXO
NOME NO COMPROVANTE: ROSELI DARC BRITO (TITULAR E LOCATÁRIA)</t>
  </si>
  <si>
    <t>MK END; - N/C
MK NOME;
KAUE FERREIRA DE SOUZA - 146.638.046-24 (ASSINANTE E LOCATÁRIO) CLIENTE MZ NET COM CONEXÃO ATIVA E ADIMPLENTE
FAGGIONI PARTICIPAÇOES LTDA 52.098.081/0001-08 (LOCADOR) - N/C
ARANTES NEGOCIOS IMOBILIARIOS LTDA 11.016.333/0001-25 (PROCURADORA) - N/C
ARANTES SOLUÇOES IMOBILIARIAS LTDA 48.825.741/0001-38 (PROCURADORA) - N/C
SIMONE DE SOUZA 021.421.731-01 (FIADORA) - N/C
JOSE DOMINGOS FERREIRA DE SOUZA (FIADOR) - N/C</t>
  </si>
  <si>
    <t>COMPROVANTE DE ENDEREÇO (DMAE) EM ANEXO
NOME NO COMPROVANTE: REGINA FERREIRA PALHANO (LOCADOR)</t>
  </si>
  <si>
    <t>ENDEREÇO NOVO: RUA ANTÔNIO JORGE DA SILVA JUNIOR, 242
COMPLEMENTO: CASA 2
CEP: 38409110
BAIRRO: NOVO MUNDO</t>
  </si>
  <si>
    <t>COMPROVANTE DE ENDEREÇO (CERTIDÃO NEGATIVA ) EM ANEXO
NOME NO COMPROVANTE: ROMI FRANCISCO NUNES (DISSE SER O ANTIGO DONO)</t>
  </si>
  <si>
    <t>MK END: N/C
MK NOME: ROMI FRANCISCO NUNES (DISSE SER O ANTIGO DONO) - N/C
LUCIVA DA SILVA SANTOS (TITULAR) - POSSUI CONEXÃO CONOSCO DESDE 10/2024, ATIVA E ADIMPLENTE.</t>
  </si>
  <si>
    <t>MUD END + ALT PLANO SAMUELL ALEXANDER GENEROSO DA SILVA PROT:2606.12434 ISENTO (ANDREZA) - TOCANTINS // TROCA DE EQUIPAMENTO</t>
  </si>
  <si>
    <t>SAMUELL ALEXANDER GENEROSO DA SILVA</t>
  </si>
  <si>
    <t>ENDEREÇO NOVO: RUA DOUTOR SÉRGIO DE OLIVEIRA MARQUEZ, 620
COMPLEMENTO: CASA FUNDO
CEP: 38415273
BAIRRO: TOCANTINS</t>
  </si>
  <si>
    <t>PLANO ATUAL: 1000 MEGA/99,90 CONTRATADO EM 02/2023 COM FIDELIDADE DE 12 MESES. ROTEADOR: HUAWEI AX2
PLANO OFERTADO: 1 GIGA (1.000 MEGA) R$99,90. BENEFÍCIOS: ACESSO GRATUITO AO APP MZTV (CDNTV+) + VOD</t>
  </si>
  <si>
    <t>COMPROVANTE DE ENDEREÇO (CEMIG) EM ANEXO
NOME NO COMPROVANTE: JOSE HUMBERTO MARTINS (DISSE QUE É O DONO DO IMÓVEL)</t>
  </si>
  <si>
    <t>MK END:
-&gt; IRENE GONCALVES DE JESUS (DISSE QUE É A TIA DE SUA ESPOSA) - CPF 062.463.956-86: CONEXÃO EM PROCESSO DE CANCELAMENTO (SEM DÉBITOS) - FALTA SOMENTE DEVOLVER OS EQUIPAMENTOS.
________________________________________
MK NOMES:
-&gt; JOSE HUMBERTO MARTINS (DISSE QUE É O DONO DO IMÓVEL): N/C</t>
  </si>
  <si>
    <t>MK END:
-&gt; KATIA PEGO PEREIRA - CPF 130.544.486-81: CONEXÃO CANCELADA EM 06/2026 (DEVOLVEU OS EQUIPAMENTOS/SEM DÉBITOS.)
________________________________________
MK NOMES:
-&gt; KEROLAYNE VIANA VALADARES LANA (FILHA DA ASSINANTE): N/C
-&gt; ENY FERREIRA DE SOUZA (DISSE QUE É O DONO DO IMÓVEL/LOCADOR) - CPF 605.262.386-15: N/C
-&gt; POLYANA VIANA VALADARES TEIXEIRA - CPF 053.874.116-36: ASSINANTE DA CONEXÃO.</t>
  </si>
  <si>
    <t>MK END:N/C
MK NOMES:
   REGINA FERREIRA PALHANO CPF:539.571.996-20 (LOCADOR)N/C
   CLEITON DA SILVA CPF:061.967.656-93(LOCATÁRIO)
   LEIDIANE ARAÚJO MARTINS SILVA 052.174.696-90(LOCATÁRIO)ESPOSA DO TITULARN/C
   MARIA DE FATIMA ARAUJO (FIADORA) N/C</t>
  </si>
  <si>
    <t>ENDEREÇO NOVO: ALA ESTO DOS SANTOS, 102
COMPLEMENTO: CASA UNICA
CEP: 38401585
BAIRRO: RESIDENCIAL GRAMADO</t>
  </si>
  <si>
    <t>PLANO ATUAL: 300 MEGA/69,90 CONTRATADO EM 10/2024 COM FIDELIDADE DE 12 MESES. ROTEADOR: ONT TP-LINK XC220
PLANO OFERTADO: 600 MEGA/79,90. BENEFÍCIOS: ACESSO GRATUITO AO APP MZTV (CDNTV+)</t>
  </si>
  <si>
    <t>MUD END JORDANA GARCIA ARAUJO PROT:2605.30987 CARTAO (PEDRO) - TIBERY **PRÉDIO SEM PRUMADA - ENVIAR TÉCNICO DUPLADO** // *TENTATIVA DE INSTALAÇÃO DIRETA / 2 BLOCOS 3 ANDARES*</t>
  </si>
  <si>
    <t xml:space="preserve">MUD END + ALT PLANO PHILIPE AUGUSTO MENDES VIEIRA PROT:2606.12901 ISENTO (LUIS) - TIBERY  //  </t>
  </si>
  <si>
    <t>MUD END ALBERTO PEREIRA FILHO PROT:2606.11580 PIX (PEDRO/BRUNA) - SANTA MÔNICA **PRÉDIO SEM PRUMADA** - (NÃO SOUBE INFORMAR SOBRE OS ANDARES/APTOS)</t>
  </si>
  <si>
    <t>MUD END MAYCON LUIZ MENEZES ROSA PROT:2606.11444  DINHEIRO (JOSE JR) - CENTRO</t>
  </si>
  <si>
    <t>JORDANA GARCIA ARAUJO</t>
  </si>
  <si>
    <t>PHILIPE AUGUSTO MENDES VIEIRA</t>
  </si>
  <si>
    <t>ALBERTO PEREIRA FILHO</t>
  </si>
  <si>
    <t>MAYCON LUIZ MENEZES ROSA</t>
  </si>
  <si>
    <t>GESIANNE DA SILVA ALVES DUMONTE</t>
  </si>
  <si>
    <t>MARLENE BARBOSA DE GOUVEIA</t>
  </si>
  <si>
    <t>ENDEREÇO NOVO: RUA ARGENTINA, 137
COMPLEMENTO: EDIFICIO CORDOBA - BLOCO 2, APTO 302
CEP: 38405156
BAIRRO: TIBERY</t>
  </si>
  <si>
    <t>COMPROVANTE DE ENDEREÇO (CONTRATO DE LOCAÇÃO) EM ANEXO
NOME NO COMPROVANTE: TAUMER ARTUR ALVES SCANAVEZ (ASSINANTE DISSE QUE É SEU ESPOSO)</t>
  </si>
  <si>
    <t>MK END: N/C
________________________________________
MK NOMES:
-&gt; ROSILENE MILKEN TOSTA (LOCADORA) - CPF 439.643.976-87: CONEXÃO ATIVA DESDE 04/2025 E ADIMPLENTE COM A EMPRESA.
-&gt; TAUMER ARTUR ALVES SCANAVEZ (ASSINANTE DISSE QUE É SEU ESPOSO) - CPF 077.448.226-50: N/C
-&gt; ANA MARIA S. DA SILVA (TESTEMUNHA) - CPF 866.428.636-15: N/C
-&gt; CARLOS MAURICIO ALVES (TESTEMUNHA): N/C</t>
  </si>
  <si>
    <t>ENDEREÇO NOVO: AVENIDA BÉLGICA, 1197
COMPLEMENTO: CASA 01
CEP: 38405030
BAIRRO: TIBERY</t>
  </si>
  <si>
    <t>PLANO ATUAL: 600 MEGA/79,90 CONTRATADO EM 09/2025 COM FIDELIDADE DE 12 MESES. ROTEADOR: ONT TP-LINK X530
PLANO OFERTADO: 600 MEGA/79,90. BENEFÍCIOS: ACESSO GRATUITO AO APP MZTV (CDNTV+)</t>
  </si>
  <si>
    <t>COMPROVANTE DE ENDEREÇO (CEMIG) EM ANEXO
NOME NO COMPROVANTE: ELCI RODRIGUES GONZAGA (ALEGA SER SEU AVÔ)</t>
  </si>
  <si>
    <t xml:space="preserve">- MK END: 
- POSSUI OUTRA CONEXÃO ATIVA NO NOME DEPHILIPE AUGUSTO MENDES VIEIRA (ANA/MAE). O MESMO INFORMOU QUE A CONEXÃO DE SUA MÃE SERIA NA CASA DA FRENTE E A CASA QUE VAI RESIDIR NA CASA DOS FUNDOS. QUESTIONEI SE TERIA OUTRO COMPROVANTE DA CASA DOS FUNDOS, O MESMO INFORMOU QUE NÃO. 
CONEXÃO ATIVA E ADIMPLENTE COM A EMPRESA. 
- MK NOMES:
- ELCI RODRIGUES GONZAGA - PHILIPE ALEGA SER SEU AVÔ - N/C
- PHILIPE AUGUSTO MENDES VIEIRA - CPF: 132.536.766-41 - ASSINANTE - CLIENTE ATIVO E ADIMPLENTE COM A EMPRESA. </t>
  </si>
  <si>
    <t xml:space="preserve">informa no protocolo que complemento é casa 01, e nas conferencias informa que cliente vai morar na casa dos fundos, endereço alterado para casa fundos. Necessário corrigir divergências. 
 </t>
  </si>
  <si>
    <t>ENDEREÇO NOVO: RUA ANTÔNIO FORTUNATO DA SILVA, 351
COMPLEMENTO: RESID. ANTÔNIO AMORIM DIAS, AP.201
CEP: 38408210
BAIRRO: SANTA MÔNICA</t>
  </si>
  <si>
    <t>COMPROVANTE DE ENDEREÇO (CONTRATO DE LOCAÇÃO) EM ANEXO
NOME NO COMPROVANTE: ALBERTO PEREIRA FILHO (ASSINANTE)</t>
  </si>
  <si>
    <t>MK END:
GABRIEL ANTONIO DE OLIVEIRA LEITE (RESIDIA NO AP 303): POSSUÍA CONEXÃO ATIVA, PORÉM, EM 05/10/2023 SOLICITOU O CANCELAMENTO DO SERVIÇO. EM CONSULTA AO SISTEMA, NÃO FORAM IDENTIFICADAS PENDÊNCIAS.
MK NOMES:
JOVELINA PEREIRA DE AMORIM (LOCADORA): N/C
OBJETIVA IMÓVEIS S/S LTDA (IMOBILIÁRIA ADMINISTRADORA): N/C
CREMILDA PEREIRA LIMA (REPRESENTANTE DA OBJETIVA IMÓVEIS): N/C
SIMONE DE OLIVEIRA COSTA (REPRESENTANTE DA OBJETIVA IMÓVEIS): N/C
ALBERTO PEREIRA FILHO (LOCATÁRIO/TITULAR): CONEXÃO ATIVA, SEM PENDENCIAS
EDMAR E. MOURA (VISTORIADOR): N/C</t>
  </si>
  <si>
    <t>ENDEREÇO NOVO: AVENIDA RIO BRANCO, 1240
COMPLEMENTO: COND. RIO BRANCO, AP.103
CEP: 38400019
BAIRRO: CAZECA</t>
  </si>
  <si>
    <t>ENDEREÇO NOVO: RUA JOÃO CLEMENTE DE OLIVEIRA, 40
COMPLEMENTO: CASA FRENTE 
CEP: 38401128
BAIRRO: PRESIDENTE ROOSEVELT</t>
  </si>
  <si>
    <t>PLANO ATUAL: 600 MEGA/79,90 CONTRATADO EM 02/2024 COM FIDELIDADE DE 12 MESES. ROTEADOR: HUAWEI AX2
PLANO OFERTADO: 600 MEGA/79,90. BENEFÍCIOS: ACESSO GRATUITO AO APP MZTV (CDNTV+)</t>
  </si>
  <si>
    <t>COMPROVANTE DE ENDEREÇO (CEMIG) EM ANEXO
NOME NO COMPROVANTE: JOAO CLEMENTE OLIVEIRA (NÃO INFORMOU)
COMPROVANTE DE ENDEREÇO (CEMIG) EM ANEXO
NOME NO COMPROVANTE: MARIA DAS GRAÇAS DUMONT SOARES (DISSE QUE É SUA SOGRA)</t>
  </si>
  <si>
    <t>GILSON DUMONTE NASCIMENTO (ESPOSO) E/OU VICTOR FELIPE ALVES RODRIGUES (FILHO)</t>
  </si>
  <si>
    <t>34991208898 | 3498181350</t>
  </si>
  <si>
    <t>MK END 
MARKUS VINICIUS NOGUEIRA DA COSTA
	:. 05/2026 - SOLICITAÇÃO DE CONEXÃO APROVADA - CLIENTE SOLICITOU MUDANÇA DE ENDEREÇO PARA DIA 20/06, (CLIENTE &lt; 90 DIAS INST.), EM ANÁLISE.
MK NOME
&gt; GESIANNE DA SILVA ALVES DUMONTE: ASSINANTE DA CONEXÃO
	:. GESIANNE DA SILVA ALVES DUMONTE (CASA MARIA DAS GRAÇAS - SOGRA) - CONEXÃO CANCELADA EM 02/2025 - EQUIPAMENTOS DEVOLVIDOS - SEM DÉBITOS 
	::. GESIANNE DA SILVA ALVES DUMONTE (VICTOR/FILHO) - 07/2024 - SOLICITAÇÃO DE CONEXÃO APROVADA PARA O FILHO VICTOR FELIPE ALVES RODRIGUES.
&gt; VICTOR FELIPE ALVES RODRIGUES: (RUA MÁRIO PAGANINI, 130)
	:. 09/2021 - SOLICITAÇÃO DE CONEXÃO - NEGADA (RECUSADO TAXA DE INSTALAÇÃO)
	::. 06/2024 - SOLICITAÇÃO DE CONEXÃO - NEGADA (RECUSADO TAXA DE INSTALAÇÃO)
       :::.CONEXÃO - APROVADA CONEXÃO ATIVA - ADIMPLENTE (RUA MÁRIO PAGANINI, 130)
&gt; ANTONIO PAULA HILARINO (DISSE QUE É O DONO): N/C 
&gt; MARIA DAS GRAÇAS DUMONT SOARES (DISSE QUE É SUA SOGRA): N/C 
&gt; GILSON DUMONTE NASCIMENTO (ESPOSO): N/C</t>
  </si>
  <si>
    <t>JEFERSON (FILHO DE MARLENE)</t>
  </si>
  <si>
    <t>MUD END + ALT PLANO LARA LIZ SILVA PROT:2606.13004 ISENTO (ANDREZA) - SANTA ROSA  //  *TROCA DE EQUIPAMENTO* //</t>
  </si>
  <si>
    <t>LARA LIZ SILVA</t>
  </si>
  <si>
    <t>ENDEREÇO NOVO: RUA ANGELA ALKIMIM SANTOS, 120 
COMPLEMENTO: CASA ÚNICA
CEP: 38401247
BAIRRO: SANTA ROSA</t>
  </si>
  <si>
    <t>PLANO ATUAL: 1000 MEGA/99,90 CONTRATADO EM 09/2022 COM FIDELIDADE DE 12 MESES. ROTEADOR: HUAWEI AX2
PLANO OFERTADO: 1 GIGA (1.000 MEGA) R$99,90. BENEFÍCIOS: ACESSO GRATUITO AO APP MZTV (CDNTV+) + VOD</t>
  </si>
  <si>
    <t>OSVALDO JOSE DA SILVA JUNIOR (ESPOSO)</t>
  </si>
  <si>
    <t>COMPROVANTE DE ENDEREÇO (CEMIG) EM ANEXO
NOME NO COMPROVANTE: LARA LIZ SILVA (ASSINANTE)</t>
  </si>
  <si>
    <t>MUD END + ALT PLANO GESIANNE DA SILVA ALVES DUMONTE PROT:2606.12478 ISENTO (JHONATAN)  /PRESIDENTE ROOSEVELT * PEND. GERAR CONTRATO E ASS *</t>
  </si>
  <si>
    <t>COMPROVANTE DE ENDEREÇO (CONTRATO DE LOCAÇÃO) EM ANEXO
NOME NO COMPROVANTE: MAYCON LUIZ MENEZES ROSA (ASSINANTE)</t>
  </si>
  <si>
    <t>MK END: N/C
________________________________________
MK NOMES:
-&gt; OSVALDO JOSE DA SILVA JUNIOR (ESPOSO DA ASSINANTE): N/C
-&gt; LARA LIZ SILVA - CPF 123.130.356-54: ASSINANTE DA CONEXÃO.</t>
  </si>
  <si>
    <r>
      <t xml:space="preserve">MK END:N/C
MK NOMES:
</t>
    </r>
    <r>
      <rPr>
        <b/>
        <sz val="14"/>
        <color rgb="FFFF0000"/>
        <rFont val="Verdana"/>
        <family val="2"/>
      </rPr>
      <t xml:space="preserve">MARIA CLARA SOARES ROSSI VEIGA (LOCADORA): NC
ROBERTO ALVES VEIGA (SOCIO SENSA) - CONTRATO CANCELADO A PEDIDO DO CLIENTE- SEM PENDENCIAS FINANCEIRAS E EQUIPAMENTOS DEVOLVIDOS.
</t>
    </r>
    <r>
      <rPr>
        <sz val="14"/>
        <color theme="1"/>
        <rFont val="Verdana"/>
        <family val="2"/>
      </rPr>
      <t xml:space="preserve">  MAYCON LUIZ MENEZES ROSA CPF 128.728.666-63 (LOCATÁRIO)
  BEATRIZ RESENDE OLIVEIRA CPF 702.571.646-42 (ESPOSA DO LOCATÁRIO)N/C
  FÁBIO SILVA DE OLIVEIRA CPF 027.583.596-00 (FIADOR) POSSUI CONEXÃO ATIVA NO ENDEREÇO RUA MARECHAL MASCARENHAS DE MORAES, Nº 125, DESDE 15/09/2022. CLIENTE ADIMPLENTE.
  KATIUSCIA RESENDE DOS SANTOS OLIVEIRA CPF 026.320.706-43 (ESPOSA DO FIADOR)N/C
  JOSÉ DIVINO DE OLIVEIRA CPF 171.052.346-87 (FIADOR)N/C
  MARLENE DA SILVA OLIVEIRA CPF 652.282.516-34 (ESPOSA DO FIADOR)N/C</t>
    </r>
  </si>
  <si>
    <t>MUD END + ALT PLANO MARLENE BARBOSA DE GOUVEIA PROT:. 2606.13678 ISENTO (LAUREN) - TAIAMAN  //  *TROCA DE EQUIPAMENTO*</t>
  </si>
  <si>
    <t xml:space="preserve">MUD END + ALT PLANO MICHAEL DOUGLAS GONCALVES SOUZA PROT:2606.15089 ISENTO (RONALD) - SANTA LUZIA  //  </t>
  </si>
  <si>
    <t>MICHAEL DOUGLAS GONCALVES SOUZA</t>
  </si>
  <si>
    <t xml:space="preserve">MUD END ARYELLE SILVA ARAUJO PROT:2606.14585 PIX (RONALD) - JARDIM BRASÍLIA   </t>
  </si>
  <si>
    <t>ARYELLE SILVA ARAUJO</t>
  </si>
  <si>
    <t xml:space="preserve">MUD END + ALT PLANO ARLEY GUEDES DA SILVA PROT:2606.12314 ISENTO (JHONATAN) - SÃO JOSÉ  //  </t>
  </si>
  <si>
    <t>ARLEY GUEDES DA SILVA</t>
  </si>
  <si>
    <t>MUD END DOUGLAS HENRIQUE BORGES SILVA (ACAI BOM DE MAIS) PROT:2606.11103 PIX (JHONATAN) - CAZECA</t>
  </si>
  <si>
    <t>DOUGLAS HENRIQUE BORGES SILVA (ACAI BOM DE MAIS)</t>
  </si>
  <si>
    <t xml:space="preserve">MUD END + ALT PLANO RIZZIA DO ROSARIO BRITO PROT:2606.15196 ISENTO (LUIS) - GRANADA  //  </t>
  </si>
  <si>
    <t>RIZZIA DO ROSARIO BRITO</t>
  </si>
  <si>
    <t>MUD END + ALT PLANO ADALBERTO MENDONCA NETO PROT:2606.13416 ISENTO (IZABELA) - JARAGUÁ  //  *TROCA DE EQUIPAMENTO* *PENDENTE ASSINATURA DO CONTRATO*</t>
  </si>
  <si>
    <t>ADALBERTO MENDONCA NETO</t>
  </si>
  <si>
    <t xml:space="preserve">TALITHA FERREIRA SILVA(ESPOSA DE ADALBERTO) </t>
  </si>
  <si>
    <t>MUD END WENDRYK SILVA BORGES PROT:2606.12640 PIX (JOSÉ Jr) - SANTA MÔNICA *1 BLOCO , 3 ANDARES ,2 APTO POR ANDAR*</t>
  </si>
  <si>
    <t>WENDRYK SILVA BORGES</t>
  </si>
  <si>
    <t>ENDEREÇO NOVO: RUA DOS PIANOS, 736
COMPLEMENTO: CASA FUNDOS
CEP: 38415132
BAIRRO: TAIAMAN</t>
  </si>
  <si>
    <t xml:space="preserve">
PLANO ATUAL: 1000 MEGA/99,90 CONTRATADO EM 06/2023 COM FIDELIDADE DE 12 MESES. ROTEADOR: HUAWEI AX2
PLANO OFERTADO: 1 GIGA (1.000 MEGA) R$99,90. BENEFÍCIOS: ACESSO GRATUITO AO APP MZTV (CDNTV+) + VOD</t>
  </si>
  <si>
    <t>COMPROVANTE DE ENDEREÇO (CEMIG) EM ANEXO
NOME NO COMPROVANTE: TEREZINHA MARIA FLORES (DIZ SER IRMÃ DA TITULAR MARLENE)</t>
  </si>
  <si>
    <r>
      <rPr>
        <sz val="14"/>
        <color rgb="FF000000"/>
        <rFont val="Verdana"/>
        <family val="2"/>
      </rPr>
      <t>MK END - N/C
MK NOMES - 
JEFFERSON BARBOSA CORREIA (FILHO DE MARLENE) CPF - 115.423.806-77 - IDENTIFICADO DÉBITOS EM ABERTO COM A EMPRESA, CONTRATO BAIXADO DIA 22/07/2024 NÃO HOUVE DEVOLUÇÃO DE EQUIPAMENTO.</t>
    </r>
    <r>
      <rPr>
        <b/>
        <sz val="14"/>
        <color rgb="FFFF0000"/>
        <rFont val="Verdana"/>
        <family val="2"/>
      </rPr>
      <t xml:space="preserve"> (R$1279,40) </t>
    </r>
  </si>
  <si>
    <t>ENDEREÇO NOVO: RUA JOSÉ DA SILVA SANTOS, 164
COMPLEMENTO: CASA UNICA
CEP: 38408726
BAIRRO: SANTA LUZIA</t>
  </si>
  <si>
    <t>PLANO ATUAL: 1000 MEGA/99,90 CONTRATADO EM 08/2025 COM FIDELIDADE DE 12 MESES. ROTEADOR: ONT ZTE F 670-L
PLANO OFERTADO: 1 GIGA (1.000 MEGA) R$99,90. BENEFÍCIOS: ACESSO GRATUITO AO APP MZTV (CDNTV+) + VOD</t>
  </si>
  <si>
    <t>COMPROVANTE DE ENDEREÇO (DMAE) EM ANEXO
NOME NO COMPROVANTE: YNDRYD MOURA CAMARGOS (MICHAEL ALEGA SER DONA DA RESIDÊNCIA)</t>
  </si>
  <si>
    <t>MK END; - N/C
MK NOME;
MICHAEL DOUGLAS GONCALVES SOUZA 126.319.826-06 (ASSINANTE) - CONEXÃO ATIVA E ADIMPLENTE
YNDRYD MOURA CAMARGOS (MICHAEL ALEGA SER DONA DA RESIDÊNCIA) N/C</t>
  </si>
  <si>
    <t>ENDEREÇO NOVO: RUA SATÉLITE, 40
COMPLEMENTO: CASA 2 
CEP: 38401370
BAIRRO: JARDIM BRASÍLIA</t>
  </si>
  <si>
    <t>COMPROVANTE DE ENDEREÇO (CEMIG) EM ANEXO
NOME NO COMPROVANTE:  LUCAS GABRIEL DE SOUSA GOMES (NAMORADO DE ARYELLE)</t>
  </si>
  <si>
    <t>MK END; - N/C
MK NOME;
ARYELLE SILVA ARAUJO 019.221.026-28 (ASSINANTE) - CONEXÃO ATIVA E ADIMPLENTE
LUCAS GABRIEL DE SOUSA GOMES 706.0**.***-** (NAMORADO DE ARYELLE) - N/C</t>
  </si>
  <si>
    <t>ENDEREÇO NOVO: RUA PIRATININGA, 124 
COMPLEMENTO: CASA UNICA
CEP: 38401346
BAIRRO: SÃO JOSÉ</t>
  </si>
  <si>
    <t>COMPROVANTE DE ENDEREÇO (CEMIG) EM ANEXO
NOME NO COMPROVANTE: MARIO LUIZ REZENDE (DISSE QUE É SEU CUNHADO)</t>
  </si>
  <si>
    <t>MK END 
N/C
MK NOME 
&gt; ARLEY GUEDES DA SILVA: ASSINANTE DA CONEXÃO 
&gt; MARIO LUIZ REZENDE (DISSE QUE É SEU CUNHADO)
     :. CONEXÃO ATIVA DESDE 01/2024 - SEM DÉBITOS</t>
  </si>
  <si>
    <t>ENDEREÇO NOVO: RUA MÁRIO REZENDE RIBEIRO, 135
COMPLEMENTO: COMERCIO
CEP: 38400022
BAIRRO: CAZECA</t>
  </si>
  <si>
    <t>COMPROVANTE DE ENDEREÇO (CEMIG) EM ANEXO
NOME NO COMPROVANTE: KEYLA FERNANDA OLIVEIRA DE BARROS (DISSE QUE É SUA ESPOSA)</t>
  </si>
  <si>
    <t>MK END
N/C
MK NOME 
DOUGLAS HENRIQUE BORGES SILVA (ACAI BOM DE MAIS)
KEYLA FERNANDA OLIVEIRA DE BARROS (DISSE QUE É SUA ESPOSA): SOLICITAÇÃO DE CONEXÃO EM 09/2024 - *KEYLA FERNANDA OLIVEIRA DE BARROS (ACAI)* - APROVADO COM TAXA DE INSTALACAO - PROPOSTA RECUSADA</t>
  </si>
  <si>
    <t>ENDEREÇO NOVO: AVENIDA ITAIPU, 197
COMPLEMENTO: CASA UNICA
CEP: 38410538
BAIRRO: GRANADA</t>
  </si>
  <si>
    <t xml:space="preserve">PLANO ATUAL: 600 MEGA/79,90 CONTRATADO EM 11/2024 COM FIDELIDADE DE 12 MESES. ROTEADOR: ONT TP-LINK XC230
PLANO OFERTADO: 600 MEGA/79,90. BENEFÍCIOS: ACESSO GRATUITO AO APP MZTV (CDNTV+)
</t>
  </si>
  <si>
    <t>COMPROVANTE DE ENDEREÇO (CONTRATO DE LOCAÇÃO) EM ANEXO
NOME NO COMPROVANTE:  TIAGO ANTONIO SILVA (RIZZIA ALEGA SER SEU ESPOSO)</t>
  </si>
  <si>
    <t xml:space="preserve">MK END: N/C
MK NOMES:
-  TIAGO ANTONIO SILVA - CPF 111.735.906-92 - LOCATÁRIO (RIZZIA ALEGA SER SEU ESPOSO) N/C
- JULIO APARECIDO GOMES - CPF: 036.625.636-06 - LOCADOR - N/C
- RIZZIA DO ROSARIO BRITO - CPF: 020.152.726-07 - ASSINANTE - CLIENTE ATIVO E ADIMPLENTE COM A EMPRESA; </t>
  </si>
  <si>
    <t>ENDEREÇO NOVO: RUA DAS CEREJEIRAS, 17
COMPLEMENTO: CASA 01
CEP: 38413096
BAIRRO: JARAGUÁ</t>
  </si>
  <si>
    <t>PLANO ATUAL: 600 MEGA/79,90 CONTRATADO EM 12/2024 COM FIDELIDADE DE 12 MESES. ROTEADOR: GREATEK
PLANO OFERTADO: 600 MEGA/79,90. BENEFÍCIOS: ACESSO GRATUITO AO APP MZTV (CDNTV+)</t>
  </si>
  <si>
    <t>COMPROVANTE DE ENDEREÇO (DMAE) EM ANEXO
NOME NO COMPROVANTE: JOAO BATISTA MENDONCA (DISSE SER O PROPRIETÁRIO / PAI DE ADALBERTO )</t>
  </si>
  <si>
    <t>MK END: N/C
MK NOME:
JOAO BATISTA MENDONCA (DISSE SER O PROPRIETÁRIO / PAI DE ADALBERTO ) - N/C
TALITHA FERREIRA SILVA (ESPOSA DE ADALBERTO / QUEM ACOMPANHA) - N/C</t>
  </si>
  <si>
    <t>ENDEREÇO NOVO: RUA PEDRO JOSÉ SAMORA, 777
COMPLEMENTO: MAXCILEIDA ESTERCI  AP 301
CEP: 38408224
BAIRRO: SANTA MÔNICA</t>
  </si>
  <si>
    <t>COMPROVANTE DE ENDEREÇO (CEMIG) EM ANEXO
NOME NO COMPROVANTE: LEANDRO MARTINS PRUDENTE (CLIENTE DIZ QUE É O ANTIGO MORADOR)</t>
  </si>
  <si>
    <t>MK END:N/C
MK NOMES:
   LEANDRO MARTINS PRUDENTE CPF 053.5**.***-**(CLIENTE INFORMOU QUE É O MORADOR ANTIGO DO IMÓVEL)N/C</t>
  </si>
  <si>
    <t xml:space="preserve">MUD END LEANDRO ABDALA BASSI PROT:2606.2163 PIX (HALYSON) - TUBALINA **PRÉDIO COM PRUMADA** </t>
  </si>
  <si>
    <r>
      <t xml:space="preserve">MUD END LAIANA NOGUEIRA BATISTA PROT:2606.15723 PIX (BRUNA) - OSVALDO REZENDE   // </t>
    </r>
    <r>
      <rPr>
        <b/>
        <sz val="14"/>
        <color rgb="FFFF0000"/>
        <rFont val="Verdana"/>
        <family val="2"/>
      </rPr>
      <t>*PODE ANTECIPAR*</t>
    </r>
  </si>
  <si>
    <r>
      <t xml:space="preserve">*AGENDAMENTO 20/06 À PARTIR DE 08HRS* MUD END KARLLA PEREIRA GALDINO PROT:2606.11499 PIX (PEDRO) - PRESIDENTE ROOSEVELT  </t>
    </r>
    <r>
      <rPr>
        <b/>
        <sz val="14"/>
        <color rgb="FFFF0000"/>
        <rFont val="Verdana"/>
        <family val="2"/>
      </rPr>
      <t xml:space="preserve"> *ANÁLISE 90 DIAS*</t>
    </r>
  </si>
  <si>
    <t xml:space="preserve">PERIODO DA MANHA 18/06 RESERVA - MUD END ANNA LISSA DOS REIS PROT:2606.13000  PIX (PEDRO) - JARDIM BRASÍLIA **PRÉDIO COM PRUMADA** </t>
  </si>
  <si>
    <t xml:space="preserve"> LAIANA NOGUEIRA BATISTA</t>
  </si>
  <si>
    <t>KARLLA PEREIRA GALDINO</t>
  </si>
  <si>
    <t>LEANDRO ABDALA BASSI</t>
  </si>
  <si>
    <t>ANNA LISSA DOS REIS</t>
  </si>
  <si>
    <t>MICHELLY ALMEIDA SANTOS</t>
  </si>
  <si>
    <t>ENDEREÇO NOVO: RUA CAMBUQUIRA, 829
COMPLEMENTO: CASA FRENTE 
CEP: 38400426
BAIRRO: OSVALDO REZENDE</t>
  </si>
  <si>
    <t>NILZA MARCIA NOGUEIRA BATISTA (IRMÃ)</t>
  </si>
  <si>
    <t>34 997353260</t>
  </si>
  <si>
    <t>MK END: N/C
MK NOMES:
NILZA MARCIA NOGUEIRA BATISTA (IRMÃ): N/C
DIVINO INACIO MORAIS (PROPRIETARIO): N/C</t>
  </si>
  <si>
    <t>COMPROVANTE DE ENDEREÇO (DMAE) EM ANEXO
NOME NO COMPROVANTE: DIVINO INACIO MORAES (CLIENTE DIZ QUE É O PROPRIETARIO)</t>
  </si>
  <si>
    <t xml:space="preserve">VALIDAÇÃO OK
COMPROVANTE DESATUALIZADO, VERIFICAR SE PODE SEGUIR OU NÃO </t>
  </si>
  <si>
    <t>JÁ VALIDADO - ANALISE 90 DIAS - VALIDADO POR KAROL</t>
  </si>
  <si>
    <t>ENDEREÇO NOVO: RUA FÁDUA BARCHA GUSTIM, 445
COMPLEMENTO: APTO 1104 BLOCO 01
CEP: 38412003
BAIRRO: TUBALINA</t>
  </si>
  <si>
    <t>MK END: N/C
MK NOMES:
LEANDRO ABDALA BASSI 034.720.886-05 (LOCATÁRIO E ASSINANTE): POSSUI CONEXÃO ATIVA E ADIMPLENTE
JOAO BATISTA GARCEZ 100.318.041-87 (LOCADOR): N/C
MULTI CONSULTORIA DE IMÓVEIS LTDA: 17.656.356/0001-80 E 17.656.356/0002-61 (ADMINISTRADORA DO IMOVEL): N/C
CÍCERO HERALDO OLIVEIRA NOVAES 254.982.746-53 (REPRESENTANTE LEGAL DA IMOBILIÁRIA): N/C
DANTE BASSI NETO 463.731.108-00 (PAI DO ASSINANTE E FIADOR): N/C
SANDRA MARA COSTA ABDALA BASSI 931.353.196-87 (MÃE DO ASSINANTE E FIADORA): N/C</t>
  </si>
  <si>
    <t>COMPROVANTE DE ENDEREÇO (CONTRATO DE LOCAÇÃO) EM ANEXO
NOME NO COMPROVANTE: LEANDRO ABDALA BASSI (ASSINANTE)</t>
  </si>
  <si>
    <t>ENDEREÇO NOVO: RUA ALAOR CARLOS GARCIA, 455
COMPLEMENTO: RESIDENCIAL JARDIM BRASILIA III, BL.01 - AP.508
CEP: 38401883
BAIRRO: JARDIM BRASÍLIA</t>
  </si>
  <si>
    <t>COMPROVANTE DE ENDEREÇO (CONTRATO DE LOCAÇÃO) EM ANEXO
NOME NO COMPROVANTE: VITOR RODRIGUES DE SOUSA NETO (MARIDO)</t>
  </si>
  <si>
    <t>VITOR RODRIGUES SOUSA NETO  (MARIDO)</t>
  </si>
  <si>
    <r>
      <t xml:space="preserve">MK END: N/C
MK NOME: OSVALDO JOSÉ DA SILVA JÚNIOR (LOCADOR / CPF: 055.918.531-61)
</t>
    </r>
    <r>
      <rPr>
        <i/>
        <sz val="14"/>
        <color theme="1"/>
        <rFont val="Verdana"/>
        <family val="2"/>
      </rPr>
      <t xml:space="preserve">
VITOR RODRIGUES DE SOUSA NETO (LOCATÁRIO / MARIDO DA TITULAR / CPF: 021.047.946-92) - SOLICITOU INSTALAÇÃO EM 05/2025, MAS FOI APROVADO PARA ESPOSA ANNA LISSA DOS REIS
&gt; VITOR RODRIGUES DE SOUSA NETO (FACILITE CONTABILIDADE) - SOLICITOU INSTALAÇÃO EM 12/2025, MAS NÃO SEGUIU, POIS SÓ QUERIA SABER OS PREÇOS DOS PLA</t>
    </r>
    <r>
      <rPr>
        <sz val="14"/>
        <color theme="1"/>
        <rFont val="Verdana"/>
        <family val="2"/>
      </rPr>
      <t>NOS.
JOSE LEANDRO OLIVEIRA COSTA (FIADOR / CPF: 705.096.721-16) - N/C
ANNA LISSA DOS REIS (TITULAR) - POSSUI CONEXÃO CONOSCO DESDE 05/2025, ATIVA E ADIMPLENTE.</t>
    </r>
  </si>
  <si>
    <t xml:space="preserve">
COMPROVANTE NÃO POSSUI O COMPLEMENTO FUNDOS, NECESSÁRIO JUSTIFICAR NO PROTOCOLO. 
CONFERENCIA INCOMPLETA
removido da agenda</t>
  </si>
  <si>
    <t>PENDENTE MENSALIDADE
removido da agenda</t>
  </si>
  <si>
    <t xml:space="preserve">MUD END ANDREA MOURA DA SILVA (DANRLEY/FILHO) PROT:2606.14020 PIX (PEDRO) - MORUMBI   </t>
  </si>
  <si>
    <t>ANDREA MOURA DA SILVA (DANRLEY/FILHO)</t>
  </si>
  <si>
    <t>COMPROVANTE DE ENDEREÇO (CEMIG) EM ANEXO
NOME NO COMPROVANTE:  ANDREA MOURA DA SILVA (ASSINANTE)</t>
  </si>
  <si>
    <t>ENDEREÇO NOVO: RUA JURUBEBA, 707
COMPLEMENTO: CASA ÚNICA
CEP: 38407321
BAIRRO: MORUMBI</t>
  </si>
  <si>
    <t>MK END: N/C
MK NOME: ANDREA MOURA DA SILVA (TITULAR) - POSSUI CONEXÃO CONOSCO DESDE 10/2025, ATIVA E ADIMPLENTE.
DANRLEY AUGUSTO DE MOURA (FILHO DA ANDREA) - SOLICITOU INSTALAÇÃO EM 10/2025, MAS FOI APROVADO NO NOME DA SUA MÃE.</t>
  </si>
  <si>
    <t>DANRLEY AUGUSTO DE MOURA (FILHO)</t>
  </si>
  <si>
    <t xml:space="preserve">MUD END + ALT PLANO KELLY CRISTINA NUNES PROT:2606.16836 ISENTO (ANDREZA) - JARDIM HOLANDA **PRÉDIO COM PRUMADA** //  </t>
  </si>
  <si>
    <t xml:space="preserve">MUD END LUCAS AFONSO DE CASTRO PROT:2606.17278 PIX (ANDREZA) - NOVO MUNDO  </t>
  </si>
  <si>
    <t xml:space="preserve">MUD END + ALT PLANO ROSINEIA NUNES DOS SANTOS PROT:2606.4285 ISENTO (PEDRO) - DONA ZULMIRA  //  </t>
  </si>
  <si>
    <t xml:space="preserve">MUD END RAFAELA RODRIGUES LOURENCO PROT:2606.17186 DINHEIRO (RONALD) - BURITIS   </t>
  </si>
  <si>
    <t xml:space="preserve">MUD END CARLOS EDUARDO DA SILVA PROT:2606.16669 CARTAO (JOSÉ Jr) - TOCANTINS   </t>
  </si>
  <si>
    <t>MUD END BARBARA MAYARA SILVA LIMA PROT:2606.13995 PIX (PEDRO) - MANSOUR</t>
  </si>
  <si>
    <t xml:space="preserve"> MARCO FERNANDO DE ANDRADE NAVES</t>
  </si>
  <si>
    <t>VALNEI BORBA COSTA</t>
  </si>
  <si>
    <t>CARLOS ALESSANDRO BARCELOS</t>
  </si>
  <si>
    <t>KELLY CRISTINA NUNES</t>
  </si>
  <si>
    <t xml:space="preserve"> LUCAS AFONSO DE CASTRO</t>
  </si>
  <si>
    <t>ROSINEIA NUNES DOS SANTOS</t>
  </si>
  <si>
    <t xml:space="preserve"> RAFAELA RODRIGUES LOURENCO</t>
  </si>
  <si>
    <t>CARLOS EDUARDO DA SILVA</t>
  </si>
  <si>
    <t xml:space="preserve"> BARBARA MAYARA SILVA LIMA</t>
  </si>
  <si>
    <t>ENDEREÇO NOVO: RUA LENINE HELOU, 331
COMPLEMENTO: CASA 1 / FRENTE
CEP: 38414187
BAIRRO: JARDIM PATRÍCIA</t>
  </si>
  <si>
    <t>COMPROVANTE DE ENDEREÇO (CONTRATO DE LOCAÇÃO) EM ANEXO
NOME NO COMPROVANTE: ROSE MARY ALVES DO NASCIMENTO (DISSE QUE É A ANTIGA INQUILINA)</t>
  </si>
  <si>
    <t xml:space="preserve">MK END
N/C
MK NOME
&gt; MARCO FERNANDO DE ANDRADE NAVES: ASSINANTE DA CONEXÃO 
&gt; VICENTE ADOLFO RODRIGUES (DONO DO IMOVÉL/LOCADOR): N/C 
&gt; ROSE MARY ALVES DO NASCIMENTO (ANTIGA INQUILINA/LOCATÁRIA): N/C </t>
  </si>
  <si>
    <t>ENDEREÇO NOVO: ALAMEDA PAULO CÉSAR SANTANA, 530
COMPLEMENTO: CONDOMINIO UBATA - BLOCO 08, APTO 101
CEP: 38412326
BAIRRO: JARDIM HOLANDA</t>
  </si>
  <si>
    <t>COMPROVANTE DE ENDEREÇO (TAXA DE MUDANÇA DE CONDOMÍNIO) EM ANEXO
NOME NO COMPROVANTE: JHONNATHA PITER SILVA VAZ (DISSE QUE É O DONO DO IMÓVEL)
_________________________________________________________
COMPROVANTE DE ENDEREÇO (CEMIG) EM ANEXO
NOME NO COMPROVANTE: STEPHANY KELLY VIEIRA E SILVA (DISSE QUE É A ANTIGA INQUILINA)</t>
  </si>
  <si>
    <t>MK END: N/C
________________________________________
MK NOMES:
-&gt; JHONNATHA PITER SILVA VAZ (DISSE QUE É O DONO DO IMÓVEL): N/C
-&gt; GABRIEL PITER (DISSE QUE É O DONO DO IMÓVEL): N/C
-&gt; STEPHANY KELLY VIEIRA E SILVA (DISSE QUE É A ANTIGA INQUILINA): N/C</t>
  </si>
  <si>
    <t>VALIDAÇÃO OK.</t>
  </si>
  <si>
    <t>ENDEREÇO NOVO: RUA DINARTE JOSÉ PEREIRA, 331
COMPLEMENTO: CASA 01
CEP: 38409035
BAIRRO: NOVO MUNDO</t>
  </si>
  <si>
    <t>RAFAELLA TEODORO DE CASTRO (ESPOSA)</t>
  </si>
  <si>
    <t>34 99238-8063</t>
  </si>
  <si>
    <t>COMPROVANTE DE ENDEREÇO (CEMIG) EM ANEXO
NOME NO COMPROVANTE:  DANIEL VICTOR DE SOUSA FERREIRA (DISSE QUE É O DONO DO IMÓVEL)
________________________________________________
COMPROVANTE DE ENDEREÇO (ASSINATURAS DOC. LOCAÇÃO) EM ANEXO
NOME NO COMPROVANTE:  LUCAS AFONSO DE CASTRO (ASSINANTE)</t>
  </si>
  <si>
    <t>MK END:
-&gt; LUIZA AMANDA DE PAIVA JESUS (NOVA SOLICITACAO) - CPF 018.742.226-57: SOLICITAÇÃO DE ADESÃO EM 05/2025 REPROVADA.
________________________________________
MK NOMES:
-&gt; RAFAELLA TEODORO DE CASTRO (ESPOSA DO ASSINANTE) - CPF 181.719.736-39: SOLICITAÇÃO DE ADESÃO EM 11/2023 APROVADA PARA ESPOSO LUCAS AFONSO DE CASTRO.
-&gt; DANIEL VICTOR DE SOUSA FERREIRA (DISSE QUE É O DONO DO IMÓVEL): N/C
-&gt; ADENISIA DE LOURDES SILVA (CRIADORA / TESTEMUNHA) - CPF 030.503.626-26: CONEXÃO ATIVA DESDE 07/2023 E ADIMPLENTE COM A EMPRESA.
-&gt; SIMONE RODRIGUES DA SILVA (SIGNATÁRIA) - CPF 011.950.456-11: N/C
-&gt; LUCAS AFONSO DE CASTRO (LOCATÁRIO) - CPF 700.438.736-42: ASSINANTE DA CONEXÃO.
-&gt; JAYNE DA COSTA NUNES (TESTEMUNHA) - CPF 051.158.756-24: N/C
-&gt; MÓDULO IMÓVEIS (EMPRESA / IMOBILIÁRIA): N/C</t>
  </si>
  <si>
    <t>ENDEREÇO NOVO: RUA ILIDIO ROCHA, 140
COMPLEMENTO: CASA ÚNICA
CEP: 38415082
BAIRRO: TAIAMAN</t>
  </si>
  <si>
    <t>PLANO ATUAL: 400 MEGA/79,90 CONTRATADO EM 01/2024 COM FIDELIDADE DE 12 MESES. ROTEADOR: ONT ZTE F 670-L
PLANO OFERTADO: 600 MEGA/79,90. BENEFÍCIOS: ACESSO GRATUITO AO APP MZTV (CDNTV+)</t>
  </si>
  <si>
    <t>COMPROVANTE DE ENDEREÇO (DMAE) EM ANEXO
NOME NO COMPROVANTE: GLEYSSE KELLY DE AVELAR SOUZA (ESPOSA DO ASSINANTE)</t>
  </si>
  <si>
    <t>MK END:
-&gt; FABRICIO SOUSA PAULA - CPF 019.480.706-18: SOLICITAÇÃO DE ADESÃO EM 07/2021 APROVADA COM COMPRA DE EQUIPAMENTOS, PORÉM NÃO INSTALADO, CLIENTE NÃO TEVE INTERESSE.
________________________________________
MK NOMES:
-&gt; GLEYSSE KELLY DE AVELAR SOUZA (ESPOSA DO ASSINANTE): N/C</t>
  </si>
  <si>
    <t xml:space="preserve">MUD END + ALT PLANO VALNEI BORBA COSTA PROT:2606.17345 ISENTO (ANDREZA) - TAIAMAN  //  </t>
  </si>
  <si>
    <t>MUD END MARCO FERNANDO DE ANDRADE NAVES PROT:2606.16170 CARTÃO (JHONATAN) - JARDIM PATRÍCIA</t>
  </si>
  <si>
    <t>ENDEREÇO NOVO: RUA NORITA, 53
COMPLEMENTO: CASA 4 (FUNDO)
CEP: 38414018
BAIRRO: DONA ZULMIRA</t>
  </si>
  <si>
    <t>PLANO ATUAL: 150 MEGA/59,90 CONTRATADO EM 04/2025 COM FIDELIDADE DE 12 MESES. ROTEADOR: ONT TP-LINK XC220
PLANO OFERTADO: 150 MEGA/59,90. BENEFÍCIOS: ACESSO GRATUITO AO APP MZTV (CDNTV+)</t>
  </si>
  <si>
    <t>COMPROVANTE DE ENDEREÇO (CEMIG) EM ANEXO
NOME NO COMPROVANTE: FRANCISCO BATISTA DE ARAUJO (LOCADOR)</t>
  </si>
  <si>
    <t>MK END; - N/C 
MK NOME;
ROSINEIA NUNES DOS SANTOS 122.998.346-56 (ASSINANTE) - CONEXÃO ATIVA E ADIMPLENTE
FRANCISCO BATISTA DE ARAUJO 248.8**.***-** (PROPRIETARIO / LOCADOR) - N/C</t>
  </si>
  <si>
    <t xml:space="preserve">ENDEREÇO NÃO ALTERADO NA OS.. ENDEREÇO ERRADO EM PESSOAS E EMPRESAS - MENSALIDADE PENDENTE </t>
  </si>
  <si>
    <t>ENDEREÇO NOVO: AVENIDA PETRONILHA RODRIGUES DE QUEIROZ, 16
COMPLEMENTO: CASA 2
CEP: 38410000
BAIRRO: BURITIS</t>
  </si>
  <si>
    <t>COMPROVANTE DE ENDEREÇO (CONTRATO DE LOCAÇÃO) EM ANEXO
NOME NO COMPROVANTE: RONIVON MOISES DA SILVA (SOGRO DE RAFAELA)</t>
  </si>
  <si>
    <r>
      <t xml:space="preserve">MK END; -N/C
MK NOME;
RAFAELA RODRIGUES LOURENCO 083.799.626-05 (ASSINANTE) - CONEXÃO ATIVA E ADIMPLENTE
RONIVON MOISES DA SILVA (SOGRO DE RAFAELA / LOCATÁRIO) - N/C
CARLITO DE ARAUJO 123.384.861-53 (LOCADOR) - N/C
DANIEL MENDES DE ARAUJO 082.906.266-14 (LOCADOR) -  CLIENTE MZ NET DURANTE O PERÍODO DE 10/204 ATÉ -03/2026, SOLICITOU A TROCA DE TITULARIDADE </t>
    </r>
    <r>
      <rPr>
        <b/>
        <sz val="14"/>
        <color rgb="FFFF0000"/>
        <rFont val="Verdana"/>
        <family val="2"/>
      </rPr>
      <t>(CLESIO OLIVEIRA DA SILVA - CONEXÃO ATIVA DE ADIMPLENTE)</t>
    </r>
    <r>
      <rPr>
        <sz val="14"/>
        <color theme="1"/>
        <rFont val="Verdana"/>
        <family val="2"/>
      </rPr>
      <t xml:space="preserve">/ CLIENTE TEM OUTRA CONEXÃO MZ NET (DANIEL MENDES DE ARAUJO (OBRA)) - SEGUE ATIVA E ADIMPLENTE.
PAMELA CORTES SILVA 069.441.646-04 (CÔNJUGE DE DANIEL) - N/C
LEANDRO MENDES DE ARAUJO 051.392.856-14 (LOCADOR) - N/C
KATIUCE GOMES ARAUJO 101.863.356-10 (CONJUGUE DE LEANDRO) - N/C
ALEXANDRO MENDES DE ARAUJO 051.348.096-07 (LOCADOR) - N/C
PRISCILA BORGES BARROS 063.622.706-57 (CÔNJUGE DE ALEXANDRO) - N/C
IVAN NEGOCIOS IMOBILIARIOS LTDA (IMOBILIARIA) - N/C
IVAN GRACIANO DA COSTA FILHO 040.246.836-83 (SÓCIO) - N/C
RICARDO GRACIANO DA COSTA 042.613.186-01 (SÓCIO) - N/C
VICENTE PAULO FERREIRA 035.173.826-04 (PROCURADOR) - N/C
JOYCE APARECIDA DIAS 058.367.476-36 (PROCURADOR) - N/C
TAIZ LAMARA BALESTERE TEIXEIRA ALVES 320.333.798-33 (PROCURADOR) - N/C
</t>
    </r>
    <r>
      <rPr>
        <b/>
        <sz val="14"/>
        <color rgb="FFFF0000"/>
        <rFont val="Verdana"/>
        <family val="2"/>
      </rPr>
      <t xml:space="preserve">NEIDE ALICE DA SILVA (FIADOR) - </t>
    </r>
  </si>
  <si>
    <t>ENDEREÇO NOVO: RUA JOVINO COSTA SAMPAIO, 205
COMPLEMENTO: CASA UNICA
CEP: 38415201
BAIRRO: TOCANTINS</t>
  </si>
  <si>
    <t>COMPROVANTE DE ENDEREÇO (CEMIG) EM ANEXO
NOME NO COMPROVANTE: CARLOS EDUARDO DA SILVA (ASSINANTE)</t>
  </si>
  <si>
    <t>MK END:N/C
MK NOMES:
  CARLOS EDUARDO DA SILVA CPF: 044.5**.***-**(TITULAR DA CONEXÃO)</t>
  </si>
  <si>
    <t>ENDEREÇO NOVO: RUA RIO BENI, 179
COMPLEMENTO: CASA FUNDO
CEP: 38414448
BAIRRO: MANSOUR</t>
  </si>
  <si>
    <t>COMPROVANTE DE ENDEREÇO (CEMIG) EM ANEXO
NOME NO COMPROVANTE: CARLOS BOAVENTURA GOMES (DIZ SER O PROPRIETARIO DO IMOVEL)</t>
  </si>
  <si>
    <t>FRANCISCO CHARLES GLABSON MACEDO LIMA (PAI)</t>
  </si>
  <si>
    <t>34 9 9874-6610</t>
  </si>
  <si>
    <t>MK END: N/C
MK NOMES:
FRANCISCO CHARLES GLABSON MACEDO LIMA (PAI DE BARBARA): EM 08/01/2026 SOLICITOU INSTALAÇÃO, PORÉM, NÃO ENCAMINHOU AS DOCUMENTAÇÕES NECESSARIAS E PAROU DE INTERAGIR, DESTA FORMA, INSTALAÇÃO NÃO REALIZADA.
CARLOS BOAVENTURA GOMES (PROPRIETARIO DO IMOVEL): N/C</t>
  </si>
  <si>
    <t>ENDEREÇO NOVO: RUA DO CARPINTEIRO, 886
COMPLEMENTO: CASA FUNDO
CEP: 38413177
BAIRRO: PLANALTO</t>
  </si>
  <si>
    <t>PLANO ATUAL: 1000 MEGA/99,90 CONTRATADO EM 06/2023 COM FIDELIDADE DE 12 MESES. ROTEADOR: HUAWEI AX2
PLANO OFERTADO: 1 GIGA (1.000 MEGA) R$99,90. BENEFÍCIOS: ACESSO GRATUITO AO APP MZTV (CDNTV+) + VOD</t>
  </si>
  <si>
    <t>PALOMA PAULA DE LIMA (ESPOSA)</t>
  </si>
  <si>
    <t>COMPROVANTE DE ENDEREÇO (CONTRATO DE LOCAÇÃO) EM ANEXO
NOME NO COMPROVANTE: AMANDA LYZ DE LIMA (ASSINANTE DISSE QUE É SUA CUNHADA)</t>
  </si>
  <si>
    <t>MK END: N/C
________________________________________
MK NOMES:
-&gt; PALOMA PAULA DE LIMA (ESPOSA DO ASSINANTE): CONEXÃO NO CNPJ .: PALOMA PAULA DE LIMA (RESTAURANTE E MARMITARIA LIMA) 65.173.055/0001-49.: ATIVA DESDE 02/2026 E ADIMPLENTE COM A EMPRESA.
-&gt; JARBAS JOSE DE LANA (LOCADOR) - CPF 297.905.307-49: N/C
-&gt; MARIA CELESTE DE LANA (LOCADORA) - CPF 024.927.866-92: N/C
-&gt; MÓDULO IMÓVEIS EIRELI (PROCURADORA): N/C
-&gt; AMANDA LYZ DE LIMA (LOCATÁRIA/ASSINANTE DISSE QUE É SUA CUNHADA) - CPF 703.831.021-62: CONEXÃO ATIVA DESDE 07/2024 E ADIMPLENTE COM A EMPRESA.
-&gt; JAYNE DA COSTA NUNES (TESTEMUNHA) - CPF 051.158.756-24: N/C
-&gt; ADENISIA DE LOURDES SILVA (TESTEMUNHA) - CPF 030.503.626-26: CONEXÃO ATIVA DESDE 07/2023 E ADIMPLENTE COM A EMPRESA.
-&gt; SIMONE RODRIGUES DA SILVA (SIGNATÁRIA) - CPF 011.950.456-11: N/C</t>
  </si>
  <si>
    <t>ALAN ALVARO ARMANELLI FILHO</t>
  </si>
  <si>
    <t>ENDEREÇO NOVO: RUA MARIA DA CONCEIÇÃO DE ANDRADE, 340
COMPLEMENTO: APTO 103
CEP: 38411336
BAIRRO: JARDIM COLINA</t>
  </si>
  <si>
    <t>PLANO ATUAL: 1000 MEGA/99,90 CONTRATADO EM 06/22 COM FIDELIDADE DE 12 MESES. ROTEADOR: ZTE H199-A
PLANO OFERTADO: 1 GIGA (1.000 MEGA) R$99,90. BENEFÍCIOS: ACESSO GRATUITO AO APP MZTV (CDNTV+) + VOD</t>
  </si>
  <si>
    <t>MUD END + ALT PLANO CARLOS ALESSANDRO BARCELOS PROT:2606.17389 ISENTO (ANDREZA) - PLANALTO  //  *TROCA DE EQUIPAMENTO*</t>
  </si>
  <si>
    <t>b&gt;ONU = ZTE // CONECTOR = VERDE.&lt;/b&gt;</t>
  </si>
  <si>
    <t>COMPROVANTE DE ENDEREÇO (CONTRATO DE LOCAÇÃO) EM ANEXO
NOME NO COMPROVANTE: ADRIELE IZABELE RODRIGUES ARMANELLI (DIZ SER SUA IRMÃ)</t>
  </si>
  <si>
    <t>MK END: 
MARIELLY ANTONIA DE FREITAS (RESIDIA NO AP 101): POSSUIA CONEXÃO ATIVA, PORÉM, EM 17/05/2024 SOLICITOU CANCELAMENTO POR MUDANÇA DE CIDADE. SEM PENDENCIAS E EQUIPAMENTOS DEVOLVIDOS.
EDSON SOARES GOMES (RESIDIA NO AP 101): POSSUIA CONEXÃO ATIVA, PORÉM, SE MUDOU PARA UM LOCAL SE VIABILIDADE, DESTA FORMA, O CONTRATO FOI CANCELADO.  SEM PENDENCIAS E EQUIPAMENTOS DEVOLVIDOS.
MK NOMES: 
ROTINA ADMINISTRAÇÃO DE RECEBÍVEIS LTDA (LOCADORA): N/C
JOSÉ NOGUEIRA COIMBRA NETO (REPRESENTANTE DA ROTINA ADMINISTRAÇÃO): N/C
ADRIELE IZABELE RODRIGUES ARMANELLI (LOCATÁRIA / IRMÃ DE ALAN): N/C
ARC IMÓVEIS LTDA (PROPRIETÁRIA DO IMÓVEL): N/C
ROGERIO ALMEIDA DOMINGOS (VISTORIADOR): N/C
LINCOLN CARLO CARDOSO DE QUEIROZ (TESTEMUNHA): N/C
CAMILLA CHRISTINE GONCALVES DOS SANTOS DINIZ(TESTEMUNHA): N/C</t>
  </si>
  <si>
    <t xml:space="preserve">MUD END + ALT PLANO ALAN ALVARO ARMANELLI FILHO PROT:2606.17706 ISENTO (BRUNA) - JARDIM COLINA **PRÉDIO SEM PRUMADA ** //  *TROCA DE EQUIPAMENTO*/ 01 PREDIO 02 ANDARES E 04 APTOS POR ANDAR  // MORADA DA COLINA/ LEVAR NOVOS EQUIPAMENTOS </t>
  </si>
  <si>
    <t>ENDEREÇO NOVO: AVENIDA FLORIANO PEIXOTO, 2170
COMPLEMENTO: APT, PRIMEIRO ANDAR 
CEP: 38400702
BAIRRO: NOSSA SENHORA APARECIDA</t>
  </si>
  <si>
    <t>MUD END GUILHERME SANTOS DE CASTRO PROT:2606.19349 CARTAO (VICTOR H.) - SANTA MÔNICA   // PODE ANTECIPAR. PEDIU PARA BRESSANI REALIZAR SE POSSIVEL</t>
  </si>
  <si>
    <t>MUD END EMANUEL FELIPE FERREIRA CALISTO LIMA PROT:2606.18733 PIX (JHONATAN) - PRESIDENTE ROOSEVELT   * PEND. COMPROVANTE DE END *</t>
  </si>
  <si>
    <t xml:space="preserve">MUD END PAULA GIULLYANE SILVA FAGUNDES (BUFALLOS RESTAURANTE) PROT:2606.16325 PIX (ANDREZA) - MORUMBI   </t>
  </si>
  <si>
    <t>RESERVA KESLEY MAGNA DE SOUSA FERREIRA</t>
  </si>
  <si>
    <t>MUD END + ALT PLANO MICHELLY ALMEIDA SANTOS PROT:2606.17133 ISENTO (LUIS) - NOSSA SENHORA APARECIDA  //  *PENDENTE COMPROVANTE DE ENDEREÇO E COMPLEMENTO*</t>
  </si>
  <si>
    <t>MUD END + ALT PLANO BRUNO SOUZA COSTA PROT:2606.18499 ISENTO (BRUNA) - SANTA MÔNICA **PRÉDIO SEM PRUMADA** //  1 BLOCO, 3 ANDARES, 3 APTOS POR ANDAR // *PEND COMPROVANTE DE END E ASSINATURA*</t>
  </si>
  <si>
    <t>GUILHERME SANTOS DE CASTRO</t>
  </si>
  <si>
    <t>EMANUEL FELIPE FERREIRA CALISTO LIMA</t>
  </si>
  <si>
    <t>PAULA GIULLYANE SILVA FAGUNDES (BUFALLOS RESTAURANTE)</t>
  </si>
  <si>
    <t>KESLEY MAGNA DE SOUSA FERREIRA</t>
  </si>
  <si>
    <t>BRUNO SOUZA COSTA</t>
  </si>
  <si>
    <t>AMANDA LIMA PICEDA</t>
  </si>
  <si>
    <t>DEVANIO DOS SANTOS JOSE</t>
  </si>
  <si>
    <t>ENDEREÇO NOVO: RUA PATRULHEIRO OSMAR TAVARES, 265
COMPLEMENTO: CASA UNICA
CEP: 38408294
BAIRRO: SANTA MÔNICA</t>
  </si>
  <si>
    <t>COMPROVANTE DE ENDEREÇO (CEMIG) EM ANEXO
NOME NO COMPROVANTE: EDWARSON ROONEI BRUNELLI JUNIOR (DISSE SER PROPRIETÁRIO DO IMOVEL)</t>
  </si>
  <si>
    <t>MK END: N/C
MK NOMES: EDWARSON ROONEI BRUNELLI JUNIOR (DISSE SER PROPRIETÁRIO DO IMOVEL) N/C</t>
  </si>
  <si>
    <t>ENDEREÇO NOVO: AVENIDA MORUM BERNARDINO, 85
COMPLEMENTO: CASA UNICA
CEP: 38401098
BAIRRO: PRESIDENTE ROOSEVELT</t>
  </si>
  <si>
    <t xml:space="preserve">
ENDEREÇO NOVO: AVENIDA JERÔNIMO JOSÉ ALVES, 1512
COMPLEMENTO: CONVENIÊNCIA
CEP: 38407285
BAIRRO: MORUMBI</t>
  </si>
  <si>
    <t>COMPROVANTE DE ENDEREÇO (CONTRATO DE COMPRA E VENDA) EM ANEXO
NOME NO COMPROVANTE: PAULA GIULLYANE SILVA FAGUNDES (ASSINANTE)
____________________________________________________________________
PAULA INFORMOU QUE NÃO SERÁ MAIS UM RESTAURANTE, E SIM UMA CONVENIÊNCIA NO POSTO DE GASOLINA, CONFORME DESCRITO EM CONTRATO.</t>
  </si>
  <si>
    <t>COMPROVANTE DE ENDEREÇO (DMAE) EM ANEXO
NOME NO COMPROVANTE: ARLINDO PEREIRA DA SILVA (DISSE QUE É O DONO)</t>
  </si>
  <si>
    <t>MK END 
&gt; MAYLON RAFAEL FERREIRA CALISTO LEMES (ADRIANA/MAE)
	:. CONEXÃO CANCELADA EM 12/2024 - DÉBITO (R$ 799,70) - EQUIPAMENTO NÃO DEVOLVIDOS.  
&gt; ADRIANA FERREIRA CALISTO 
	:. PROCESSO DE ADESÃO EM 09/2022 - NEGADA - NÃO TEVE INTERESSE NA COMPRA
	::. PROCESSO DE ADESÃO EM 05/2025 - NEGADO NEM SE COMPRAR (USUÁRIA DA CONEXÃO MAYLON)
MK NOME 
&gt; ARLINDO PEREIRA DA SILVA (DISSE QUE É O DONO): N/C</t>
  </si>
  <si>
    <t>MK END: N/C
________________________________________
MK NOMES:
-&gt; MATHEUS RESENDE DE VASCONCELOS (VENDEDOR) - CPF  136.748.146-50: N/C
-&gt; CONVENIÊNCIA CERRADÃO LTDA (NOVO NEGÓCIO DE PAULA): N/C
-&gt; PAULA GIULLYANE SILVA FAGUNDES (COMPRADORA) - CPF 703.215.221-09: ASSINANTE DA CONEXÃO.
::. POSSUI OUTRAS 3 CONEXÕES.::
- PAULA GIULLYANE SILVA FAGUNDES (ANTONIA/AVO): CONEXÃO ATIVA DESDE 05/2024 E ADIMPLENTE COM A EMPRESA.
- PAULA GIULLYANE SILVA FAGUNDES: CONEXÃO ATIVA DESDE 08/2023 E ADIMPLENTE COM A EMPRESA.
- PAULA GIULLYANE SILVA FAGUNDES (NOVA SOLICITACAO): SOLICITAÇÃO DE ADESÃO EM 10/04 REPROVADA.
-&gt; RODOLFO VENDRAMINI CHOUCRE (FIADOR) - CPF 091.145.946-41: N/C</t>
  </si>
  <si>
    <t>PLANO ATUAL: 600 MEGA/79,90 CONTRATADO EM 07/25 COM FIDELIDADE DE 12 MESES. ROTEADOR: ONT TP-LINK XC230
PLANO OFERTADO: 600 MEGA/79,90. BENEFÍCIOS: ACESSO GRATUITO AO APP MZTV (CDNTV+)</t>
  </si>
  <si>
    <t>ENDEREÇO NOVO: RUA ANTÔNIO SALVIANO DE REZENDE, 235
COMPLEMENTO: AP 203
CEP: 38408228
BAIRRO: SANTA MÔNICA</t>
  </si>
  <si>
    <t>MK END:
CARLA LEONARDO LUDGER VILELA (RESIDIA NO APTO 301): POSSUIA CONEXÃO ATIVA, PORÉM, EM 25/03/2026 SOLICITOU O CANCELAMENTO, POIS, ESTAVA MUDANDO DE CIDADE. SEM PENDENCIAS E EQUIPAMENTOS DEVOLVIDOS.
HUMBERTO DE ANDRADE CENACHI (RESIDIA NO APTO 301): POSSUIA CONEXÃO ATIVA, PORÉM, EM 07/11/2024 SOLICITOU O CANCELAMENTO, INFORMANDO QUE ESTAVA MUDANDO DE CIDADE. SEM PENDENCIAS E EQUIPAMENTOS DEVOLVIDOS.
MK NOMES: 
LUIZ CLAUDIO FERNANDES DA SILVA  (COLEGA DE CASA/NOME CONSTANTE NO COMPROVANTE): N/C</t>
  </si>
  <si>
    <t>COMPROVANTE DE ENDEREÇO (CEMIG) EM ANEXO
NOME NO COMPROVANTE: LUIZ CLAUDIO FERNANDES DA SILVA (DIZ SER SEU COLEGA DE CASA )
&gt; LUIZ DIVIDE O APARTAMENTO COM O BRUNO.</t>
  </si>
  <si>
    <t>MUD END + ALT PLANO AMANDA LIMA PICEDA PROT:2606.19528 ISENTO (ANDREZA) - JARDIM PATRÍCIA **PRÉDIO COM PRUMADA** //  *PEND. MENSALIDADE*</t>
  </si>
  <si>
    <t>ENDEREÇO NOVO: AVENIDA DO ÓLEO, 361
COMPLEMENTO: COND. MORADA DO BOSQUE - BLOCO 10, APTO 204
CEP: 38414224
BAIRRO: JARDIM PATRÍCIA</t>
  </si>
  <si>
    <t>COMPROVANTE DE ENDEREÇO (CONTRATO DE LOCAÇÃO) EM ANEXO
NOME NO COMPROVANTE:  VILMAR HONORIO DA SILVA (ASSINANTE DISSE QUE É SEU SOGRO)</t>
  </si>
  <si>
    <t>MK END: N/C
________________________________________
MK NOMES:
-&gt; TALITA TEODORO DA SILVA (ESPOSA DA ASSINANTE): N/C
-&gt; MAGNO ROBERTO DE DEUS (LOCADOR) – CPF 539.195.726-53: N/C
-&gt; DELTA IMÓVEIS E ADMINISTRAÇÃO LTDA. (PROCURADORA / ADMINISTRADORA) – CNPJ 23.976.590/0001-98: N/C
-&gt; FRANCIS HEME CESAR PEREIRA (REPRESENTANTE DA ADMINISTRADORA) – CPF 086.429.536-75: N/C
-&gt; VILMAR HONORIO DA SILVA (LOCATÁRIO/SOGRO DA ASSINANTE) – CPF 595.556.706-25: N/C
-&gt; CREDALUGA LTDA. (TIPO DE FIANÇA / GARANTIDORA): N/C</t>
  </si>
  <si>
    <t>TALITA TEODORO DA SILVA (ESPOSA)</t>
  </si>
  <si>
    <t>COMPROVANTE DE ENDEREÇO (CONTRATO DE LOCAÇÃO) EM ANEXO
NOME NO COMPROVANTE: ALINE COELHO SILVA (ASSINANTE)</t>
  </si>
  <si>
    <t>MK END:
- ADEMAR FRANCO GUIMARAES: CONEXÃO CANCELADA SEM DÉBITOS EM 05/2021  POR MOTIVO DE MUDANÇA DE CIDADE.
MK NOMES:
- ADEMAR FRANCO GUIMARÃES 133.509.298-69 (LOCADOR DO IMÓVEL): JÁ MENCIONADO EM MK END
- ALINE COELHO SILVA  092.213.886-97 (LOCATÁRIA DO IMÓVEL E ASSINANTE): POSSUI CONEXÃO ATIVA E ADIMPLENTE
- JESSICA COELHO SILVA 119.667.166-48 (LOCATÁRIA DO IMÓVEL): CONEXÃO CANCELADA COM DÉBITOS EM ABERTO 166,50 REFERENTE A ACORDO DE MENSALIDADE EM ABERTO + PROPORCIONAL DE USO.
  END: AV. ESELA SARAIVA DE PEANO Nº 489 - JARDIM PATRÍCIA.
- ÉZIO GERALDO DE SOUZA CORDEIRO 846.740.916-91 (FIADOR): N/C
- NILZA COELHO PINTO CORDEIRO 037.291.306-76 (FIADORA): N/C</t>
  </si>
  <si>
    <t>MUD END DEVANIO DOS SANTOS JOSE PROT:2606.19602 CARTAO (ANDREZA) - OSVALDO REZENDE  // *SEM FIDELIDADE* //</t>
  </si>
  <si>
    <t>ENDEREÇO NOVO: RUA ANTÔNIO THOMAZ DE REZENDE, 409
COMPLEMENTO: CASA 02 - FUNDO
CEP: 38400487
BAIRRO: OSVALDO REZENDE</t>
  </si>
  <si>
    <t>COMPROVANTE DE ENDEREÇO (CONTRATO DE LOCAÇÃO) EM ANEXO
NOME NO COMPROVANTE: DEVANIO DOS SANTOS JOSE (ASSINANTE)
_________________________________________________________
COMPROVANTE DE ENDEREÇO (CEMIG) EM ANEXO
NOME NO COMPROVANTE: AMANDA BARROS DE SOUSA (DISSE QUE É A ANTIGA INQUILINA DO IMÓVEL)
_________________________________________________________
DEVANIO INFORMOU QUE LÁ SÃO 2 CASAS (FRENTE E FUNDO), ELE IRÁ MORAR NA CASA DO FUNDO, PORÉM O CONTRATO VEM ESCRITO COMO "CASA 1", POIS É DA MESMA FORMA QUE CONSTA O TALÃO DE ENERGIA DA CASA DO FUNDO.</t>
  </si>
  <si>
    <t>MK END:
-&gt; MARINA FERREIRA DA COSTA (VIZINHA DA CASA DA FRENTE) - CPF 794.402.076-04: CONEXÃO ATIVA DESDE 06/2025 E ADIMPLENTE COM A EMPRESA.
________________________________________
MK NOMES:
-&gt; AMANDA BARROS DE SOUSA (DISSE QUE É A ANTIGA INQUILINA DO IMÓVEL): N/C
-&gt; ELEMITA LOURENÇO DOS SANTOS (LOCADORA): N/C
-&gt; DEVANIO DOS SANTOS JOSE (LOCATÁRIO) - CPF 034.630.815-12: ASSINANTE DA CONEXÃO.</t>
  </si>
  <si>
    <t>VALIDAÇÃO OK 
MAE NÃO PODE MAIS TER CONEXÃO DA MZ E IRMÃO DEVE A MZ .. ASSINANTE INFORMA QUE NÃO VAI MORAR COM A MÃE</t>
  </si>
  <si>
    <t>VALIDAÇÃO OK
IRMÃ JESSICA VAI MORAR COM A ASSINANTE.. .AINDA COM PENDENCIA FINANCEIRA</t>
  </si>
  <si>
    <t>COBRADO DE RAMONY FAZER PROTOCOLO E OS
REMOVIDO DA AGENDA</t>
  </si>
  <si>
    <t>PENDENTE COMPROVANTE
OS NÃO GERADA
removido da agenda</t>
  </si>
  <si>
    <t xml:space="preserve">MUD END CRISTIANO ARIMATEIA SILVA PROT:2606.19301 DINHEIRO (VAGNER) - TAIAMAN   </t>
  </si>
  <si>
    <t xml:space="preserve">MUD END + ALT PLANO DOUGLAS MENDES ASSUNCAO PROT:2606.20242 ISENTO (JOSÉ Jr) - SANTA MÔNICA  //  </t>
  </si>
  <si>
    <t>MUD END + ALT PLANO RAFAELA LUIZA ALVES GONZAGA PROT:2606.20329 ISENTO (HALYSON / PEDRO) - BRASIL **PRÉDIO SEM PRUMADA - ENVIAR TÉCNICO DUPLADO** //  *TROCA DE EQUIPAMENTO*</t>
  </si>
  <si>
    <t xml:space="preserve">MUD END SOLON RODRIGUES DE SOUSA JUNIOR (BAR CUSTODIO) PROT:2606.20221 DINHEIRO (PEDRO) - CUSTÓDIO PEREIRA   </t>
  </si>
  <si>
    <t xml:space="preserve">MUD END JOSE VITOR SOUZA DA SILVA PROT:2606.20706 PIX (LUIS) - SHOPPING PARK  </t>
  </si>
  <si>
    <t>MUD END + ALT PLANO CELIO ANTONIO DA SILVA JUNIOR PROT:2606.13957 ISENTO (RONALD) - JARDIM HOLANDA  //  *TROCA DE EQUIPAMENTO*</t>
  </si>
  <si>
    <t xml:space="preserve">MUD END + ALT PLANO GABRIEL NOVAIS VILELA FREITAS PROT:2606.18619 ISENTO (PEDRO) - JARDIM PATRÍCIA **PRÉDIO COM PRUMADA** //  </t>
  </si>
  <si>
    <t>MUD END + ALT PLANO DEBORA ALVES PEREIRA SILVA PROT:2601.30329 ISENTO (JOSÉ Jr) - PRESIDENTE ROOSEVELT</t>
  </si>
  <si>
    <t xml:space="preserve">MUD END THALYS CESAR MOREIRA SANTOS PROT:2606.16361 PIX (BRUNA) - JARDIM CANAÃ **PRÉDIO COM PRUMADA** </t>
  </si>
  <si>
    <t>RESERVA MUD END + ALT PLANO DAYANE SILVA RAFAEL DE OLIVEIRA PROT:2606.17193 ISENTO (VICTOR) - MARTINS *PRÉDIO SEM PRUMADA - ENVIAR TÉCNICO DUPLADO* //</t>
  </si>
  <si>
    <t xml:space="preserve">MUD END + ALT PLANO JOSE FORTUNATO ALVES NETO PROT:2606.19373 ISENTO (PEDRO) - PRESIDENTE ROOSEVELT  //  </t>
  </si>
  <si>
    <t xml:space="preserve">MUD END + ALT PLANO ANATIELLY BARBOSA SILVA PROT:2606.19359 ISENTO (VICTOR H.) - TOCANTINS  //  </t>
  </si>
  <si>
    <t>CRISTIANO ARIMATEIA SILVA</t>
  </si>
  <si>
    <t>DOUGLAS MENDES ASSUNCAO</t>
  </si>
  <si>
    <t>SOLON RODRIGUES DE SOUSA JUNIOR (BAR CUSTODIO)</t>
  </si>
  <si>
    <t>GABRIEL NOVAIS VILELA FREITAS</t>
  </si>
  <si>
    <t>JOSE VITOR SOUZA DA SILVA</t>
  </si>
  <si>
    <t>CELIO ANTONIO DA SILVA JUNIOR</t>
  </si>
  <si>
    <t>RAFAELA LUIZA ALVES GONZAGA</t>
  </si>
  <si>
    <t>DEBORA ALVES PEREIRA SILVA</t>
  </si>
  <si>
    <t>THALYS CESAR MOREIRA SANTOS</t>
  </si>
  <si>
    <t>DAYANE SILVA RAFAEL DE OLIVEIRA</t>
  </si>
  <si>
    <t>JOSE FORTUNATO ALVES NETO</t>
  </si>
  <si>
    <t>ANATIELLY BARBOSA SILVA</t>
  </si>
  <si>
    <t>ENDEREÇO NOVO: RUA DOUTORA FABIANA ANDRADE CHAVES, 131
COMPLEMENTO: CASA FUNDOS
CEP: 38415074
BAIRRO: TAIAMAN</t>
  </si>
  <si>
    <t>COMPROVANTE DE ENDEREÇO (CEMIG) EM ANEXO
NOME NO COMPROVANTE: MARIA FRANCISCA DA SILVA (CRISTIANO DIZ SER SUA MÃE)</t>
  </si>
  <si>
    <t>MK END:
ROMES CANDIDO AMARAL - CONEXÃO CANCELADA NO DIA  08/11/2022 - EQUIPAMENTOS DEVOLVIDOS  ONU DATA ,  01 ROTEADOR TP-LINK 840, SEM DÉBITOS PENDENTE.
MK NOME: 
MARIA FRANCISCA DA SILVA (CRISTIANO DIZ SER SUA MÃE) - N/C</t>
  </si>
  <si>
    <t>ENDEREÇO NOVO: AVENIDA DOUTOR JAIME RIBEIRO DA LUZ, 2181
COMPLEMENTO: CASA UNICA 
CEP: 38408188
BAIRRO: SANTA MÔNICA</t>
  </si>
  <si>
    <t>COMPROVANTE DE ENDEREÇO (CONTRATO DE COMPRA E VENDA) EM ANEXO
NOME NO COMPROVANTE: DOUGLAS MENDES ASSUNÇÃO (ASSINANTE)</t>
  </si>
  <si>
    <r>
      <t xml:space="preserve">MK END:N/C
MK NOMES:
   </t>
    </r>
    <r>
      <rPr>
        <b/>
        <sz val="14"/>
        <color theme="1"/>
        <rFont val="Verdana"/>
        <family val="2"/>
      </rPr>
      <t>LUIS CLAUDIO DE OLIVEIRA RAMOS</t>
    </r>
    <r>
      <rPr>
        <sz val="14"/>
        <color theme="1"/>
        <rFont val="Verdana"/>
        <family val="2"/>
      </rPr>
      <t xml:space="preserve"> CPF 013.509.846-71 (PROMITENTE VENDEDOR)N/C
   </t>
    </r>
    <r>
      <rPr>
        <b/>
        <sz val="14"/>
        <color theme="1"/>
        <rFont val="Verdana"/>
        <family val="2"/>
      </rPr>
      <t>JESSICA CARVALHO FERNANDES</t>
    </r>
    <r>
      <rPr>
        <sz val="14"/>
        <color theme="1"/>
        <rFont val="Verdana"/>
        <family val="2"/>
      </rPr>
      <t xml:space="preserve"> CPF 094.062.826-07 (CÔNJUGE DO PROMITENTE VENDEDOR)N/C
   </t>
    </r>
    <r>
      <rPr>
        <b/>
        <sz val="14"/>
        <color theme="1"/>
        <rFont val="Verdana"/>
        <family val="2"/>
      </rPr>
      <t>DOUGLAS MENDES ASSUNÇÃO</t>
    </r>
    <r>
      <rPr>
        <sz val="14"/>
        <color theme="1"/>
        <rFont val="Verdana"/>
        <family val="2"/>
      </rPr>
      <t xml:space="preserve"> CPF 078.822.736-00 (PROMITENTE COMPRADOR)TITULAR DA CONEXÃO
   </t>
    </r>
    <r>
      <rPr>
        <b/>
        <sz val="14"/>
        <color theme="1"/>
        <rFont val="Verdana"/>
        <family val="2"/>
      </rPr>
      <t>CINTIA DA SILVA VAZ MENDES</t>
    </r>
    <r>
      <rPr>
        <sz val="14"/>
        <color theme="1"/>
        <rFont val="Verdana"/>
        <family val="2"/>
      </rPr>
      <t xml:space="preserve"> CPF 339.611.578-39 (CÔNJUGE DO PROMITENTE COMPRADOR)N/C
   </t>
    </r>
    <r>
      <rPr>
        <b/>
        <sz val="14"/>
        <color theme="1"/>
        <rFont val="Verdana"/>
        <family val="2"/>
      </rPr>
      <t>SHIRLEY TOLEDO RAMOS</t>
    </r>
    <r>
      <rPr>
        <sz val="14"/>
        <color theme="1"/>
        <rFont val="Verdana"/>
        <family val="2"/>
      </rPr>
      <t xml:space="preserve"> CPF 109.344.506-84 (INTERMEDIADORA)N/C
  </t>
    </r>
    <r>
      <rPr>
        <b/>
        <sz val="14"/>
        <color theme="1"/>
        <rFont val="Verdana"/>
        <family val="2"/>
      </rPr>
      <t xml:space="preserve"> MURILO TAVARES TRINDADE</t>
    </r>
    <r>
      <rPr>
        <sz val="14"/>
        <color theme="1"/>
        <rFont val="Verdana"/>
        <family val="2"/>
      </rPr>
      <t xml:space="preserve"> CPF 011.775.666-05 (TESTEMUNHA)CLIENTE POSSUI CONEXÃO ATIVA DESDE 03/11/2022 NO ENDEREÇO RUA NEGRO AMÂNCIO, Nº 719, E NÃO POSSUI NENHUM DÉBITO EM ATRASO.   
  </t>
    </r>
    <r>
      <rPr>
        <b/>
        <sz val="14"/>
        <color theme="1"/>
        <rFont val="Verdana"/>
        <family val="2"/>
      </rPr>
      <t>JAQUELINE RIBEIRO DE ALMEIDA</t>
    </r>
    <r>
      <rPr>
        <sz val="14"/>
        <color theme="1"/>
        <rFont val="Verdana"/>
        <family val="2"/>
      </rPr>
      <t xml:space="preserve"> CPF 989.371.116-91 (TESTEMUNHA)</t>
    </r>
  </si>
  <si>
    <t>PLANO ATUAL: 1000 MEGA/99,90 CONTRATADO EM 07/2023 COM FIDELIDADE DE 12 MESES. ROTEADOR: ZTE H199-A
PLANO OFERTADO: 1 GIGA (1.000 MEGA) R$99,90. BENEFÍCIOS: ACESSO GRATUITO AO APP MZTV (CDNTV+) + VOD</t>
  </si>
  <si>
    <t>COMPROVANTE DE ENDEREÇO (CONTRATO DE LOCAÇÃO) EM ANEXO
NOME NO COMPROVANTE: RAFAELA LUIZA ALVES GONZAGA (ASSINANTE)</t>
  </si>
  <si>
    <t>ENDEREÇO NOVO: AVENIDA PROFESSOR JOSÉ IGNÁCIO DE SOUSA, 1456 
COMPLEMENTO: APTO 101 / CONDOMÍNIO FLORENÇA
CEP: 38400732
BAIRRO: BRASIL</t>
  </si>
  <si>
    <t xml:space="preserve">MK END: N/C
MK NOMES:
* IRAIDE DA SILVA PRADO 691.609.966-68 (LOCADORA): N/C
* ARANTES NEGÓCIOS IMOBILIÁRIOS LTDA. 11.016.333/0001-25 (ADMINISTRADORA): N/C
* ARANTES SOLUÇÕES IMOBILIÁRIAS LTDA. 48.825.741/0001-38 (ADMINISTRADORA): N/C
* RAFAELA LUIZA ALVES GONZAGA 082.883.436-94 (LOCATÁRIA E ASSINANTE): POSSUI CONEXÃO ATIVA E ADIMPLENTE
* IRON LUIZ ALVES 456.247.556-00 (FIADOR): N/C
* LEDA GONZAGA ALVES 006.130.696-76 (FIADORA): N/C
* DIOGO BORGES NASCIMENTO 090.399.996-00 (PROCURADOR): N/C
* PRISCILLA DE MEDEIROS FARIA 093.270.666-50 (TESTEMUNHA): N/C
* GENISLEVINY MARINO DOS SANTOS 140.866.826-21 (TESTEMUNHA): N/C </t>
  </si>
  <si>
    <t>ENDEREÇO NOVO: RUA PROFESSOR CIRO DE CASTRO ALMEIDA, 3637
COMPLEMENTO: COMÉRCIO
CEP: 38405250
BAIRRO: CUSTÓDIO PEREIRA</t>
  </si>
  <si>
    <t>COMPROVANTE DE ENDEREÇO (CEMIG) EM ANEXO
NOME NO COMPROVANTE: ROMES BRAULIO DE MENEZES (DISSE SER O DONO DO IMÓVEL)</t>
  </si>
  <si>
    <t>MK END: N/C
MK NOME: ROMES BRAULIO DE MENEZES (DISSE SER O DONO DO IMÓVEL) - N/C
SOLON RODRIGUES DE SOUSA JUNIOR - POSSUI 15 CADASTROS CONOSCO (13 ATIVOS E 2 CANCELADOS), AS CONEXÕES ATIVAS ESTÃO ADIMPLENTES;
&gt; SOLON RODRIGUES DE SOUSA JUNIOR (BAR DO MARQUINHOS) - CANCELADO EM 02/2025, CLIENTE DEVOLVEU OS EQUIPAMENTOS E PAGOU OS DÉBITOS.
&gt; SOLON RODRIGUES DE SOUSA JUNIOR (BAR DO MARQUINHOS) - CANCELADO EM 02/2025, CLIENTE DEVOLVEU OS EQUIPAMENTOS E PAGOU OS DÉBITOS.</t>
  </si>
  <si>
    <t>ENDEREÇO NOVO: RUA FLORIZA MIRANDA PEREIRA, 95
COMPLEMENTO: CASA ÚNICA
CEP: 38425475
BAIRRO: SHOPPING PARK</t>
  </si>
  <si>
    <t>COMPROVANTE DE ENDEREÇO (CONTRATO DE LOCAÇÃO) EM ANEXO
NOME NO COMPROVANTE:  JOSE VITOR SOUZA DA SILVA (ASSINANTE)</t>
  </si>
  <si>
    <t>THAIS CRISTINE SILVA (ESPOSA)</t>
  </si>
  <si>
    <t>PLANO ATUAL: 1000 MEGA/99,90 CONTRATADO EM 01/2023 COM FIDELIDADE DE 12 MESES. ROTEADOR: HUAWEI AX2
PLANO OFERTADO: 1 GIGA (1.000 MEGA) R$99,90. BENEFÍCIOS: ACESSO GRATUITO AO APP MZTV (CDNTV+) + VOD</t>
  </si>
  <si>
    <t>COMPROVANTE DE ENDEREÇO (CEMIG) EM ANEXO
NOME NO COMPROVANTE: 3 GEL PROJETOS E CONSTRUCOES LTDA (VENDEDOR)</t>
  </si>
  <si>
    <t>MK END; - N/C
MK NOME; 
CELIO ANTONIO DA SILVA JUNIOR 115.971.086-42 (ASSINANTE) - CONEXÃO ATIVA E ADIMPLENTE
3 GEL PROJETOS E CONSTRUCOES LTDA 20.452.5**/****-** (VENDEDOR) - N/C</t>
  </si>
  <si>
    <t>ENDEREÇO NOVO: RUA DÉCIO CARVALHO, 181
COMPLEMENTO: CASA 1 
CEP: 38412813
BAIRRO: JARDIM HOLANDA</t>
  </si>
  <si>
    <t>ENDEREÇO NOVO: RUA DIAMANTE, 600
COMPLEMENTO: RESID. JARDIM PATRÍCIA, AP. 708
CEP: 38414150
BAIRRO: JARDIM PATRÍCIA</t>
  </si>
  <si>
    <t>COMPROVANTE DE ENDEREÇO (CONTRATO DE LOCAÇÃO) EM ANEXO
NOME NO COMPROVANTE: ANA CAROLINA PEREIRA DO NASCIMENTO (ESPOSA DO TITULAR)</t>
  </si>
  <si>
    <t>MK END: N/C
MK NOME: CINTIA ROCHA FERREIRA (LOCADORA / CPF: 057.515.226-56) - N/C
ARANTES NEGÓCIOS IMOBILIÁRIOS LTDA (IMOBILIÁRIA / CNPJ: 11.016.333/0001-25) - N/C
ARANTES SOLUÇÕES IMOBILIÁRIAS LTDA (IMOBILIÁRIA / CNPJ: 48.825.741/0001-38) - N/C
ANA CAROLINA PEREIRA DO NASCIMENTO (LOCATÁRIA / ESPOSA DO TITULAR / CPF: 105.734.246-75) - N/C
DIOGO BORGES NASCIMENTO (PROCURADOR / CPF: 090.399.996-00) - N/C
LARISSA CRISTINA DE OLIVEIRA (TESTEMUNHA / CPF: 702.420.486-92) - N/C
LARISSA REGINA NOGUEIRA (TESTEMUNHA / CPF: 322.819.838-38) - N/C
GABRIEL NOVAIS VILELA FREITAS (TITULAR) - POSSUI CONEXÃO CONOSCO DESDE 08/2025, ATIVA E ADIMPLENTE.</t>
  </si>
  <si>
    <t>ENDEREÇO NOVO: TRAVESSA LOURIVAL DANTAS AZEVEDO, 37
COMPLEMENTO: RESEDENCIAL JARDIM DA COLINA APTO 904
CEP: 38401822
BAIRRO: PRESIDENTE ROOSEVELT</t>
  </si>
  <si>
    <t>PLANO ATUAL: 1000 MEGA/99,90 CONTRATADO EM 09/2025 COM FIDELIDADE DE 12 MESES. ROTEADOR: ONT TP-LINK X530
PLANO OFERTADO: 1 GIGA (1.000 MEGA) R$99,90. BENEFÍCIOS: ACESSO GRATUITO AO APP MZTV (CDNTV+) + VOD</t>
  </si>
  <si>
    <t>COMPROVANTE DE ENDEREÇO (CERTIDÃO DE MATRÍCULA DO IMÓVEL) EM ANEXO
NOME NO COMPROVANTE: ROGÉRIO ACHILLES PONTES (ESPOSO DA TITULAR)</t>
  </si>
  <si>
    <r>
      <t xml:space="preserve">MK END:N/C
MK NOMES:
   HMJ EMPREENDIMENTOS IMOBILIÁRIOS LTDA. — CNPJ 02.525.221/0001-09 (VENDEDORA / INCORPORADORA DO EMPREENDIMENTO)N/C
   CAIXA ECONÔMICA FEDERAL — CNPJ 00.360.305/0001-04(CREDOR)N/C
   </t>
    </r>
    <r>
      <rPr>
        <b/>
        <sz val="14"/>
        <color theme="1"/>
        <rFont val="Verdana"/>
        <family val="2"/>
      </rPr>
      <t>JÉSSICA CAMILA SANTOS</t>
    </r>
    <r>
      <rPr>
        <sz val="14"/>
        <color theme="1"/>
        <rFont val="Verdana"/>
        <family val="2"/>
      </rPr>
      <t xml:space="preserve"> — CPF 094.285.796-88 (ADMINISTRADORA)N/C
   </t>
    </r>
    <r>
      <rPr>
        <b/>
        <sz val="14"/>
        <color theme="1"/>
        <rFont val="Verdana"/>
        <family val="2"/>
      </rPr>
      <t>ROGERIO ACHILES PONTES</t>
    </r>
    <r>
      <rPr>
        <sz val="14"/>
        <color theme="1"/>
        <rFont val="Verdana"/>
        <family val="2"/>
      </rPr>
      <t xml:space="preserve"> — CPF 039.413.196-71 (ADQUIRENTE)ESPOSO DA TITULAR. N/C
 </t>
    </r>
    <r>
      <rPr>
        <b/>
        <sz val="14"/>
        <color theme="1"/>
        <rFont val="Verdana"/>
        <family val="2"/>
      </rPr>
      <t xml:space="preserve">  LÍCIA HELENA DE BRITO SOUZA </t>
    </r>
    <r>
      <rPr>
        <sz val="14"/>
        <color theme="1"/>
        <rFont val="Verdana"/>
        <family val="2"/>
      </rPr>
      <t xml:space="preserve">— CPF 483.138.406-25 (REPRESENTANTE DA CREDORA)N/C
   </t>
    </r>
    <r>
      <rPr>
        <b/>
        <sz val="14"/>
        <color theme="1"/>
        <rFont val="Verdana"/>
        <family val="2"/>
      </rPr>
      <t>LUIZ EUGÊNIO DA FONSECA</t>
    </r>
    <r>
      <rPr>
        <sz val="14"/>
        <color theme="1"/>
        <rFont val="Verdana"/>
        <family val="2"/>
      </rPr>
      <t xml:space="preserve"> (REGISTRADOR)N/C
   </t>
    </r>
    <r>
      <rPr>
        <b/>
        <sz val="14"/>
        <color theme="1"/>
        <rFont val="Verdana"/>
        <family val="2"/>
      </rPr>
      <t>JOSÉ FONSECA E SILVA NETO</t>
    </r>
    <r>
      <rPr>
        <sz val="14"/>
        <color theme="1"/>
        <rFont val="Verdana"/>
        <family val="2"/>
      </rPr>
      <t xml:space="preserve"> (REGISTRADOR SUBSTITUTO)N/C
  </t>
    </r>
    <r>
      <rPr>
        <b/>
        <sz val="14"/>
        <color theme="1"/>
        <rFont val="Verdana"/>
        <family val="2"/>
      </rPr>
      <t xml:space="preserve"> MELISSA SOARES FONSECA</t>
    </r>
    <r>
      <rPr>
        <sz val="14"/>
        <color theme="1"/>
        <rFont val="Verdana"/>
        <family val="2"/>
      </rPr>
      <t xml:space="preserve"> (REGISTRADORA SUBSTITUTA)N/C
   </t>
    </r>
    <r>
      <rPr>
        <b/>
        <sz val="14"/>
        <color theme="1"/>
        <rFont val="Verdana"/>
        <family val="2"/>
      </rPr>
      <t>DORALICE APARECIDA DE OLIVEIRA</t>
    </r>
    <r>
      <rPr>
        <sz val="14"/>
        <color theme="1"/>
        <rFont val="Verdana"/>
        <family val="2"/>
      </rPr>
      <t xml:space="preserve"> (ESCREVENTE)N/C</t>
    </r>
  </si>
  <si>
    <t>ENDEREÇO NOVO: AVENIDA EDSON GALLANA, 590
COMPLEMENTO: RESID. FLORES DO CERRADO BL B AP 904
CEP: 38412760
BAIRRO: JARDIM CANAÃ</t>
  </si>
  <si>
    <t>COMPROVANTE DE ENDEREÇO (CONTRATO DE LOCAÇÃO) EM ANEXO
NOME NO COMPROVANTE: THALYS CESAR MOREIRA SANTOS (ASSINANTE)</t>
  </si>
  <si>
    <t>MK END: N/C
MK NOMES:
CRIS HUMBERTO DE OLIVEIRA (LOCADOR): N/C
THALYS CESAR MOREIRA SANTOS (LOCATÁRIO): CONEXÃO ATIVA, SEM PENDENCIAS.</t>
  </si>
  <si>
    <t>ENDEREÇO NOVO: RUA BERNARDO CUPERTINO, 70
COMPLEMENTO: APARTAMENTO 500
CEP: 38400444
BAIRRO: MARTINS</t>
  </si>
  <si>
    <t>PLANO ATUAL: 400 MEGA/79,90 CONTRATADO EM 04/2023 COM FIDELIDADE DE 12 MESES. ROTEADOR: ONT ZTE F 670-L
PLANO OFERTADO: 600 MEGA/79,90. BENEFÍCIOS: ACESSO GRATUITO AO APP MZTV (CDNTV+)</t>
  </si>
  <si>
    <t>CACIO GOMES CAMPOS (ESPOSO)</t>
  </si>
  <si>
    <t>COMPROVANTE DE ENDEREÇO (CONTRATO DE LOCAÇÃO) EM ANEXO
NOME NO COMPROVANTE: CACIO GOMES CAMPOS (DIZ SER SEU ESPOSO)</t>
  </si>
  <si>
    <t>MK END: N/C 
MK NOMES: 
KATIA ENOE DE NOGUEIRA PRADO (LOCADORA) N/C 
CACIO GOMES CAMPOS (ESPOSO DE DAYANE E LOCADOR) N/C
JOSE HUBERTO CAMPOS FERREIRA (FIADOR) N/C</t>
  </si>
  <si>
    <t>ENDEREÇO NOVO: RUA JOSÉ LEMOS GARCIA, 227
COMPLEMENTO: CASA ÚNICA
CEP: 38401108
BAIRRO: PRESIDENTE ROOSEVELT</t>
  </si>
  <si>
    <t>COMPROVANTE DE ENDEREÇO (CONTRATO DE LOCAÇÃO) EM ANEXO
NOME NO COMPROVANTE: ROSIMEIRY ALVES BONETTI (DISSE SER MÃE DO TITULAR)</t>
  </si>
  <si>
    <t>MK END: N/C
MK NOME: CRISTINA GONZAGA ARANTES SILVA (LOCADORA / CPF: 847.302.006-59) - N/C
YURI BONETTI ALVES (LOCATÁRIO / DISSE SER IRMÃO DO TITULAR / CPF: 143.961.746-59) - N/C
ROSIMEIRY ALVES BONETTI (LOCATÁRIA / DISSE SER MÃE DO TITULAR / CPF: 076.879.106-56) - SOLICITOU INSTALAÇÃO CONOSCO EM 05/2023, MAS FOI APROVADO PARA O FILHO, JOSE FORTUNATO ALVES NETO.
GRPQA LTDA (IMOBILIÁRIA / CNPJ: 16.788.643/0001-81 - N/C
JOSE FORTUNATO ALVES NETO (TITULAR) - POSSUI CONEXÃO CONOSCO DESDE 05/2023, ATIVA E ADIMPLENTE.</t>
  </si>
  <si>
    <t>PLANO ATUAL: 600 MEGA/79,90 CONTRATADO EM 04/2025  COM FIDELIDADE DE 12 MESES. ROTEADOR: ONT TP-LINK XC230
PLANO OFERTADO: 600 MEGA/79,90. BENEFÍCIOS: ACESSO GRATUITO AO APP MZTV (CDNTV+)</t>
  </si>
  <si>
    <t>COMPROVANTE DE ENDEREÇO (CONTRATO DE LOCAÇÃO) EM ANEXO
NOME NO COMPROVANTE: ELIAMAR BARBOSA (DISSE SER SUA MÃE)</t>
  </si>
  <si>
    <t>ENDEREÇO NOVO: RUA JOAQUIM ROBERTO SOUZA, 64
COMPLEMENTO: CASA 3 FUNDOS
CEP: 38415309
BAIRRO: TOCANTINS</t>
  </si>
  <si>
    <t>MK END
REINALDO GONCALVES BANDEIRA (CASA FUNDO) 
CANCELADO POR INADIMPLENCIA EM 05/2022 
DEBITOS R$ 703,30 SENDO R$ 159,80 REFERENTE DUAS MENSALIDADES EM ABERTO, R$ 116,50 SOBRE MULTA POR QUEBRA DE CONTRATO E R$ 430,00 SOBRE EQUIPAMENTOS NÃO DEVOLVIDOS (ONU DATA + TP LINK C20) 
MK NOMES: 
 ELIAMAR BARBOSA (DISSE SER SUA MÃE) - N/C
 ELIAS RODRIGUES MENDES (LOCADOR)  - N/C</t>
  </si>
  <si>
    <t>MK END: N/C
MK NOMES: 
- JOSÉ TIAGO BARBOSA - CPF: 014.396.706-17 - LOCADOR  - N/C 
- JOSE VITOR SOUZA DA SILVA - CPF: 096.641.615-51 - LOCATÁRIO (ASSINANTE)- CLIENTE ATIVO E ADIMPLENTE COM A EMPRESA.
- THAIS CRISTINE SILVA - CPF: 103.987.476-28 - LOCATÁRIA (ESPOSA DE JOSE VITOR) - N/C.</t>
  </si>
  <si>
    <t>MUD END DONATO DA CONCEICAO FORTUNATO PROT:2606.21017 CARTAO (JOSÉ) - SEGISMUNDO PEREIRA</t>
  </si>
  <si>
    <t>MUD END + ALT PLANO CAMILA OLIMPIO DA SILVA PROT: ISENTO (IZABELA) - MINAS GERAIS   // *PENDENTE COMPROVANTE DE ENDEREÇO | ASSINATURA DO CONTRATO*</t>
  </si>
  <si>
    <t>MUD END + ALT PLANO YTALLO CUSTODIO DE MOURA PROT:2606.20244 ISENTO (HALYSON) - SANTA MÔNICA **PRÉDIO SEM PRUMADA - ENVIAR TÉCNICO DUPLADO** //  * 3 ANDARES E 3 APARTAMENTOS POR ANDAR*</t>
  </si>
  <si>
    <t>RESERVA MUD END + ALT PLANO JESSICA KENAUNA DA SILVA PROT:2606.21379 ISENTO (ANDREZA) - DONA ZULMIRA **PRÉDIO SEM PRUMADA** // *PEND. MENSALIDADE*</t>
  </si>
  <si>
    <t xml:space="preserve">MUD END WANSLEY GONCALVES DE PAULA PROT DINHEIRO (LUIS) </t>
  </si>
  <si>
    <t>MUD END CAMILA DAS NEVES TEIXEIRA PROT:2606.20663 CARTAO (VITOR M.) - JARDIM IPANEMA   *PENDENTE COMPROVANTE DE ENDEREÇO*</t>
  </si>
  <si>
    <t>RESERVA ANDREZA - JMD TRANSPORTES LTDA (TRANSPORTE KM)</t>
  </si>
  <si>
    <t>MUD END + ALT PLANO ARIADNE DE LIMA SOUZA PROT:2606.15101 ISENTO (JOSÉ Jr) - SANTA MÔNICA //</t>
  </si>
  <si>
    <t>CAMILA OLIMPIO DA SILVA</t>
  </si>
  <si>
    <t>YTALLO CUSTODIO DE MOURA</t>
  </si>
  <si>
    <t>DONATO DA CONCEICAO FORTUNATO</t>
  </si>
  <si>
    <t>JESSICA KENAUNA DA SILVA</t>
  </si>
  <si>
    <t>WANSLEY GONCALVES DE PAULA</t>
  </si>
  <si>
    <t>CAMILA DAS NEVES TEIXEIRA</t>
  </si>
  <si>
    <t>JMD TRANSPORTES LTDA (TRANSPORTE KM)</t>
  </si>
  <si>
    <t>ARIADNE DE LIMA SOUZA</t>
  </si>
  <si>
    <t>ENDEREÇO NOVO: RUA AMARAL COUTINHO, 253
COMPLEMENTO: CASA ÚNICA
CEP: 38402182
BAIRRO: MINAS GERAIS</t>
  </si>
  <si>
    <t>ENDEREÇO NOVO: AVENIDA BELARMINO COTTA PACHECO, 3621 
COMPLEMENTO: CASA FRENTE
CEP: 38408279
BAIRRO: SEGISMUNDO PEREIRA</t>
  </si>
  <si>
    <t>COMPROVANTE DE ENDEREÇO (CEMIG) EM ANEXO.
NOME NO COMPROVANTE:  GENI DE FATIMA DE OLIVEIRA (CLIENTE INFORMA QUE É O MORADOR ANTIGO)</t>
  </si>
  <si>
    <t>MK END:N/C
MK NOMES:
   GENI DE FATIMA DE OLIVEIRA CPF: 478.7**-***-**(CLIENTE INFORMA QUE É O MORADOR ANTIGO)N/C</t>
  </si>
  <si>
    <t>COMPROVANTE DE ENDEREÇO (CONTRATO DE LOCAÇÃO) EM ANEXO
NOME NO COMPROVANTE: YTALLO CUSTÓDIO DE MOURA (ASSINANTE)</t>
  </si>
  <si>
    <t>ENDEREÇO NOVO: RUA JOÃO PEREIRA DA SILVA, 310
COMPLEMENTO: APTO 302
CEP: 38408198
BAIRRO: SANTA MÔNICA</t>
  </si>
  <si>
    <t>MK END: N/C
MK NOMES
* IVAN NEGÓCIOS IMOBILIÁRIOS LTDA. 20.869.012/0001-64 (ADMINISTRADORA DO IMÓVEL): N/C
* YTALLO CUSTÓDIO DE MOURA 100.387.166-66 (LOCATÁRIO E ASSINANTE): POSSUI CONEXÃO ATIVA E ADIMPLENTE.
* HELTON LUIZ DOMINONI 561.897.539-49 (LOCADOR): N/C
* ANA CELIA MONTEIRO GERHARDT DOMINONI 527.434.381-34 (CÔNJUGE DO LOCADOR): N/C
* IVAN GRACIANO DA COSTA FILHO 040.246.836-83 (SÓCIO GERENTE E REPRESENTANTE DA ADMINISTRADORA): N/C
* RICARDO GRACIANO DA COSTA 042.613.186-01 (REPRESENTANTE DA ADMINISTRADORA): N/C
* VICENTE PAULO FERREIRA 435.173.826-04 (PROCURADOR DA ADMINISTRADORA): N/C
* JOYCE APARECIDA DIAS 058.367.476-36 (PROCURADORA E SIGNATÁRIA DA ADMINISTRADORA): N/C
* JOSE CARLOS CUSTODIO DE MOURA 550.414.856-15 (FIADOR): N/C
* FAIGA MARIA DE MOURA 581.058.596-53 (FIADORA E ESPOSA DO FIADOR): N/C
* SABRINA VILELA DE SOUZA (CPF NÃO MENCIONADO), RESPONSÁVEL PELA CRIAÇÃO E INÍCIO DAS ASSINATURAS ELETRÔNICAS: PROCESSO DE ADESÃO CANCELADO PELO CLIENTE EM 03/08/2022. 
NÃO IDENTIFICADO MOTIVO
  END: RUA BAHIA, NÚMERO 1978, MARTA HELENA, UBERLÂNDIA.
* CAROLINE ANDRADE SILVEIRA (CPF NÃO MENCIONADO), RESPONSÁVEL PELA ALTERAÇÃO DE SIGNATÁRIO NO PROCESSO DE ASSINATURA ELETRÔNICA: CANCELAMENTO POR TROCA DE TITULARIDADE PARA SERGIO MURILO MARTINS.
  END: RUA MIGUEL ROCHA DOS SANTOS, NÚMERO 520, APT. 104, ED. PATRÍCIA, SANTA MÔNICA, UBERLÂNDIA.
* SERGIO MURILO MARTINS: POSSUI 2 CONEXÕES ATIVAS E AMBAS ADIMPLENTES:
- SERGIO MURILO MARTINS: RUA MIGUEL ROCHA DOS SANTOS, NÚMERO 520, APT. 104, ED. PATRÍCIA, SANTA MÔNICA, UBERLÂNDIA.
- SERGIO MURILO MARTINS (MARIA/MÃE): AVENIDA ARAGUARI, NÚMERO 1106, MARTINS, CASA FRENTE, UBERLÂNDIA.</t>
  </si>
  <si>
    <t>ENDEREÇO NOVO: RUA ANA MARRA MELAZO, 10
COMPLEMENTO: APTO 201
CEP: 38414-058
BAIRRO: DONA ZULMIRA</t>
  </si>
  <si>
    <t>PENDENTE MENSALIDADE
PENDENTE COMPROVANTE</t>
  </si>
  <si>
    <t>SEM PROTOCOLO E OS GERADOS</t>
  </si>
  <si>
    <t>ENDEREÇO NOVO: AVENIDA SIDERAL, 1845
COMPLEMENTO: CASA
CEP: 38406280
BAIRRO: JARDIM IPANEMA</t>
  </si>
  <si>
    <t>ENDEREÇO NOVO: RUA PEDRO JOSÉ SAMORA, 1369 
COMPLEMENTO: CONDOMÍNIO EDIFÍCIO JULIENE APT 101
CEP: 38408224
BAIRRO: SANTA MÔNICA</t>
  </si>
  <si>
    <t>PLANO ATUAL: 600 MEGA/79,90 CONTRATADO EM 06/2026 COM FIDELIDADE DE 12 MESES. ROTEADOR: ONT TP-LINK XC230
PLANO OFERTADO: 600 MEGA/79,90. BENEFÍCIOS: ACESSO GRATUITO AO APP MZTV (CDNTV+)</t>
  </si>
  <si>
    <t>COMPROVANTE DE ENDEREÇO (CONTRATO DE LOCAÇÃO) EM ANEXO
NOME NO COMPROVANTE: ERICA FLÁVIA DE LIMA SOUZA (MÃE)</t>
  </si>
  <si>
    <t>MK END:N/C
MK NOMES:
  FLAVIA AUGUSTO GOMES – CPF 057.440.396-51 (LOCADOR)N/C
  ERICA FLÁVIA DE LIMA SOUZA – CPF 185.576.458-05 (LOCATÁRIO)MÃE DA TITULAR N/C
  IVAN GRACIANO DA COSTA FILHO – CPF 040.246.836-83 (SÓCIO GERENTE DA ADMINISTRADORA)N/C
  RICARDO GRACIANO DA COSTA – CPF 042.613.186-01 (PROCURADOR/ADVOGADO DA ADMINISTRADORA)N/C
  VICENTE PAULO FERREIRA – CPF 435.173.826-04 (PROCURADOR DA ADMINISTRADORA)N/C
  JOYCE APARECIDA DIAS – CPF 058.367.476-36 (PROCURADORA DA ADMINISTRADORA)N/C
  TAIZ LAMARA BALESTERE TEIXEIRA ALVES – CPF 320.333.798-33 (PROCURADORA DA ADMINISTRADORA)N/C</t>
  </si>
  <si>
    <r>
      <rPr>
        <b/>
        <sz val="14"/>
        <color rgb="FFFF0000"/>
        <rFont val="Consolas"/>
        <family val="3"/>
      </rPr>
      <t xml:space="preserve">**ANTECIPAÇÕES**
</t>
    </r>
    <r>
      <rPr>
        <b/>
        <sz val="14"/>
        <color rgb="FF000000"/>
        <rFont val="Consolas"/>
        <family val="3"/>
      </rPr>
      <t>- VALIDAR DADOS NA LIGAÇÃO
- ENVIAR NO GRUPO "TREINAMENTO"
- INFORMAR QUE SE SURGIR VAGA QUE ENTRAREMOS EM CONTATO PARA - INFORMAR E VERIFICAR DISPONIBILIDADE DO CLIENTE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</si>
</sst>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F800]dddd\,\ mmmm\ dd\,\ yyyy"/>
    <numFmt numFmtId="166" formatCode="_-[$R$-416]\ * #,##0.00_-;\-[$R$-416]\ * #,##0.00_-;_-[$R$-416]\ * &quot;-&quot;??_-;_-@_-"/>
  </numFmts>
  <fonts count="36" x14ac:knownFonts="1">
    <font>
      <sz val="11"/>
      <color theme="1"/>
      <name val="Aptos Narrow"/>
      <family val="2"/>
      <scheme val="minor"/>
    </font>
    <font>
      <sz val="16"/>
      <color theme="1"/>
      <name val="Consolas"/>
      <family val="3"/>
    </font>
    <font>
      <sz val="12"/>
      <color theme="1"/>
      <name val="Consolas"/>
      <family val="3"/>
    </font>
    <font>
      <b/>
      <sz val="12"/>
      <color theme="0"/>
      <name val="Consolas"/>
      <family val="3"/>
    </font>
    <font>
      <b/>
      <sz val="12"/>
      <color theme="1"/>
      <name val="Consolas"/>
      <family val="3"/>
    </font>
    <font>
      <sz val="14"/>
      <color theme="1"/>
      <name val="Consolas"/>
      <family val="3"/>
    </font>
    <font>
      <sz val="12"/>
      <color theme="0"/>
      <name val="Consolas"/>
      <family val="3"/>
    </font>
    <font>
      <sz val="12"/>
      <color rgb="FFFF0000"/>
      <name val="Consolas"/>
      <family val="3"/>
    </font>
    <font>
      <b/>
      <sz val="12"/>
      <color rgb="FFFF0000"/>
      <name val="Consolas"/>
      <family val="3"/>
    </font>
    <font>
      <sz val="14"/>
      <color rgb="FFFF0000"/>
      <name val="Consolas"/>
      <family val="3"/>
    </font>
    <font>
      <sz val="12"/>
      <color theme="1"/>
      <name val="Calibri"/>
      <family val="2"/>
    </font>
    <font>
      <b/>
      <sz val="14"/>
      <color rgb="FF002060"/>
      <name val="Verdana"/>
      <family val="2"/>
    </font>
    <font>
      <sz val="14"/>
      <color theme="0"/>
      <name val="Verdana"/>
      <family val="2"/>
    </font>
    <font>
      <b/>
      <sz val="14"/>
      <color theme="0"/>
      <name val="Verdana"/>
      <family val="2"/>
    </font>
    <font>
      <sz val="14"/>
      <color theme="1"/>
      <name val="Verdana"/>
      <family val="2"/>
    </font>
    <font>
      <b/>
      <sz val="14"/>
      <color theme="1"/>
      <name val="Verdana"/>
      <family val="2"/>
    </font>
    <font>
      <sz val="14"/>
      <color rgb="FF000000"/>
      <name val="Verdana"/>
      <family val="2"/>
    </font>
    <font>
      <b/>
      <sz val="14"/>
      <color rgb="FFFF0000"/>
      <name val="Verdana"/>
      <family val="2"/>
    </font>
    <font>
      <b/>
      <sz val="14"/>
      <color rgb="FF000000"/>
      <name val="Verdana"/>
      <family val="2"/>
    </font>
    <font>
      <vertAlign val="subscript"/>
      <sz val="14"/>
      <color rgb="FF000000"/>
      <name val="Verdana"/>
      <family val="2"/>
    </font>
    <font>
      <vertAlign val="superscript"/>
      <sz val="14"/>
      <color rgb="FF000000"/>
      <name val="Verdana"/>
      <family val="2"/>
    </font>
    <font>
      <sz val="14"/>
      <color rgb="FFFF0000"/>
      <name val="Verdana"/>
      <family val="2"/>
    </font>
    <font>
      <i/>
      <sz val="14"/>
      <color rgb="FF000000"/>
      <name val="Verdana"/>
      <family val="2"/>
    </font>
    <font>
      <b/>
      <sz val="14"/>
      <color rgb="FF0070C0"/>
      <name val="Verdana"/>
      <family val="2"/>
    </font>
    <font>
      <sz val="14"/>
      <color rgb="FF9C0006"/>
      <name val="Verdana"/>
      <family val="2"/>
    </font>
    <font>
      <b/>
      <sz val="14"/>
      <color rgb="FF006100"/>
      <name val="Verdana"/>
      <family val="2"/>
    </font>
    <font>
      <b/>
      <sz val="14"/>
      <color rgb="FF9C0006"/>
      <name val="Verdana"/>
      <family val="2"/>
    </font>
    <font>
      <sz val="14"/>
      <color rgb="FF9C5700"/>
      <name val="Verdana"/>
      <family val="2"/>
    </font>
    <font>
      <sz val="14"/>
      <color rgb="FFA02B93"/>
      <name val="Verdana"/>
      <family val="2"/>
    </font>
    <font>
      <sz val="14"/>
      <color rgb="FF006100"/>
      <name val="Verdana"/>
      <family val="2"/>
    </font>
    <font>
      <b/>
      <sz val="11"/>
      <color rgb="FFFF0000"/>
      <name val="Calibri"/>
      <family val="2"/>
    </font>
    <font>
      <i/>
      <sz val="14"/>
      <color theme="1"/>
      <name val="Verdana"/>
      <family val="2"/>
    </font>
    <font>
      <b/>
      <sz val="14"/>
      <color theme="0"/>
      <name val="Consolas"/>
      <family val="3"/>
    </font>
    <font>
      <b/>
      <sz val="14"/>
      <color theme="1"/>
      <name val="Consolas"/>
      <family val="3"/>
    </font>
    <font>
      <b/>
      <sz val="14"/>
      <color rgb="FFFF0000"/>
      <name val="Consolas"/>
      <family val="3"/>
    </font>
    <font>
      <b/>
      <sz val="14"/>
      <color rgb="FF000000"/>
      <name val="Consolas"/>
      <family val="3"/>
    </font>
  </fonts>
  <fills count="21">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ED8C97"/>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5F7A8"/>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rgb="FFFFC7CE"/>
        <bgColor rgb="FF000000"/>
      </patternFill>
    </fill>
    <fill>
      <patternFill patternType="solid">
        <fgColor rgb="FFF2CEEF"/>
        <bgColor rgb="FF000000"/>
      </patternFill>
    </fill>
    <fill>
      <patternFill patternType="solid">
        <fgColor rgb="FFFFEB9C"/>
        <bgColor rgb="FF000000"/>
      </patternFill>
    </fill>
    <fill>
      <patternFill patternType="solid">
        <fgColor rgb="FFC6EFCE"/>
        <bgColor rgb="FF000000"/>
      </patternFill>
    </fill>
    <fill>
      <patternFill patternType="solid">
        <fgColor rgb="FFF5F7A8"/>
        <bgColor rgb="FF000000"/>
      </patternFill>
    </fill>
    <fill>
      <patternFill patternType="solid">
        <fgColor rgb="FFE49EDD"/>
        <bgColor rgb="FF000000"/>
      </patternFill>
    </fill>
    <fill>
      <patternFill patternType="solid">
        <fgColor theme="8" tint="0.79998168889431442"/>
        <bgColor rgb="FF000000"/>
      </patternFill>
    </fill>
    <fill>
      <patternFill patternType="solid">
        <fgColor rgb="FFFFFF00"/>
        <bgColor rgb="FF000000"/>
      </patternFill>
    </fill>
    <fill>
      <patternFill patternType="solid">
        <fgColor rgb="FFED8C97"/>
        <bgColor rgb="FF000000"/>
      </patternFill>
    </fill>
  </fills>
  <borders count="38">
    <border>
      <left/>
      <right/>
      <top/>
      <bottom/>
      <diagonal/>
    </border>
    <border>
      <left style="hair">
        <color auto="1"/>
      </left>
      <right style="hair">
        <color auto="1"/>
      </right>
      <top style="hair">
        <color auto="1"/>
      </top>
      <bottom style="hair">
        <color auto="1"/>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auto="1"/>
      </left>
      <right/>
      <top/>
      <bottom/>
      <diagonal/>
    </border>
    <border>
      <left style="dotted">
        <color theme="1" tint="0.499984740745262"/>
      </left>
      <right/>
      <top style="dotted">
        <color theme="1" tint="0.499984740745262"/>
      </top>
      <bottom/>
      <diagonal/>
    </border>
    <border>
      <left/>
      <right/>
      <top style="dotted">
        <color theme="1" tint="0.499984740745262"/>
      </top>
      <bottom/>
      <diagonal/>
    </border>
    <border>
      <left/>
      <right style="dotted">
        <color theme="1" tint="0.499984740745262"/>
      </right>
      <top style="dotted">
        <color theme="1" tint="0.499984740745262"/>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dotted">
        <color theme="1" tint="0.499984740745262"/>
      </left>
      <right/>
      <top/>
      <bottom/>
      <diagonal/>
    </border>
    <border>
      <left/>
      <right style="dotted">
        <color theme="1" tint="0.499984740745262"/>
      </right>
      <top/>
      <bottom/>
      <diagonal/>
    </border>
    <border>
      <left/>
      <right/>
      <top style="hair">
        <color auto="1"/>
      </top>
      <bottom/>
      <diagonal/>
    </border>
    <border>
      <left style="dotted">
        <color theme="1" tint="0.499984740745262"/>
      </left>
      <right/>
      <top style="dotted">
        <color theme="1" tint="0.499984740745262"/>
      </top>
      <bottom style="dotted">
        <color theme="1" tint="0.499984740745262"/>
      </bottom>
      <diagonal/>
    </border>
    <border>
      <left style="thin">
        <color indexed="64"/>
      </left>
      <right style="thin">
        <color indexed="64"/>
      </right>
      <top style="thin">
        <color indexed="64"/>
      </top>
      <bottom style="thin">
        <color indexed="64"/>
      </bottom>
      <diagonal/>
    </border>
    <border>
      <left style="hair">
        <color auto="1"/>
      </left>
      <right style="hair">
        <color auto="1"/>
      </right>
      <top/>
      <bottom/>
      <diagonal/>
    </border>
    <border>
      <left style="hair">
        <color theme="0" tint="-0.499984740745262"/>
      </left>
      <right style="hair">
        <color theme="0" tint="-0.499984740745262"/>
      </right>
      <top style="hair">
        <color theme="0" tint="-0.499984740745262"/>
      </top>
      <bottom/>
      <diagonal/>
    </border>
    <border>
      <left style="dotted">
        <color theme="1" tint="0.499984740745262"/>
      </left>
      <right style="dotted">
        <color theme="1" tint="0.499984740745262"/>
      </right>
      <top style="dotted">
        <color theme="1" tint="0.499984740745262"/>
      </top>
      <bottom/>
      <diagonal/>
    </border>
    <border>
      <left style="dotted">
        <color theme="1" tint="0.499984740745262"/>
      </left>
      <right style="dotted">
        <color theme="1" tint="0.499984740745262"/>
      </right>
      <top/>
      <bottom/>
      <diagonal/>
    </border>
    <border>
      <left style="dotted">
        <color theme="1" tint="0.499984740745262"/>
      </left>
      <right style="dotted">
        <color theme="1" tint="0.499984740745262"/>
      </right>
      <top/>
      <bottom style="dotted">
        <color theme="1" tint="0.499984740745262"/>
      </bottom>
      <diagonal/>
    </border>
    <border>
      <left style="hair">
        <color auto="1"/>
      </left>
      <right style="hair">
        <color auto="1"/>
      </right>
      <top style="hair">
        <color auto="1"/>
      </top>
      <bottom/>
      <diagonal/>
    </border>
    <border>
      <left style="dotted">
        <color theme="1" tint="0.499984740745262"/>
      </left>
      <right/>
      <top/>
      <bottom style="dotted">
        <color theme="1" tint="0.499984740745262"/>
      </bottom>
      <diagonal/>
    </border>
    <border>
      <left/>
      <right style="dotted">
        <color theme="1" tint="0.499984740745262"/>
      </right>
      <top/>
      <bottom style="dotted">
        <color theme="1" tint="0.499984740745262"/>
      </bottom>
      <diagonal/>
    </border>
    <border>
      <left/>
      <right/>
      <top/>
      <bottom style="dotted">
        <color theme="1" tint="0.499984740745262"/>
      </bottom>
      <diagonal/>
    </border>
    <border>
      <left style="hair">
        <color theme="0" tint="-0.34998626667073579"/>
      </left>
      <right style="hair">
        <color theme="0" tint="-0.34998626667073579"/>
      </right>
      <top style="hair">
        <color theme="0" tint="-0.34998626667073579"/>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double">
        <color rgb="FF000000"/>
      </bottom>
      <diagonal/>
    </border>
    <border>
      <left/>
      <right/>
      <top/>
      <bottom style="double">
        <color rgb="FF000000"/>
      </bottom>
      <diagonal/>
    </border>
    <border>
      <left/>
      <right/>
      <top/>
      <bottom style="thin">
        <color rgb="FF000000"/>
      </bottom>
      <diagonal/>
    </border>
    <border>
      <left/>
      <right style="dotted">
        <color theme="1" tint="0.499984740745262"/>
      </right>
      <top style="dotted">
        <color theme="1" tint="0.499984740745262"/>
      </top>
      <bottom style="dotted">
        <color theme="1" tint="0.499984740745262"/>
      </bottom>
      <diagonal/>
    </border>
  </borders>
  <cellStyleXfs count="1">
    <xf numFmtId="0" fontId="0" fillId="0" borderId="0"/>
  </cellStyleXfs>
  <cellXfs count="360">
    <xf numFmtId="0" fontId="0" fillId="0" borderId="0" xfId="0"/>
    <xf numFmtId="0" fontId="2" fillId="0" borderId="0" xfId="0" applyFont="1"/>
    <xf numFmtId="0" fontId="3" fillId="2" borderId="0" xfId="0" applyFont="1" applyFill="1" applyAlignment="1">
      <alignment horizontal="right"/>
    </xf>
    <xf numFmtId="165" fontId="3" fillId="2" borderId="0" xfId="0" applyNumberFormat="1" applyFont="1" applyFill="1" applyAlignment="1">
      <alignment horizontal="center"/>
    </xf>
    <xf numFmtId="0" fontId="2" fillId="0" borderId="1" xfId="0" applyFont="1" applyBorder="1"/>
    <xf numFmtId="0" fontId="4" fillId="0" borderId="2" xfId="0" applyFont="1" applyBorder="1" applyAlignment="1">
      <alignment horizontal="left" vertical="center" wrapText="1"/>
    </xf>
    <xf numFmtId="0" fontId="3" fillId="2" borderId="0" xfId="0" applyFont="1" applyFill="1"/>
    <xf numFmtId="0" fontId="4" fillId="4" borderId="2" xfId="0" applyFont="1" applyFill="1" applyBorder="1" applyAlignment="1">
      <alignment horizontal="left" vertical="center" wrapText="1"/>
    </xf>
    <xf numFmtId="0" fontId="3" fillId="2" borderId="1" xfId="0" applyFont="1" applyFill="1" applyBorder="1" applyAlignment="1">
      <alignment vertical="center"/>
    </xf>
    <xf numFmtId="0" fontId="2" fillId="0" borderId="1" xfId="0" applyFont="1" applyBorder="1" applyAlignment="1">
      <alignment horizontal="center" vertical="center"/>
    </xf>
    <xf numFmtId="0" fontId="3" fillId="2" borderId="1" xfId="0" applyFont="1" applyFill="1" applyBorder="1"/>
    <xf numFmtId="14" fontId="2" fillId="4" borderId="1" xfId="0" applyNumberFormat="1" applyFont="1" applyFill="1" applyBorder="1" applyAlignment="1">
      <alignment horizontal="center" vertical="center"/>
    </xf>
    <xf numFmtId="0" fontId="5" fillId="4" borderId="2" xfId="0" applyFont="1" applyFill="1" applyBorder="1" applyAlignment="1">
      <alignment horizontal="left" vertical="center" wrapText="1"/>
    </xf>
    <xf numFmtId="164" fontId="2" fillId="4" borderId="1" xfId="0" applyNumberFormat="1" applyFont="1" applyFill="1" applyBorder="1" applyAlignment="1">
      <alignment horizontal="center" vertical="center"/>
    </xf>
    <xf numFmtId="16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16" fontId="2" fillId="0" borderId="0" xfId="0" applyNumberFormat="1" applyFont="1"/>
    <xf numFmtId="0" fontId="2" fillId="4" borderId="2" xfId="0" applyFont="1" applyFill="1" applyBorder="1" applyAlignment="1">
      <alignment horizontal="left" vertical="center" wrapText="1"/>
    </xf>
    <xf numFmtId="0" fontId="4" fillId="0" borderId="12" xfId="0" applyFont="1" applyBorder="1" applyAlignment="1">
      <alignment horizontal="right" vertical="center"/>
    </xf>
    <xf numFmtId="0" fontId="3" fillId="2" borderId="14" xfId="0" applyFont="1" applyFill="1" applyBorder="1"/>
    <xf numFmtId="0" fontId="6" fillId="2" borderId="0" xfId="0" applyFont="1" applyFill="1"/>
    <xf numFmtId="20" fontId="2" fillId="0" borderId="0" xfId="0" applyNumberFormat="1" applyFont="1"/>
    <xf numFmtId="0" fontId="3" fillId="2" borderId="19" xfId="0" applyFont="1" applyFill="1" applyBorder="1"/>
    <xf numFmtId="0" fontId="2" fillId="0" borderId="0" xfId="0" applyFont="1" applyAlignment="1">
      <alignment vertical="center" wrapText="1"/>
    </xf>
    <xf numFmtId="166" fontId="2" fillId="0" borderId="0" xfId="0" quotePrefix="1" applyNumberFormat="1" applyFont="1"/>
    <xf numFmtId="14" fontId="8" fillId="4" borderId="1" xfId="0" applyNumberFormat="1" applyFont="1" applyFill="1" applyBorder="1" applyAlignment="1">
      <alignment horizontal="center" vertical="center"/>
    </xf>
    <xf numFmtId="0" fontId="10" fillId="10" borderId="0" xfId="0" applyFont="1" applyFill="1" applyAlignment="1">
      <alignment wrapText="1"/>
    </xf>
    <xf numFmtId="14" fontId="11" fillId="9" borderId="24" xfId="0" applyNumberFormat="1" applyFont="1" applyFill="1" applyBorder="1" applyAlignment="1">
      <alignment horizontal="center" vertical="center"/>
    </xf>
    <xf numFmtId="165" fontId="11" fillId="9" borderId="26" xfId="0" applyNumberFormat="1" applyFont="1" applyFill="1" applyBorder="1" applyAlignment="1">
      <alignment horizontal="center" vertical="center"/>
    </xf>
    <xf numFmtId="14" fontId="11" fillId="8" borderId="24" xfId="0" applyNumberFormat="1" applyFont="1" applyFill="1" applyBorder="1" applyAlignment="1">
      <alignment horizontal="center" vertical="center"/>
    </xf>
    <xf numFmtId="165" fontId="11" fillId="8" borderId="26" xfId="0" applyNumberFormat="1" applyFont="1" applyFill="1" applyBorder="1" applyAlignment="1">
      <alignment horizontal="center" vertical="center"/>
    </xf>
    <xf numFmtId="0" fontId="12" fillId="2" borderId="23" xfId="0" applyFont="1" applyFill="1" applyBorder="1" applyAlignment="1">
      <alignment horizontal="center" vertical="center"/>
    </xf>
    <xf numFmtId="0" fontId="12" fillId="2" borderId="23" xfId="0" applyFont="1" applyFill="1" applyBorder="1" applyAlignment="1">
      <alignment horizontal="center" vertical="center" wrapText="1"/>
    </xf>
    <xf numFmtId="14" fontId="12" fillId="2" borderId="23" xfId="0" applyNumberFormat="1" applyFont="1" applyFill="1" applyBorder="1" applyAlignment="1">
      <alignment horizontal="center" vertical="center"/>
    </xf>
    <xf numFmtId="165" fontId="12" fillId="2" borderId="23" xfId="0" applyNumberFormat="1" applyFont="1" applyFill="1" applyBorder="1" applyAlignment="1">
      <alignment horizontal="center" vertical="center"/>
    </xf>
    <xf numFmtId="0" fontId="13" fillId="2" borderId="23" xfId="0" applyFont="1" applyFill="1" applyBorder="1" applyAlignment="1">
      <alignment horizontal="center" vertical="center"/>
    </xf>
    <xf numFmtId="0" fontId="12" fillId="2" borderId="0" xfId="0" applyFont="1" applyFill="1" applyAlignment="1">
      <alignment horizontal="center" vertical="center"/>
    </xf>
    <xf numFmtId="0" fontId="14" fillId="6" borderId="24" xfId="0" applyFont="1" applyFill="1" applyBorder="1" applyAlignment="1">
      <alignment horizontal="left" vertical="top"/>
    </xf>
    <xf numFmtId="0" fontId="14" fillId="6" borderId="24" xfId="0" applyFont="1" applyFill="1" applyBorder="1" applyAlignment="1">
      <alignment horizontal="center" vertical="center"/>
    </xf>
    <xf numFmtId="0" fontId="14" fillId="6" borderId="24" xfId="0" applyFont="1" applyFill="1" applyBorder="1" applyAlignment="1">
      <alignment vertical="center" wrapText="1"/>
    </xf>
    <xf numFmtId="0" fontId="15" fillId="6" borderId="24" xfId="0" applyFont="1" applyFill="1" applyBorder="1" applyAlignment="1">
      <alignment horizontal="center" vertical="center"/>
    </xf>
    <xf numFmtId="14" fontId="14" fillId="6" borderId="24" xfId="0" applyNumberFormat="1" applyFont="1" applyFill="1" applyBorder="1" applyAlignment="1">
      <alignment horizontal="center" vertical="center"/>
    </xf>
    <xf numFmtId="165" fontId="14" fillId="6" borderId="26" xfId="0" applyNumberFormat="1" applyFont="1" applyFill="1" applyBorder="1" applyAlignment="1">
      <alignment horizontal="center" vertical="center"/>
    </xf>
    <xf numFmtId="20" fontId="14" fillId="6" borderId="24" xfId="0" applyNumberFormat="1" applyFont="1" applyFill="1" applyBorder="1" applyAlignment="1">
      <alignment horizontal="center" vertical="center"/>
    </xf>
    <xf numFmtId="0" fontId="14" fillId="6" borderId="26" xfId="0" applyFont="1" applyFill="1" applyBorder="1" applyAlignment="1">
      <alignment horizontal="center" vertical="center"/>
    </xf>
    <xf numFmtId="0" fontId="14" fillId="0" borderId="0" xfId="0" applyFont="1" applyAlignment="1">
      <alignment horizontal="center" vertical="center"/>
    </xf>
    <xf numFmtId="0" fontId="16" fillId="7" borderId="28" xfId="0" applyFont="1" applyFill="1" applyBorder="1" applyAlignment="1">
      <alignment horizontal="left" vertical="top"/>
    </xf>
    <xf numFmtId="0" fontId="14" fillId="0" borderId="24" xfId="0" applyFont="1" applyBorder="1" applyAlignment="1">
      <alignment horizontal="center" vertical="center"/>
    </xf>
    <xf numFmtId="0" fontId="14" fillId="0" borderId="24" xfId="0" applyFont="1" applyBorder="1" applyAlignment="1">
      <alignment vertical="center" wrapText="1"/>
    </xf>
    <xf numFmtId="0" fontId="15" fillId="4" borderId="24" xfId="0" applyFont="1" applyFill="1" applyBorder="1" applyAlignment="1">
      <alignment horizontal="center" vertical="center"/>
    </xf>
    <xf numFmtId="14" fontId="14" fillId="0" borderId="24" xfId="0" applyNumberFormat="1" applyFont="1" applyBorder="1" applyAlignment="1">
      <alignment horizontal="center" vertical="center"/>
    </xf>
    <xf numFmtId="165" fontId="14" fillId="8" borderId="26" xfId="0" applyNumberFormat="1" applyFont="1" applyFill="1" applyBorder="1" applyAlignment="1">
      <alignment horizontal="center" vertical="center"/>
    </xf>
    <xf numFmtId="20" fontId="14" fillId="0" borderId="24" xfId="0" applyNumberFormat="1" applyFont="1" applyBorder="1" applyAlignment="1">
      <alignment horizontal="center" vertical="center"/>
    </xf>
    <xf numFmtId="0" fontId="15" fillId="8" borderId="24" xfId="0" applyFont="1" applyFill="1" applyBorder="1" applyAlignment="1">
      <alignment horizontal="center" vertical="center"/>
    </xf>
    <xf numFmtId="0" fontId="14" fillId="0" borderId="26" xfId="0" applyFont="1" applyBorder="1" applyAlignment="1">
      <alignment horizontal="center" vertical="center"/>
    </xf>
    <xf numFmtId="0" fontId="14" fillId="8" borderId="0" xfId="0" applyFont="1" applyFill="1" applyAlignment="1">
      <alignment horizontal="center" vertical="center"/>
    </xf>
    <xf numFmtId="0" fontId="16" fillId="8" borderId="24" xfId="0" applyFont="1" applyFill="1" applyBorder="1" applyAlignment="1">
      <alignment horizontal="left" vertical="top"/>
    </xf>
    <xf numFmtId="0" fontId="14" fillId="8" borderId="24" xfId="0" applyFont="1" applyFill="1" applyBorder="1" applyAlignment="1">
      <alignment horizontal="center" vertical="center"/>
    </xf>
    <xf numFmtId="0" fontId="14" fillId="8" borderId="24" xfId="0" applyFont="1" applyFill="1" applyBorder="1" applyAlignment="1">
      <alignment vertical="center" wrapText="1"/>
    </xf>
    <xf numFmtId="14" fontId="14" fillId="8" borderId="24" xfId="0" applyNumberFormat="1" applyFont="1" applyFill="1" applyBorder="1" applyAlignment="1">
      <alignment horizontal="center" vertical="center"/>
    </xf>
    <xf numFmtId="20" fontId="14" fillId="8" borderId="24" xfId="0" applyNumberFormat="1" applyFont="1" applyFill="1" applyBorder="1" applyAlignment="1">
      <alignment horizontal="center" vertical="center"/>
    </xf>
    <xf numFmtId="0" fontId="14" fillId="8" borderId="26" xfId="0" applyFont="1" applyFill="1" applyBorder="1" applyAlignment="1">
      <alignment horizontal="center" vertical="center"/>
    </xf>
    <xf numFmtId="0" fontId="16" fillId="8" borderId="27" xfId="0" applyFont="1" applyFill="1" applyBorder="1" applyAlignment="1">
      <alignment horizontal="left" vertical="top"/>
    </xf>
    <xf numFmtId="0" fontId="16" fillId="8" borderId="0" xfId="0" applyFont="1" applyFill="1" applyAlignment="1">
      <alignment horizontal="left" vertical="top"/>
    </xf>
    <xf numFmtId="0" fontId="14" fillId="8" borderId="24" xfId="0" applyFont="1" applyFill="1" applyBorder="1" applyAlignment="1">
      <alignment horizontal="left"/>
    </xf>
    <xf numFmtId="0" fontId="15" fillId="8" borderId="24" xfId="0" quotePrefix="1" applyFont="1" applyFill="1" applyBorder="1" applyAlignment="1">
      <alignment horizontal="center" vertical="center"/>
    </xf>
    <xf numFmtId="0" fontId="16" fillId="8" borderId="30" xfId="0" applyFont="1" applyFill="1" applyBorder="1" applyAlignment="1">
      <alignment horizontal="left" vertical="top"/>
    </xf>
    <xf numFmtId="0" fontId="16" fillId="8" borderId="25" xfId="0" applyFont="1" applyFill="1" applyBorder="1" applyAlignment="1">
      <alignment horizontal="left" vertical="top"/>
    </xf>
    <xf numFmtId="0" fontId="16" fillId="8" borderId="24" xfId="0" applyFont="1" applyFill="1" applyBorder="1" applyAlignment="1">
      <alignment horizontal="left"/>
    </xf>
    <xf numFmtId="0" fontId="18" fillId="8" borderId="24" xfId="0" applyFont="1" applyFill="1" applyBorder="1" applyAlignment="1">
      <alignment horizontal="left" vertical="top"/>
    </xf>
    <xf numFmtId="0" fontId="14" fillId="8" borderId="25" xfId="0" applyFont="1" applyFill="1" applyBorder="1" applyAlignment="1">
      <alignment horizontal="left" vertical="top"/>
    </xf>
    <xf numFmtId="0" fontId="14" fillId="8" borderId="27" xfId="0" applyFont="1" applyFill="1" applyBorder="1" applyAlignment="1">
      <alignment horizontal="left"/>
    </xf>
    <xf numFmtId="0" fontId="14" fillId="8" borderId="24" xfId="0" applyFont="1" applyFill="1" applyBorder="1" applyAlignment="1">
      <alignment horizontal="left" vertical="top"/>
    </xf>
    <xf numFmtId="0" fontId="16" fillId="9" borderId="24" xfId="0" applyFont="1" applyFill="1" applyBorder="1" applyAlignment="1">
      <alignment horizontal="left"/>
    </xf>
    <xf numFmtId="0" fontId="14" fillId="9" borderId="24" xfId="0" applyFont="1" applyFill="1" applyBorder="1" applyAlignment="1">
      <alignment horizontal="center" vertical="center"/>
    </xf>
    <xf numFmtId="0" fontId="14" fillId="9" borderId="24" xfId="0" applyFont="1" applyFill="1" applyBorder="1" applyAlignment="1">
      <alignment vertical="center" wrapText="1"/>
    </xf>
    <xf numFmtId="0" fontId="15" fillId="9" borderId="24" xfId="0" quotePrefix="1" applyFont="1" applyFill="1" applyBorder="1" applyAlignment="1">
      <alignment horizontal="center" vertical="center"/>
    </xf>
    <xf numFmtId="20" fontId="14" fillId="9" borderId="24" xfId="0" applyNumberFormat="1" applyFont="1" applyFill="1" applyBorder="1" applyAlignment="1">
      <alignment horizontal="center" vertical="center"/>
    </xf>
    <xf numFmtId="0" fontId="15" fillId="9" borderId="24" xfId="0" applyFont="1" applyFill="1" applyBorder="1" applyAlignment="1">
      <alignment horizontal="center" vertical="center"/>
    </xf>
    <xf numFmtId="0" fontId="14" fillId="9" borderId="26" xfId="0" applyFont="1" applyFill="1" applyBorder="1" applyAlignment="1">
      <alignment horizontal="center" vertical="center"/>
    </xf>
    <xf numFmtId="0" fontId="14" fillId="9" borderId="24" xfId="0" applyFont="1" applyFill="1" applyBorder="1" applyAlignment="1">
      <alignment horizontal="left"/>
    </xf>
    <xf numFmtId="0" fontId="14" fillId="6" borderId="0" xfId="0" applyFont="1" applyFill="1" applyAlignment="1">
      <alignment horizontal="center" vertical="center"/>
    </xf>
    <xf numFmtId="0" fontId="16" fillId="7" borderId="24" xfId="0" applyFont="1" applyFill="1" applyBorder="1" applyAlignment="1">
      <alignment horizontal="left" vertical="top"/>
    </xf>
    <xf numFmtId="0" fontId="14" fillId="9" borderId="0" xfId="0" applyFont="1" applyFill="1" applyAlignment="1">
      <alignment horizontal="center" vertical="center"/>
    </xf>
    <xf numFmtId="0" fontId="15" fillId="9" borderId="24" xfId="0" applyFont="1" applyFill="1" applyBorder="1" applyAlignment="1">
      <alignment vertical="center" wrapText="1"/>
    </xf>
    <xf numFmtId="0" fontId="16" fillId="9" borderId="24" xfId="0" applyFont="1" applyFill="1" applyBorder="1" applyAlignment="1">
      <alignment horizontal="left" vertical="top"/>
    </xf>
    <xf numFmtId="0" fontId="16" fillId="6" borderId="24" xfId="0" applyFont="1" applyFill="1" applyBorder="1" applyAlignment="1">
      <alignment horizontal="left" vertical="top"/>
    </xf>
    <xf numFmtId="0" fontId="16" fillId="8" borderId="26" xfId="0" applyFont="1" applyFill="1" applyBorder="1" applyAlignment="1">
      <alignment horizontal="left" vertical="top"/>
    </xf>
    <xf numFmtId="0" fontId="16" fillId="6" borderId="24" xfId="0" applyFont="1" applyFill="1" applyBorder="1" applyAlignment="1">
      <alignment horizontal="left" vertical="top" wrapText="1"/>
    </xf>
    <xf numFmtId="0" fontId="15" fillId="6" borderId="24" xfId="0" applyFont="1" applyFill="1" applyBorder="1" applyAlignment="1">
      <alignment horizontal="center" vertical="center" wrapText="1"/>
    </xf>
    <xf numFmtId="0" fontId="14" fillId="6" borderId="24" xfId="0" applyFont="1" applyFill="1" applyBorder="1" applyAlignment="1">
      <alignment horizontal="center" vertical="center" wrapText="1"/>
    </xf>
    <xf numFmtId="0" fontId="14" fillId="9" borderId="24" xfId="0" applyFont="1" applyFill="1" applyBorder="1" applyAlignment="1">
      <alignment horizontal="left" vertical="top"/>
    </xf>
    <xf numFmtId="14" fontId="14" fillId="9" borderId="24" xfId="0" applyNumberFormat="1" applyFont="1" applyFill="1" applyBorder="1" applyAlignment="1">
      <alignment horizontal="center" vertical="center"/>
    </xf>
    <xf numFmtId="165" fontId="14" fillId="9" borderId="26" xfId="0" applyNumberFormat="1" applyFont="1" applyFill="1" applyBorder="1" applyAlignment="1">
      <alignment horizontal="center" vertical="center"/>
    </xf>
    <xf numFmtId="0" fontId="16" fillId="8" borderId="29" xfId="0" applyFont="1" applyFill="1" applyBorder="1" applyAlignment="1">
      <alignment horizontal="left" vertical="top"/>
    </xf>
    <xf numFmtId="0" fontId="16" fillId="8" borderId="24" xfId="0" applyFont="1" applyFill="1" applyBorder="1" applyAlignment="1">
      <alignment horizontal="center" vertical="center"/>
    </xf>
    <xf numFmtId="0" fontId="16" fillId="9" borderId="24" xfId="0" applyFont="1" applyFill="1" applyBorder="1" applyAlignment="1">
      <alignment horizontal="center" vertical="center"/>
    </xf>
    <xf numFmtId="0" fontId="16" fillId="6" borderId="26" xfId="0" applyFont="1" applyFill="1" applyBorder="1" applyAlignment="1">
      <alignment horizontal="left" vertical="top"/>
    </xf>
    <xf numFmtId="0" fontId="16" fillId="8" borderId="26" xfId="0" applyFont="1" applyFill="1" applyBorder="1" applyAlignment="1">
      <alignment horizontal="left" vertical="center"/>
    </xf>
    <xf numFmtId="0" fontId="16" fillId="6" borderId="27" xfId="0" applyFont="1" applyFill="1" applyBorder="1" applyAlignment="1">
      <alignment horizontal="left" vertical="top"/>
    </xf>
    <xf numFmtId="0" fontId="16" fillId="8" borderId="24" xfId="0" applyFont="1" applyFill="1" applyBorder="1" applyAlignment="1">
      <alignment horizontal="left" vertical="center"/>
    </xf>
    <xf numFmtId="0" fontId="16" fillId="6" borderId="24" xfId="0" applyFont="1" applyFill="1" applyBorder="1" applyAlignment="1">
      <alignment horizontal="left"/>
    </xf>
    <xf numFmtId="0" fontId="16" fillId="9" borderId="24" xfId="0" applyFont="1" applyFill="1" applyBorder="1" applyAlignment="1">
      <alignment horizontal="left" vertical="top" wrapText="1"/>
    </xf>
    <xf numFmtId="0" fontId="15" fillId="9" borderId="24" xfId="0" applyFont="1" applyFill="1" applyBorder="1" applyAlignment="1">
      <alignment horizontal="center" vertical="center" wrapText="1"/>
    </xf>
    <xf numFmtId="0" fontId="14" fillId="9" borderId="24" xfId="0" applyFont="1" applyFill="1" applyBorder="1" applyAlignment="1">
      <alignment horizontal="center" vertical="center" wrapText="1"/>
    </xf>
    <xf numFmtId="0" fontId="15" fillId="8" borderId="24" xfId="0" applyFont="1" applyFill="1" applyBorder="1" applyAlignment="1">
      <alignment horizontal="center" vertical="center" wrapText="1"/>
    </xf>
    <xf numFmtId="0" fontId="14" fillId="8" borderId="24" xfId="0" quotePrefix="1" applyFont="1" applyFill="1" applyBorder="1" applyAlignment="1">
      <alignment horizontal="center" vertical="center"/>
    </xf>
    <xf numFmtId="0" fontId="15" fillId="8" borderId="24" xfId="0" applyFont="1" applyFill="1" applyBorder="1" applyAlignment="1">
      <alignment vertical="center" wrapText="1"/>
    </xf>
    <xf numFmtId="0" fontId="16" fillId="8" borderId="0" xfId="0" applyFont="1" applyFill="1" applyAlignment="1">
      <alignment horizontal="center" vertical="center"/>
    </xf>
    <xf numFmtId="0" fontId="16" fillId="8" borderId="24" xfId="0" applyFont="1" applyFill="1" applyBorder="1" applyAlignment="1">
      <alignment vertical="center" wrapText="1"/>
    </xf>
    <xf numFmtId="0" fontId="18" fillId="8" borderId="24" xfId="0" applyFont="1" applyFill="1" applyBorder="1" applyAlignment="1">
      <alignment horizontal="center" vertical="center"/>
    </xf>
    <xf numFmtId="14" fontId="16" fillId="8" borderId="24" xfId="0" applyNumberFormat="1" applyFont="1" applyFill="1" applyBorder="1" applyAlignment="1">
      <alignment horizontal="center" vertical="center"/>
    </xf>
    <xf numFmtId="165" fontId="16" fillId="8" borderId="26" xfId="0" applyNumberFormat="1" applyFont="1" applyFill="1" applyBorder="1" applyAlignment="1">
      <alignment horizontal="center" vertical="center"/>
    </xf>
    <xf numFmtId="20" fontId="16" fillId="8" borderId="24" xfId="0" applyNumberFormat="1" applyFont="1" applyFill="1" applyBorder="1" applyAlignment="1">
      <alignment horizontal="center" vertical="center"/>
    </xf>
    <xf numFmtId="0" fontId="16" fillId="8" borderId="26" xfId="0" applyFont="1" applyFill="1" applyBorder="1" applyAlignment="1">
      <alignment horizontal="center" vertical="center"/>
    </xf>
    <xf numFmtId="0" fontId="17" fillId="8" borderId="24" xfId="0" applyFont="1" applyFill="1" applyBorder="1" applyAlignment="1">
      <alignment horizontal="center" vertical="center"/>
    </xf>
    <xf numFmtId="0" fontId="16" fillId="7" borderId="26" xfId="0" applyFont="1" applyFill="1" applyBorder="1" applyAlignment="1">
      <alignment horizontal="left" vertical="top"/>
    </xf>
    <xf numFmtId="0" fontId="14" fillId="8" borderId="27" xfId="0" applyFont="1" applyFill="1" applyBorder="1" applyAlignment="1">
      <alignment horizontal="left" vertical="top"/>
    </xf>
    <xf numFmtId="0" fontId="14" fillId="8" borderId="29" xfId="0" applyFont="1" applyFill="1" applyBorder="1" applyAlignment="1">
      <alignment horizontal="left" vertical="top"/>
    </xf>
    <xf numFmtId="0" fontId="16" fillId="9" borderId="24" xfId="0" applyFont="1" applyFill="1" applyBorder="1" applyAlignment="1">
      <alignment horizontal="left" vertical="center"/>
    </xf>
    <xf numFmtId="0" fontId="14" fillId="8" borderId="0" xfId="0" applyFont="1" applyFill="1" applyAlignment="1">
      <alignment horizontal="left" vertical="center"/>
    </xf>
    <xf numFmtId="0" fontId="21" fillId="8" borderId="24" xfId="0" applyFont="1" applyFill="1" applyBorder="1" applyAlignment="1">
      <alignment horizontal="left" vertical="top"/>
    </xf>
    <xf numFmtId="0" fontId="21" fillId="8" borderId="24" xfId="0" applyFont="1" applyFill="1" applyBorder="1" applyAlignment="1">
      <alignment horizontal="center" vertical="center"/>
    </xf>
    <xf numFmtId="0" fontId="21" fillId="8" borderId="24" xfId="0" applyFont="1" applyFill="1" applyBorder="1" applyAlignment="1">
      <alignment vertical="center" wrapText="1"/>
    </xf>
    <xf numFmtId="14" fontId="21" fillId="8" borderId="24" xfId="0" applyNumberFormat="1" applyFont="1" applyFill="1" applyBorder="1" applyAlignment="1">
      <alignment horizontal="center" vertical="center"/>
    </xf>
    <xf numFmtId="165" fontId="21" fillId="8" borderId="26" xfId="0" applyNumberFormat="1" applyFont="1" applyFill="1" applyBorder="1" applyAlignment="1">
      <alignment horizontal="center" vertical="center"/>
    </xf>
    <xf numFmtId="20" fontId="21" fillId="8" borderId="24" xfId="0" applyNumberFormat="1" applyFont="1" applyFill="1" applyBorder="1" applyAlignment="1">
      <alignment horizontal="center" vertical="center"/>
    </xf>
    <xf numFmtId="0" fontId="21" fillId="8" borderId="26" xfId="0" applyFont="1" applyFill="1" applyBorder="1" applyAlignment="1">
      <alignment horizontal="center" vertical="center"/>
    </xf>
    <xf numFmtId="0" fontId="21" fillId="8" borderId="0" xfId="0" applyFont="1" applyFill="1" applyAlignment="1">
      <alignment horizontal="center" vertical="center"/>
    </xf>
    <xf numFmtId="0" fontId="21" fillId="6" borderId="26" xfId="0" applyFont="1" applyFill="1" applyBorder="1" applyAlignment="1">
      <alignment horizontal="left" vertical="top"/>
    </xf>
    <xf numFmtId="0" fontId="21" fillId="6" borderId="24" xfId="0" applyFont="1" applyFill="1" applyBorder="1" applyAlignment="1">
      <alignment horizontal="center" vertical="center"/>
    </xf>
    <xf numFmtId="0" fontId="21" fillId="6" borderId="24" xfId="0" applyFont="1" applyFill="1" applyBorder="1" applyAlignment="1">
      <alignment vertical="center" wrapText="1"/>
    </xf>
    <xf numFmtId="0" fontId="17" fillId="6" borderId="24" xfId="0" applyFont="1" applyFill="1" applyBorder="1" applyAlignment="1">
      <alignment horizontal="center" vertical="center"/>
    </xf>
    <xf numFmtId="14" fontId="21" fillId="6" borderId="24" xfId="0" applyNumberFormat="1" applyFont="1" applyFill="1" applyBorder="1" applyAlignment="1">
      <alignment horizontal="center" vertical="center"/>
    </xf>
    <xf numFmtId="165" fontId="21" fillId="6" borderId="26" xfId="0" applyNumberFormat="1" applyFont="1" applyFill="1" applyBorder="1" applyAlignment="1">
      <alignment horizontal="center" vertical="center"/>
    </xf>
    <xf numFmtId="20" fontId="21" fillId="6" borderId="24" xfId="0" applyNumberFormat="1" applyFont="1" applyFill="1" applyBorder="1" applyAlignment="1">
      <alignment horizontal="center" vertical="center"/>
    </xf>
    <xf numFmtId="0" fontId="21" fillId="6" borderId="26" xfId="0" applyFont="1" applyFill="1" applyBorder="1" applyAlignment="1">
      <alignment horizontal="center" vertical="center"/>
    </xf>
    <xf numFmtId="0" fontId="21" fillId="6" borderId="0" xfId="0" applyFont="1" applyFill="1" applyAlignment="1">
      <alignment horizontal="center" vertical="center"/>
    </xf>
    <xf numFmtId="20" fontId="14" fillId="8" borderId="31" xfId="0" applyNumberFormat="1" applyFont="1" applyFill="1" applyBorder="1" applyAlignment="1">
      <alignment horizontal="center" vertical="center"/>
    </xf>
    <xf numFmtId="0" fontId="14" fillId="8" borderId="31" xfId="0" applyFont="1" applyFill="1" applyBorder="1" applyAlignment="1">
      <alignment horizontal="center" vertical="center"/>
    </xf>
    <xf numFmtId="165" fontId="14" fillId="8" borderId="30" xfId="0" applyNumberFormat="1" applyFont="1" applyFill="1" applyBorder="1" applyAlignment="1">
      <alignment horizontal="center" vertical="center"/>
    </xf>
    <xf numFmtId="0" fontId="15" fillId="8" borderId="25" xfId="0" applyFont="1" applyFill="1" applyBorder="1" applyAlignment="1">
      <alignment horizontal="center" vertical="center"/>
    </xf>
    <xf numFmtId="0" fontId="14" fillId="8" borderId="27" xfId="0" applyFont="1" applyFill="1" applyBorder="1" applyAlignment="1">
      <alignment horizontal="center" vertical="center"/>
    </xf>
    <xf numFmtId="0" fontId="14" fillId="8" borderId="32" xfId="0" applyFont="1" applyFill="1" applyBorder="1" applyAlignment="1">
      <alignment horizontal="center" vertical="center"/>
    </xf>
    <xf numFmtId="20" fontId="14" fillId="8" borderId="26" xfId="0" applyNumberFormat="1" applyFont="1" applyFill="1" applyBorder="1" applyAlignment="1">
      <alignment horizontal="center" vertical="center"/>
    </xf>
    <xf numFmtId="0" fontId="14" fillId="8" borderId="0" xfId="0" applyFont="1" applyFill="1" applyAlignment="1">
      <alignment horizontal="left"/>
    </xf>
    <xf numFmtId="0" fontId="16" fillId="8" borderId="31" xfId="0" applyFont="1" applyFill="1" applyBorder="1" applyAlignment="1">
      <alignment horizontal="left" vertical="center"/>
    </xf>
    <xf numFmtId="0" fontId="16" fillId="9" borderId="25" xfId="0" applyFont="1" applyFill="1" applyBorder="1" applyAlignment="1">
      <alignment horizontal="left" vertical="top"/>
    </xf>
    <xf numFmtId="0" fontId="17" fillId="9" borderId="24" xfId="0" applyFont="1" applyFill="1" applyBorder="1" applyAlignment="1">
      <alignment horizontal="center" vertical="center"/>
    </xf>
    <xf numFmtId="0" fontId="21" fillId="6" borderId="24" xfId="0" applyFont="1" applyFill="1" applyBorder="1" applyAlignment="1">
      <alignment horizontal="left" vertical="top"/>
    </xf>
    <xf numFmtId="0" fontId="16" fillId="8" borderId="0" xfId="0" applyFont="1" applyFill="1" applyAlignment="1">
      <alignment horizontal="left"/>
    </xf>
    <xf numFmtId="0" fontId="14" fillId="8" borderId="24" xfId="0" applyFont="1" applyFill="1" applyBorder="1" applyAlignment="1">
      <alignment horizontal="left" vertical="center"/>
    </xf>
    <xf numFmtId="0" fontId="14" fillId="6" borderId="24" xfId="0" applyFont="1" applyFill="1" applyBorder="1" applyAlignment="1">
      <alignment horizontal="left"/>
    </xf>
    <xf numFmtId="0" fontId="14" fillId="6" borderId="31" xfId="0" applyFont="1" applyFill="1" applyBorder="1" applyAlignment="1">
      <alignment horizontal="left" vertical="top"/>
    </xf>
    <xf numFmtId="0" fontId="14" fillId="6" borderId="31" xfId="0" applyFont="1" applyFill="1" applyBorder="1" applyAlignment="1">
      <alignment horizontal="center" vertical="center"/>
    </xf>
    <xf numFmtId="0" fontId="14" fillId="6" borderId="31" xfId="0" applyFont="1" applyFill="1" applyBorder="1" applyAlignment="1">
      <alignment vertical="center" wrapText="1"/>
    </xf>
    <xf numFmtId="0" fontId="14" fillId="11" borderId="27" xfId="0" applyFont="1" applyFill="1" applyBorder="1" applyAlignment="1">
      <alignment horizontal="left" vertical="center"/>
    </xf>
    <xf numFmtId="0" fontId="14" fillId="11" borderId="24" xfId="0" applyFont="1" applyFill="1" applyBorder="1" applyAlignment="1">
      <alignment horizontal="center" vertical="center"/>
    </xf>
    <xf numFmtId="0" fontId="14" fillId="11" borderId="24" xfId="0" applyFont="1" applyFill="1" applyBorder="1" applyAlignment="1">
      <alignment vertical="center" wrapText="1"/>
    </xf>
    <xf numFmtId="0" fontId="15" fillId="11" borderId="25" xfId="0" applyFont="1" applyFill="1" applyBorder="1" applyAlignment="1">
      <alignment horizontal="center" vertical="center"/>
    </xf>
    <xf numFmtId="14" fontId="14" fillId="11" borderId="24" xfId="0" applyNumberFormat="1" applyFont="1" applyFill="1" applyBorder="1" applyAlignment="1">
      <alignment horizontal="center" vertical="center"/>
    </xf>
    <xf numFmtId="165" fontId="14" fillId="11" borderId="26" xfId="0" applyNumberFormat="1" applyFont="1" applyFill="1" applyBorder="1" applyAlignment="1">
      <alignment horizontal="center" vertical="center"/>
    </xf>
    <xf numFmtId="20" fontId="14" fillId="11" borderId="24" xfId="0" applyNumberFormat="1" applyFont="1" applyFill="1" applyBorder="1" applyAlignment="1">
      <alignment horizontal="center" vertical="center"/>
    </xf>
    <xf numFmtId="0" fontId="15" fillId="11" borderId="24" xfId="0" applyFont="1" applyFill="1" applyBorder="1" applyAlignment="1">
      <alignment horizontal="center" vertical="center"/>
    </xf>
    <xf numFmtId="0" fontId="14" fillId="11" borderId="26" xfId="0" applyFont="1" applyFill="1" applyBorder="1" applyAlignment="1">
      <alignment horizontal="center" vertical="center"/>
    </xf>
    <xf numFmtId="0" fontId="14" fillId="11" borderId="0" xfId="0" applyFont="1" applyFill="1" applyAlignment="1">
      <alignment horizontal="center" vertical="center"/>
    </xf>
    <xf numFmtId="0" fontId="14" fillId="8" borderId="30" xfId="0" applyFont="1" applyFill="1" applyBorder="1" applyAlignment="1">
      <alignment horizontal="left"/>
    </xf>
    <xf numFmtId="0" fontId="14" fillId="8" borderId="25" xfId="0" applyFont="1" applyFill="1" applyBorder="1" applyAlignment="1">
      <alignment horizontal="left"/>
    </xf>
    <xf numFmtId="0" fontId="14" fillId="8" borderId="26" xfId="0" applyFont="1" applyFill="1" applyBorder="1" applyAlignment="1">
      <alignment horizontal="left" vertical="center"/>
    </xf>
    <xf numFmtId="0" fontId="14" fillId="8" borderId="26" xfId="0" applyFont="1" applyFill="1" applyBorder="1" applyAlignment="1">
      <alignment horizontal="left"/>
    </xf>
    <xf numFmtId="0" fontId="14" fillId="8" borderId="30" xfId="0" applyFont="1" applyFill="1" applyBorder="1" applyAlignment="1">
      <alignment horizontal="left" vertical="top"/>
    </xf>
    <xf numFmtId="0" fontId="14" fillId="8" borderId="25" xfId="0" applyFont="1" applyFill="1" applyBorder="1" applyAlignment="1">
      <alignment vertical="center" wrapText="1"/>
    </xf>
    <xf numFmtId="0" fontId="14" fillId="8" borderId="33" xfId="0" applyFont="1" applyFill="1" applyBorder="1" applyAlignment="1">
      <alignment horizontal="left"/>
    </xf>
    <xf numFmtId="0" fontId="14" fillId="8" borderId="33" xfId="0" applyFont="1" applyFill="1" applyBorder="1" applyAlignment="1">
      <alignment horizontal="center" vertical="center"/>
    </xf>
    <xf numFmtId="0" fontId="14" fillId="8" borderId="33" xfId="0" applyFont="1" applyFill="1" applyBorder="1" applyAlignment="1">
      <alignment vertical="center" wrapText="1"/>
    </xf>
    <xf numFmtId="0" fontId="15" fillId="8" borderId="33" xfId="0" applyFont="1" applyFill="1" applyBorder="1" applyAlignment="1">
      <alignment horizontal="center" vertical="center"/>
    </xf>
    <xf numFmtId="14" fontId="14" fillId="8" borderId="33" xfId="0" applyNumberFormat="1" applyFont="1" applyFill="1" applyBorder="1" applyAlignment="1">
      <alignment horizontal="center" vertical="center"/>
    </xf>
    <xf numFmtId="165" fontId="14" fillId="8" borderId="34" xfId="0" applyNumberFormat="1" applyFont="1" applyFill="1" applyBorder="1" applyAlignment="1">
      <alignment horizontal="center" vertical="center"/>
    </xf>
    <xf numFmtId="20" fontId="14" fillId="8" borderId="33" xfId="0" applyNumberFormat="1" applyFont="1" applyFill="1" applyBorder="1" applyAlignment="1">
      <alignment horizontal="center" vertical="center"/>
    </xf>
    <xf numFmtId="0" fontId="14" fillId="8" borderId="34" xfId="0" applyFont="1" applyFill="1" applyBorder="1" applyAlignment="1">
      <alignment horizontal="center" vertical="center"/>
    </xf>
    <xf numFmtId="0" fontId="14" fillId="8" borderId="35" xfId="0" applyFont="1" applyFill="1" applyBorder="1" applyAlignment="1">
      <alignment horizontal="center" vertical="center"/>
    </xf>
    <xf numFmtId="0" fontId="14" fillId="8" borderId="32" xfId="0" applyFont="1" applyFill="1" applyBorder="1" applyAlignment="1">
      <alignment vertical="center" wrapText="1"/>
    </xf>
    <xf numFmtId="0" fontId="15" fillId="8" borderId="26" xfId="0" applyFont="1" applyFill="1" applyBorder="1" applyAlignment="1">
      <alignment horizontal="center" vertical="center"/>
    </xf>
    <xf numFmtId="14" fontId="14" fillId="8" borderId="26" xfId="0" applyNumberFormat="1" applyFont="1" applyFill="1" applyBorder="1" applyAlignment="1">
      <alignment horizontal="center" vertical="center"/>
    </xf>
    <xf numFmtId="0" fontId="16" fillId="11" borderId="24" xfId="0" applyFont="1" applyFill="1" applyBorder="1" applyAlignment="1">
      <alignment horizontal="left"/>
    </xf>
    <xf numFmtId="0" fontId="18" fillId="11" borderId="26" xfId="0" applyFont="1" applyFill="1" applyBorder="1" applyAlignment="1">
      <alignment horizontal="left" vertical="top"/>
    </xf>
    <xf numFmtId="0" fontId="14" fillId="6" borderId="24" xfId="0" applyFont="1" applyFill="1" applyBorder="1" applyAlignment="1">
      <alignment horizontal="left" vertical="center"/>
    </xf>
    <xf numFmtId="0" fontId="14" fillId="8" borderId="0" xfId="0" applyFont="1" applyFill="1" applyAlignment="1">
      <alignment horizontal="left" vertical="top"/>
    </xf>
    <xf numFmtId="0" fontId="15" fillId="11" borderId="24" xfId="0" applyFont="1" applyFill="1" applyBorder="1" applyAlignment="1">
      <alignment horizontal="left"/>
    </xf>
    <xf numFmtId="0" fontId="18" fillId="11" borderId="24" xfId="0" applyFont="1" applyFill="1" applyBorder="1" applyAlignment="1">
      <alignment horizontal="left" vertical="top"/>
    </xf>
    <xf numFmtId="0" fontId="15" fillId="11" borderId="25" xfId="0" applyFont="1" applyFill="1" applyBorder="1" applyAlignment="1">
      <alignment horizontal="left" vertical="top"/>
    </xf>
    <xf numFmtId="0" fontId="18" fillId="11" borderId="24" xfId="0" applyFont="1" applyFill="1" applyBorder="1" applyAlignment="1">
      <alignment horizontal="left"/>
    </xf>
    <xf numFmtId="0" fontId="14" fillId="6" borderId="27" xfId="0" applyFont="1" applyFill="1" applyBorder="1" applyAlignment="1">
      <alignment horizontal="left" vertical="center"/>
    </xf>
    <xf numFmtId="0" fontId="14" fillId="6" borderId="25" xfId="0" applyFont="1" applyFill="1" applyBorder="1" applyAlignment="1">
      <alignment vertical="center" wrapText="1"/>
    </xf>
    <xf numFmtId="0" fontId="14" fillId="8" borderId="27" xfId="0" applyFont="1" applyFill="1" applyBorder="1" applyAlignment="1">
      <alignment horizontal="left" vertical="center"/>
    </xf>
    <xf numFmtId="0" fontId="15" fillId="11" borderId="0" xfId="0" applyFont="1" applyFill="1" applyAlignment="1">
      <alignment horizontal="left"/>
    </xf>
    <xf numFmtId="0" fontId="14" fillId="11" borderId="25" xfId="0" applyFont="1" applyFill="1" applyBorder="1" applyAlignment="1">
      <alignment vertical="center" wrapText="1"/>
    </xf>
    <xf numFmtId="0" fontId="14" fillId="8" borderId="26" xfId="0" applyFont="1" applyFill="1" applyBorder="1" applyAlignment="1">
      <alignment horizontal="left" vertical="top"/>
    </xf>
    <xf numFmtId="0" fontId="14" fillId="8" borderId="26" xfId="0" applyFont="1" applyFill="1" applyBorder="1" applyAlignment="1">
      <alignment vertical="center" wrapText="1"/>
    </xf>
    <xf numFmtId="0" fontId="14" fillId="8" borderId="36" xfId="0" applyFont="1" applyFill="1" applyBorder="1" applyAlignment="1">
      <alignment horizontal="center" vertical="center"/>
    </xf>
    <xf numFmtId="0" fontId="24" fillId="8" borderId="26" xfId="0" applyFont="1" applyFill="1" applyBorder="1" applyAlignment="1">
      <alignment horizontal="left"/>
    </xf>
    <xf numFmtId="0" fontId="16" fillId="8" borderId="26" xfId="0" applyFont="1" applyFill="1" applyBorder="1" applyAlignment="1">
      <alignment horizontal="left"/>
    </xf>
    <xf numFmtId="0" fontId="14" fillId="6" borderId="25" xfId="0" applyFont="1" applyFill="1" applyBorder="1" applyAlignment="1">
      <alignment horizontal="left"/>
    </xf>
    <xf numFmtId="0" fontId="15" fillId="11" borderId="24" xfId="0" applyFont="1" applyFill="1" applyBorder="1" applyAlignment="1">
      <alignment horizontal="left" vertical="top"/>
    </xf>
    <xf numFmtId="0" fontId="17" fillId="8" borderId="33" xfId="0" applyFont="1" applyFill="1" applyBorder="1" applyAlignment="1">
      <alignment horizontal="center" vertical="center"/>
    </xf>
    <xf numFmtId="0" fontId="14" fillId="11" borderId="24" xfId="0" applyFont="1" applyFill="1" applyBorder="1" applyAlignment="1">
      <alignment horizontal="left" vertical="top"/>
    </xf>
    <xf numFmtId="0" fontId="14" fillId="8" borderId="31" xfId="0" applyFont="1" applyFill="1" applyBorder="1" applyAlignment="1">
      <alignment horizontal="left" vertical="top"/>
    </xf>
    <xf numFmtId="0" fontId="14" fillId="9" borderId="24" xfId="0" applyFont="1" applyFill="1" applyBorder="1" applyAlignment="1">
      <alignment horizontal="left" vertical="center"/>
    </xf>
    <xf numFmtId="0" fontId="14" fillId="6" borderId="31" xfId="0" applyFont="1" applyFill="1" applyBorder="1" applyAlignment="1">
      <alignment horizontal="left"/>
    </xf>
    <xf numFmtId="0" fontId="14" fillId="9" borderId="31" xfId="0" applyFont="1" applyFill="1" applyBorder="1" applyAlignment="1">
      <alignment horizontal="left" vertical="top"/>
    </xf>
    <xf numFmtId="0" fontId="14" fillId="9" borderId="31" xfId="0" applyFont="1" applyFill="1" applyBorder="1" applyAlignment="1">
      <alignment horizontal="center" vertical="center"/>
    </xf>
    <xf numFmtId="0" fontId="14" fillId="9" borderId="31" xfId="0" applyFont="1" applyFill="1" applyBorder="1" applyAlignment="1">
      <alignment vertical="center" wrapText="1"/>
    </xf>
    <xf numFmtId="0" fontId="15" fillId="9" borderId="31" xfId="0" applyFont="1" applyFill="1" applyBorder="1" applyAlignment="1">
      <alignment horizontal="center" vertical="center"/>
    </xf>
    <xf numFmtId="0" fontId="14" fillId="6" borderId="25" xfId="0" applyFont="1" applyFill="1" applyBorder="1" applyAlignment="1">
      <alignment horizontal="center" vertical="center"/>
    </xf>
    <xf numFmtId="0" fontId="14" fillId="8" borderId="25" xfId="0" applyFont="1" applyFill="1" applyBorder="1" applyAlignment="1">
      <alignment horizontal="center" vertical="center"/>
    </xf>
    <xf numFmtId="20" fontId="14" fillId="8" borderId="27" xfId="0" applyNumberFormat="1" applyFont="1" applyFill="1" applyBorder="1" applyAlignment="1">
      <alignment horizontal="center" vertical="center"/>
    </xf>
    <xf numFmtId="0" fontId="14" fillId="11" borderId="25" xfId="0" applyFont="1" applyFill="1" applyBorder="1" applyAlignment="1">
      <alignment horizontal="center" vertical="center"/>
    </xf>
    <xf numFmtId="0" fontId="15" fillId="9" borderId="25" xfId="0" applyFont="1" applyFill="1" applyBorder="1" applyAlignment="1">
      <alignment horizontal="center" vertical="center"/>
    </xf>
    <xf numFmtId="0" fontId="14" fillId="9" borderId="32" xfId="0" applyFont="1" applyFill="1" applyBorder="1" applyAlignment="1">
      <alignment horizontal="left" vertical="top"/>
    </xf>
    <xf numFmtId="0" fontId="14" fillId="8" borderId="31" xfId="0" applyFont="1" applyFill="1" applyBorder="1" applyAlignment="1">
      <alignment horizontal="left"/>
    </xf>
    <xf numFmtId="0" fontId="14" fillId="8" borderId="31" xfId="0" applyFont="1" applyFill="1" applyBorder="1" applyAlignment="1">
      <alignment vertical="center" wrapText="1"/>
    </xf>
    <xf numFmtId="0" fontId="16" fillId="16" borderId="24" xfId="0" applyFont="1" applyFill="1" applyBorder="1" applyAlignment="1">
      <alignment horizontal="left"/>
    </xf>
    <xf numFmtId="0" fontId="16" fillId="16" borderId="0" xfId="0" applyFont="1" applyFill="1" applyAlignment="1">
      <alignment horizontal="center" vertical="center"/>
    </xf>
    <xf numFmtId="0" fontId="16" fillId="16" borderId="24" xfId="0" applyFont="1" applyFill="1" applyBorder="1" applyAlignment="1">
      <alignment wrapText="1"/>
    </xf>
    <xf numFmtId="0" fontId="18" fillId="16" borderId="24" xfId="0" applyFont="1" applyFill="1" applyBorder="1"/>
    <xf numFmtId="0" fontId="16" fillId="16" borderId="24" xfId="0" applyFont="1" applyFill="1" applyBorder="1"/>
    <xf numFmtId="14" fontId="16" fillId="16" borderId="24" xfId="0" applyNumberFormat="1" applyFont="1" applyFill="1" applyBorder="1" applyAlignment="1">
      <alignment horizontal="center" vertical="center"/>
    </xf>
    <xf numFmtId="0" fontId="16" fillId="16" borderId="26" xfId="0" applyFont="1" applyFill="1" applyBorder="1"/>
    <xf numFmtId="20" fontId="16" fillId="16" borderId="24" xfId="0" applyNumberFormat="1" applyFont="1" applyFill="1" applyBorder="1"/>
    <xf numFmtId="0" fontId="25" fillId="15" borderId="24" xfId="0" applyFont="1" applyFill="1" applyBorder="1"/>
    <xf numFmtId="0" fontId="16" fillId="8" borderId="0" xfId="0" applyFont="1" applyFill="1"/>
    <xf numFmtId="0" fontId="16" fillId="13" borderId="26" xfId="0" applyFont="1" applyFill="1" applyBorder="1" applyAlignment="1">
      <alignment horizontal="left"/>
    </xf>
    <xf numFmtId="0" fontId="16" fillId="13" borderId="32" xfId="0" applyFont="1" applyFill="1" applyBorder="1" applyAlignment="1">
      <alignment horizontal="center" vertical="center"/>
    </xf>
    <xf numFmtId="0" fontId="16" fillId="13" borderId="32" xfId="0" applyFont="1" applyFill="1" applyBorder="1" applyAlignment="1">
      <alignment wrapText="1"/>
    </xf>
    <xf numFmtId="0" fontId="18" fillId="13" borderId="32" xfId="0" applyFont="1" applyFill="1" applyBorder="1"/>
    <xf numFmtId="0" fontId="16" fillId="13" borderId="32" xfId="0" applyFont="1" applyFill="1" applyBorder="1"/>
    <xf numFmtId="14" fontId="16" fillId="13" borderId="32" xfId="0" applyNumberFormat="1" applyFont="1" applyFill="1" applyBorder="1" applyAlignment="1">
      <alignment horizontal="center" vertical="center"/>
    </xf>
    <xf numFmtId="20" fontId="16" fillId="13" borderId="32" xfId="0" applyNumberFormat="1" applyFont="1" applyFill="1" applyBorder="1"/>
    <xf numFmtId="0" fontId="26" fillId="12" borderId="24" xfId="0" applyFont="1" applyFill="1" applyBorder="1"/>
    <xf numFmtId="0" fontId="16" fillId="13" borderId="32" xfId="0" quotePrefix="1" applyFont="1" applyFill="1" applyBorder="1"/>
    <xf numFmtId="0" fontId="27" fillId="14" borderId="26" xfId="0" applyFont="1" applyFill="1" applyBorder="1"/>
    <xf numFmtId="0" fontId="16" fillId="13" borderId="0" xfId="0" applyFont="1" applyFill="1"/>
    <xf numFmtId="0" fontId="16" fillId="16" borderId="32" xfId="0" applyFont="1" applyFill="1" applyBorder="1" applyAlignment="1">
      <alignment horizontal="left"/>
    </xf>
    <xf numFmtId="0" fontId="16" fillId="16" borderId="32" xfId="0" applyFont="1" applyFill="1" applyBorder="1" applyAlignment="1">
      <alignment horizontal="center" vertical="center"/>
    </xf>
    <xf numFmtId="0" fontId="16" fillId="16" borderId="32" xfId="0" applyFont="1" applyFill="1" applyBorder="1" applyAlignment="1">
      <alignment wrapText="1"/>
    </xf>
    <xf numFmtId="0" fontId="18" fillId="16" borderId="32" xfId="0" applyFont="1" applyFill="1" applyBorder="1"/>
    <xf numFmtId="0" fontId="16" fillId="16" borderId="32" xfId="0" applyFont="1" applyFill="1" applyBorder="1"/>
    <xf numFmtId="14" fontId="16" fillId="16" borderId="32" xfId="0" applyNumberFormat="1" applyFont="1" applyFill="1" applyBorder="1" applyAlignment="1">
      <alignment horizontal="center" vertical="center"/>
    </xf>
    <xf numFmtId="20" fontId="16" fillId="16" borderId="32" xfId="0" applyNumberFormat="1" applyFont="1" applyFill="1" applyBorder="1"/>
    <xf numFmtId="0" fontId="16" fillId="16" borderId="0" xfId="0" applyFont="1" applyFill="1"/>
    <xf numFmtId="0" fontId="16" fillId="16" borderId="26" xfId="0" applyFont="1" applyFill="1" applyBorder="1" applyAlignment="1">
      <alignment horizontal="left"/>
    </xf>
    <xf numFmtId="0" fontId="16" fillId="16" borderId="32" xfId="0" quotePrefix="1" applyFont="1" applyFill="1" applyBorder="1"/>
    <xf numFmtId="0" fontId="15" fillId="8" borderId="32" xfId="0" applyFont="1" applyFill="1" applyBorder="1" applyAlignment="1">
      <alignment horizontal="center" vertical="center"/>
    </xf>
    <xf numFmtId="14" fontId="14" fillId="8" borderId="32" xfId="0" applyNumberFormat="1" applyFont="1" applyFill="1" applyBorder="1" applyAlignment="1">
      <alignment horizontal="center" vertical="center"/>
    </xf>
    <xf numFmtId="165" fontId="14" fillId="8" borderId="32" xfId="0" applyNumberFormat="1" applyFont="1" applyFill="1" applyBorder="1" applyAlignment="1">
      <alignment horizontal="center" vertical="center"/>
    </xf>
    <xf numFmtId="20" fontId="14" fillId="8" borderId="32" xfId="0" applyNumberFormat="1" applyFont="1" applyFill="1" applyBorder="1" applyAlignment="1">
      <alignment horizontal="center" vertical="center"/>
    </xf>
    <xf numFmtId="0" fontId="28" fillId="17" borderId="26" xfId="0" applyFont="1" applyFill="1" applyBorder="1"/>
    <xf numFmtId="0" fontId="29" fillId="15" borderId="26" xfId="0" applyFont="1" applyFill="1" applyBorder="1"/>
    <xf numFmtId="0" fontId="16" fillId="8" borderId="32" xfId="0" applyFont="1" applyFill="1" applyBorder="1" applyAlignment="1">
      <alignment horizontal="center" vertical="center"/>
    </xf>
    <xf numFmtId="0" fontId="16" fillId="8" borderId="32" xfId="0" applyFont="1" applyFill="1" applyBorder="1" applyAlignment="1">
      <alignment vertical="center" wrapText="1"/>
    </xf>
    <xf numFmtId="0" fontId="18" fillId="8" borderId="32" xfId="0" applyFont="1" applyFill="1" applyBorder="1" applyAlignment="1">
      <alignment horizontal="center" vertical="center"/>
    </xf>
    <xf numFmtId="14" fontId="16" fillId="8" borderId="32" xfId="0" applyNumberFormat="1" applyFont="1" applyFill="1" applyBorder="1" applyAlignment="1">
      <alignment horizontal="center" vertical="center"/>
    </xf>
    <xf numFmtId="20" fontId="16" fillId="8" borderId="32" xfId="0" applyNumberFormat="1" applyFont="1" applyFill="1" applyBorder="1" applyAlignment="1">
      <alignment horizontal="center" vertical="center"/>
    </xf>
    <xf numFmtId="0" fontId="26" fillId="8" borderId="24" xfId="0" applyFont="1" applyFill="1" applyBorder="1" applyAlignment="1">
      <alignment horizontal="center" vertical="center"/>
    </xf>
    <xf numFmtId="0" fontId="29" fillId="8" borderId="26" xfId="0" applyFont="1" applyFill="1" applyBorder="1" applyAlignment="1">
      <alignment horizontal="center" vertical="center"/>
    </xf>
    <xf numFmtId="0" fontId="14" fillId="8" borderId="13" xfId="0" applyFont="1" applyFill="1" applyBorder="1" applyAlignment="1">
      <alignment horizontal="center" vertical="center"/>
    </xf>
    <xf numFmtId="0" fontId="14" fillId="8" borderId="25" xfId="0" applyFont="1" applyFill="1" applyBorder="1" applyAlignment="1">
      <alignment vertical="center"/>
    </xf>
    <xf numFmtId="0" fontId="16" fillId="18" borderId="24" xfId="0" applyFont="1" applyFill="1" applyBorder="1" applyAlignment="1">
      <alignment horizontal="left" vertical="center"/>
    </xf>
    <xf numFmtId="0" fontId="14" fillId="8" borderId="24" xfId="0" applyFont="1" applyFill="1" applyBorder="1" applyAlignment="1">
      <alignment vertical="center"/>
    </xf>
    <xf numFmtId="0" fontId="16" fillId="18" borderId="24" xfId="0" applyFont="1" applyFill="1" applyBorder="1"/>
    <xf numFmtId="0" fontId="15" fillId="6" borderId="32" xfId="0" applyFont="1" applyFill="1" applyBorder="1" applyAlignment="1">
      <alignment horizontal="center" vertical="center" wrapText="1"/>
    </xf>
    <xf numFmtId="0" fontId="16" fillId="6" borderId="26" xfId="0" applyFont="1" applyFill="1" applyBorder="1" applyAlignment="1">
      <alignment horizontal="center" vertical="center"/>
    </xf>
    <xf numFmtId="0" fontId="14" fillId="9" borderId="24" xfId="0" applyFont="1" applyFill="1" applyBorder="1" applyAlignment="1">
      <alignment vertical="center"/>
    </xf>
    <xf numFmtId="0" fontId="14" fillId="8" borderId="24" xfId="0" applyFont="1" applyFill="1" applyBorder="1" applyAlignment="1">
      <alignment horizontal="left" vertical="center" wrapText="1"/>
    </xf>
    <xf numFmtId="0" fontId="14" fillId="8" borderId="24" xfId="0" applyFont="1" applyFill="1" applyBorder="1" applyAlignment="1">
      <alignment horizontal="center" vertical="center" wrapText="1"/>
    </xf>
    <xf numFmtId="0" fontId="14" fillId="8" borderId="0" xfId="0" applyFont="1" applyFill="1" applyAlignment="1">
      <alignment vertical="center"/>
    </xf>
    <xf numFmtId="0" fontId="15" fillId="8" borderId="0" xfId="0" applyFont="1" applyFill="1" applyAlignment="1">
      <alignment horizontal="center" vertical="center"/>
    </xf>
    <xf numFmtId="14" fontId="14" fillId="8" borderId="0" xfId="0" applyNumberFormat="1" applyFont="1" applyFill="1" applyAlignment="1">
      <alignment horizontal="center" vertical="center"/>
    </xf>
    <xf numFmtId="20" fontId="14" fillId="8" borderId="0" xfId="0" applyNumberFormat="1" applyFont="1" applyFill="1" applyAlignment="1">
      <alignment horizontal="center" vertical="center"/>
    </xf>
    <xf numFmtId="0" fontId="16" fillId="16" borderId="24" xfId="0" applyFont="1" applyFill="1" applyBorder="1" applyAlignment="1">
      <alignment horizontal="left" vertical="top"/>
    </xf>
    <xf numFmtId="0" fontId="16" fillId="18" borderId="24" xfId="0" applyFont="1" applyFill="1" applyBorder="1" applyAlignment="1">
      <alignment horizontal="left"/>
    </xf>
    <xf numFmtId="0" fontId="17" fillId="16" borderId="24" xfId="0" applyFont="1" applyFill="1" applyBorder="1" applyAlignment="1">
      <alignment horizontal="left" vertical="center"/>
    </xf>
    <xf numFmtId="0" fontId="16" fillId="19" borderId="24" xfId="0" applyFont="1" applyFill="1" applyBorder="1" applyAlignment="1">
      <alignment wrapText="1"/>
    </xf>
    <xf numFmtId="0" fontId="14" fillId="0" borderId="24" xfId="0" applyFont="1" applyBorder="1" applyAlignment="1">
      <alignment horizontal="center" vertical="center" wrapText="1"/>
    </xf>
    <xf numFmtId="0" fontId="15" fillId="4" borderId="24" xfId="0" applyFont="1" applyFill="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left" vertical="center"/>
    </xf>
    <xf numFmtId="0" fontId="14" fillId="0" borderId="0" xfId="0" applyFont="1" applyAlignment="1">
      <alignment vertical="center" wrapText="1"/>
    </xf>
    <xf numFmtId="0" fontId="15" fillId="4" borderId="0" xfId="0" applyFont="1" applyFill="1" applyAlignment="1">
      <alignment horizontal="center" vertical="center" wrapText="1"/>
    </xf>
    <xf numFmtId="1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5" fillId="0" borderId="0" xfId="0" applyFont="1" applyAlignment="1">
      <alignment horizontal="center" vertical="center"/>
    </xf>
    <xf numFmtId="0" fontId="16" fillId="20" borderId="24" xfId="0" applyFont="1" applyFill="1" applyBorder="1"/>
    <xf numFmtId="0" fontId="14" fillId="6" borderId="24" xfId="0" applyFont="1" applyFill="1" applyBorder="1" applyAlignment="1">
      <alignment vertical="center"/>
    </xf>
    <xf numFmtId="165" fontId="14" fillId="8" borderId="26" xfId="0" applyNumberFormat="1" applyFont="1" applyFill="1" applyBorder="1" applyAlignment="1">
      <alignment horizontal="center" vertical="center" wrapText="1"/>
    </xf>
    <xf numFmtId="0" fontId="14" fillId="9" borderId="26" xfId="0" applyFont="1" applyFill="1" applyBorder="1" applyAlignment="1">
      <alignment horizontal="center" vertical="center" wrapText="1"/>
    </xf>
    <xf numFmtId="0" fontId="14" fillId="9" borderId="24" xfId="0" quotePrefix="1" applyFont="1" applyFill="1" applyBorder="1" applyAlignment="1">
      <alignment horizontal="center" vertical="center"/>
    </xf>
    <xf numFmtId="0" fontId="16" fillId="8" borderId="24" xfId="0" applyFont="1" applyFill="1" applyBorder="1"/>
    <xf numFmtId="14" fontId="14" fillId="8" borderId="24" xfId="0" applyNumberFormat="1" applyFont="1" applyFill="1" applyBorder="1" applyAlignment="1">
      <alignment horizontal="center" vertical="center" wrapText="1"/>
    </xf>
    <xf numFmtId="20" fontId="14" fillId="8" borderId="24" xfId="0" applyNumberFormat="1" applyFont="1" applyFill="1" applyBorder="1" applyAlignment="1">
      <alignment horizontal="center" vertical="center" wrapText="1"/>
    </xf>
    <xf numFmtId="0" fontId="14" fillId="8" borderId="26" xfId="0" applyFont="1" applyFill="1" applyBorder="1" applyAlignment="1">
      <alignment horizontal="center" vertical="center" wrapText="1"/>
    </xf>
    <xf numFmtId="0" fontId="14" fillId="8" borderId="0" xfId="0" applyFont="1" applyFill="1" applyAlignment="1">
      <alignment horizontal="center" vertical="center" wrapText="1"/>
    </xf>
    <xf numFmtId="0" fontId="16" fillId="6" borderId="24" xfId="0" applyFont="1" applyFill="1" applyBorder="1" applyAlignment="1">
      <alignment wrapText="1"/>
    </xf>
    <xf numFmtId="14" fontId="14" fillId="6" borderId="24" xfId="0" applyNumberFormat="1" applyFont="1" applyFill="1" applyBorder="1" applyAlignment="1">
      <alignment horizontal="center" vertical="center" wrapText="1"/>
    </xf>
    <xf numFmtId="165" fontId="14" fillId="6" borderId="26" xfId="0" applyNumberFormat="1" applyFont="1" applyFill="1" applyBorder="1" applyAlignment="1">
      <alignment horizontal="center" vertical="center" wrapText="1"/>
    </xf>
    <xf numFmtId="20" fontId="14" fillId="6" borderId="24" xfId="0" applyNumberFormat="1" applyFont="1" applyFill="1" applyBorder="1" applyAlignment="1">
      <alignment horizontal="center" vertical="center" wrapText="1"/>
    </xf>
    <xf numFmtId="0" fontId="14" fillId="6" borderId="26" xfId="0" applyFont="1" applyFill="1" applyBorder="1" applyAlignment="1">
      <alignment horizontal="center" vertical="center" wrapText="1"/>
    </xf>
    <xf numFmtId="0" fontId="14" fillId="6" borderId="0" xfId="0" applyFont="1" applyFill="1" applyAlignment="1">
      <alignment horizontal="center" vertical="center" wrapText="1"/>
    </xf>
    <xf numFmtId="0" fontId="16" fillId="8" borderId="24" xfId="0" applyFont="1" applyFill="1" applyBorder="1" applyAlignment="1">
      <alignment wrapText="1"/>
    </xf>
    <xf numFmtId="0" fontId="2" fillId="4" borderId="12" xfId="0" applyFont="1" applyFill="1" applyBorder="1" applyAlignment="1">
      <alignment horizontal="center" vertical="center" wrapText="1"/>
    </xf>
    <xf numFmtId="0" fontId="2" fillId="4" borderId="37" xfId="0" applyFont="1" applyFill="1" applyBorder="1" applyAlignment="1">
      <alignment horizontal="center" vertical="center" wrapText="1"/>
    </xf>
    <xf numFmtId="0" fontId="2" fillId="0" borderId="13" xfId="0" applyFont="1" applyBorder="1" applyAlignment="1">
      <alignment horizontal="left" vertical="center" wrapText="1"/>
    </xf>
    <xf numFmtId="0" fontId="1" fillId="0" borderId="0" xfId="0" applyFont="1" applyAlignment="1">
      <alignment horizontal="center" wrapText="1"/>
    </xf>
    <xf numFmtId="0" fontId="3" fillId="2" borderId="3" xfId="0" applyFont="1" applyFill="1" applyBorder="1" applyAlignment="1">
      <alignment horizontal="center"/>
    </xf>
    <xf numFmtId="0" fontId="3" fillId="2" borderId="0" xfId="0" applyFont="1" applyFill="1" applyAlignment="1">
      <alignment horizontal="center"/>
    </xf>
    <xf numFmtId="0" fontId="9" fillId="5" borderId="4" xfId="0" applyFont="1" applyFill="1" applyBorder="1" applyAlignment="1">
      <alignment horizontal="left" vertical="center" wrapText="1"/>
    </xf>
    <xf numFmtId="0" fontId="5" fillId="4" borderId="5" xfId="0" applyFont="1" applyFill="1" applyBorder="1" applyAlignment="1">
      <alignment horizontal="left" vertical="center"/>
    </xf>
    <xf numFmtId="0" fontId="5" fillId="4" borderId="6" xfId="0" applyFont="1" applyFill="1" applyBorder="1" applyAlignment="1">
      <alignment horizontal="left" vertical="center"/>
    </xf>
    <xf numFmtId="0" fontId="5" fillId="4" borderId="9" xfId="0" applyFont="1" applyFill="1" applyBorder="1" applyAlignment="1">
      <alignment horizontal="left" vertical="center"/>
    </xf>
    <xf numFmtId="0" fontId="5" fillId="4" borderId="0" xfId="0" applyFont="1" applyFill="1" applyAlignment="1">
      <alignment horizontal="left" vertical="center"/>
    </xf>
    <xf numFmtId="0" fontId="5" fillId="4" borderId="10" xfId="0" applyFont="1" applyFill="1" applyBorder="1" applyAlignment="1">
      <alignment horizontal="left"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11" xfId="0" applyFont="1" applyFill="1" applyBorder="1" applyAlignment="1">
      <alignment horizontal="center"/>
    </xf>
    <xf numFmtId="0" fontId="7" fillId="3" borderId="4" xfId="0" applyFont="1" applyFill="1" applyBorder="1" applyAlignment="1">
      <alignment horizontal="left" vertical="top" wrapText="1"/>
    </xf>
    <xf numFmtId="0" fontId="7" fillId="3" borderId="5" xfId="0" applyFont="1" applyFill="1" applyBorder="1" applyAlignment="1">
      <alignment horizontal="left" vertical="top" wrapText="1"/>
    </xf>
    <xf numFmtId="0" fontId="7" fillId="3" borderId="6" xfId="0" applyFont="1" applyFill="1" applyBorder="1" applyAlignment="1">
      <alignment horizontal="left" vertical="top" wrapText="1"/>
    </xf>
    <xf numFmtId="0" fontId="7" fillId="3" borderId="9" xfId="0" applyFont="1" applyFill="1" applyBorder="1" applyAlignment="1">
      <alignment horizontal="left" vertical="top" wrapText="1"/>
    </xf>
    <xf numFmtId="0" fontId="7" fillId="3" borderId="0" xfId="0" applyFont="1" applyFill="1" applyAlignment="1">
      <alignment horizontal="left" vertical="top" wrapText="1"/>
    </xf>
    <xf numFmtId="0" fontId="7" fillId="3" borderId="10" xfId="0" applyFont="1" applyFill="1" applyBorder="1" applyAlignment="1">
      <alignment horizontal="left" vertical="top" wrapText="1"/>
    </xf>
    <xf numFmtId="0" fontId="7" fillId="3" borderId="20" xfId="0" applyFont="1" applyFill="1" applyBorder="1" applyAlignment="1">
      <alignment horizontal="left" vertical="top" wrapText="1"/>
    </xf>
    <xf numFmtId="0" fontId="7" fillId="3" borderId="22" xfId="0" applyFont="1" applyFill="1" applyBorder="1" applyAlignment="1">
      <alignment horizontal="left" vertical="top" wrapText="1"/>
    </xf>
    <xf numFmtId="0" fontId="7" fillId="3" borderId="21" xfId="0" applyFont="1" applyFill="1" applyBorder="1" applyAlignment="1">
      <alignment horizontal="left" vertical="top" wrapText="1"/>
    </xf>
    <xf numFmtId="0" fontId="7" fillId="3" borderId="4"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3" borderId="9" xfId="0" applyFont="1" applyFill="1" applyBorder="1" applyAlignment="1">
      <alignment horizontal="left" vertical="center" wrapText="1"/>
    </xf>
    <xf numFmtId="0" fontId="7" fillId="3" borderId="10" xfId="0" applyFont="1" applyFill="1" applyBorder="1" applyAlignment="1">
      <alignment horizontal="left" vertical="center" wrapText="1"/>
    </xf>
    <xf numFmtId="0" fontId="7" fillId="3" borderId="20" xfId="0" applyFont="1" applyFill="1" applyBorder="1" applyAlignment="1">
      <alignment horizontal="left" vertical="center" wrapText="1"/>
    </xf>
    <xf numFmtId="0" fontId="7" fillId="3" borderId="21" xfId="0" applyFont="1" applyFill="1" applyBorder="1" applyAlignment="1">
      <alignment horizontal="left" vertical="center" wrapText="1"/>
    </xf>
    <xf numFmtId="0" fontId="2" fillId="0" borderId="0" xfId="0" applyFont="1" applyAlignment="1">
      <alignment horizontal="left" vertical="center" wrapText="1"/>
    </xf>
    <xf numFmtId="14" fontId="14" fillId="9" borderId="24" xfId="0" applyNumberFormat="1" applyFont="1" applyFill="1" applyBorder="1" applyAlignment="1">
      <alignment horizontal="center" vertical="center" wrapText="1"/>
    </xf>
    <xf numFmtId="165" fontId="14" fillId="9" borderId="26" xfId="0" applyNumberFormat="1" applyFont="1" applyFill="1" applyBorder="1" applyAlignment="1">
      <alignment horizontal="center" vertical="center" wrapText="1"/>
    </xf>
    <xf numFmtId="20" fontId="14" fillId="9" borderId="24"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0" fontId="16" fillId="18" borderId="24" xfId="0" applyFont="1" applyFill="1" applyBorder="1" applyAlignment="1"/>
    <xf numFmtId="0" fontId="5" fillId="0" borderId="0" xfId="0" applyFont="1" applyAlignment="1">
      <alignment wrapText="1"/>
    </xf>
    <xf numFmtId="0" fontId="32" fillId="2" borderId="0" xfId="0" applyFont="1" applyFill="1"/>
    <xf numFmtId="0" fontId="5" fillId="0" borderId="2" xfId="0" applyFont="1" applyBorder="1" applyAlignment="1">
      <alignment horizontal="left" vertical="center" wrapText="1"/>
    </xf>
    <xf numFmtId="0" fontId="5" fillId="0" borderId="2" xfId="0" applyFont="1" applyBorder="1" applyAlignment="1">
      <alignment wrapText="1"/>
    </xf>
    <xf numFmtId="0" fontId="5" fillId="0" borderId="2" xfId="0" applyFont="1" applyBorder="1" applyAlignment="1">
      <alignment vertical="center" wrapText="1"/>
    </xf>
    <xf numFmtId="0" fontId="5" fillId="0" borderId="2" xfId="0" applyFont="1" applyBorder="1" applyAlignment="1">
      <alignment horizontal="left" vertical="center"/>
    </xf>
    <xf numFmtId="0" fontId="5" fillId="0" borderId="15" xfId="0" applyFont="1" applyBorder="1" applyAlignment="1">
      <alignment wrapText="1"/>
    </xf>
    <xf numFmtId="0" fontId="33" fillId="0" borderId="16" xfId="0" applyFont="1" applyBorder="1" applyAlignment="1">
      <alignment horizontal="left" wrapText="1"/>
    </xf>
    <xf numFmtId="0" fontId="33" fillId="0" borderId="17" xfId="0" applyFont="1" applyBorder="1" applyAlignment="1">
      <alignment horizontal="left" wrapText="1"/>
    </xf>
    <xf numFmtId="0" fontId="33" fillId="0" borderId="18" xfId="0" applyFont="1" applyBorder="1" applyAlignment="1">
      <alignment horizontal="left" wrapText="1"/>
    </xf>
    <xf numFmtId="0" fontId="33" fillId="0" borderId="0" xfId="0" applyFont="1" applyAlignment="1">
      <alignment horizontal="left" wrapText="1"/>
    </xf>
    <xf numFmtId="0" fontId="32" fillId="2" borderId="19" xfId="0" applyFont="1" applyFill="1" applyBorder="1" applyAlignment="1">
      <alignment horizontal="center" vertical="center"/>
    </xf>
    <xf numFmtId="0" fontId="5" fillId="4" borderId="16" xfId="0" applyFont="1" applyFill="1" applyBorder="1" applyAlignment="1">
      <alignment horizontal="center" vertical="center" wrapText="1"/>
    </xf>
    <xf numFmtId="0" fontId="5" fillId="4" borderId="17" xfId="0" applyFont="1" applyFill="1" applyBorder="1" applyAlignment="1">
      <alignment horizontal="center" vertical="center" wrapText="1"/>
    </xf>
    <xf numFmtId="0" fontId="5" fillId="4" borderId="18" xfId="0" applyFont="1" applyFill="1" applyBorder="1" applyAlignment="1">
      <alignment horizontal="center" vertical="center" wrapText="1"/>
    </xf>
  </cellXfs>
  <cellStyles count="1">
    <cellStyle name="Normal" xfId="0" builtinId="0"/>
  </cellStyles>
  <dxfs count="38">
    <dxf>
      <font>
        <color theme="8"/>
      </font>
      <fill>
        <patternFill patternType="solid">
          <bgColor theme="8" tint="0.59999389629810485"/>
        </patternFill>
      </fill>
    </dxf>
    <dxf>
      <font>
        <color rgb="FF006100"/>
      </font>
      <fill>
        <patternFill>
          <bgColor rgb="FFC6EFCE"/>
        </patternFill>
      </fill>
    </dxf>
    <dxf>
      <font>
        <color rgb="FF0070C0"/>
      </font>
      <fill>
        <patternFill patternType="solid">
          <bgColor theme="7" tint="0.59999389629810485"/>
        </patternFill>
      </fill>
    </dxf>
    <dxf>
      <font>
        <color rgb="FF9C5700"/>
      </font>
      <fill>
        <patternFill>
          <bgColor rgb="FFFFEB9C"/>
        </patternFill>
      </fill>
    </dxf>
    <dxf>
      <font>
        <color theme="8"/>
      </font>
      <fill>
        <patternFill patternType="solid">
          <bgColor theme="8" tint="0.59999389629810485"/>
        </patternFill>
      </fill>
    </dxf>
    <dxf>
      <font>
        <color rgb="FF006100"/>
      </font>
      <fill>
        <patternFill>
          <bgColor rgb="FFC6EFCE"/>
        </patternFill>
      </fill>
    </dxf>
    <dxf>
      <font>
        <color rgb="FF006100"/>
      </font>
      <fill>
        <patternFill>
          <bgColor rgb="FFC6EFCE"/>
        </patternFill>
      </fill>
    </dxf>
    <dxf>
      <font>
        <color rgb="FF0070C0"/>
      </font>
      <fill>
        <patternFill patternType="solid">
          <bgColor theme="7" tint="0.59999389629810485"/>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5F7A8"/>
      <color rgb="FFED8C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enata Saraiva" id="{19834A25-E210-4477-A959-2DA794E3AC00}" userId="bea2587e30ef7fb6" providerId="Windows Live"/>
  <person displayName="izabelaasmznet@gmail.com" id="{009CF4BD-6B28-4DEB-B850-A4B8EA3F48E5}" userId="izabelaasmznet@gmail.com" providerId="PeoplePicker"/>
  <person displayName="KAROLAYNE PEREIRA" id="{ED635325-A1AC-437C-B338-120E73BAEF49}" userId="karolaynepereira123@outlook.com" providerId="PeoplePicker"/>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99" dT="2026-04-22T16:42:03.42" personId="{19834A25-E210-4477-A959-2DA794E3AC00}" id="{ADECC19C-C981-446F-B4F3-8897A67909B1}">
    <text>Mudança apenas de apartamento
saindo do 501 para o 502</text>
  </threadedComment>
  <threadedComment ref="J199" dT="2026-04-22T16:42:36.81" personId="{19834A25-E210-4477-A959-2DA794E3AC00}" id="{1679B24D-125C-4358-BE69-F4C70F694FF5}" parentId="{ADECC19C-C981-446F-B4F3-8897A67909B1}">
    <text xml:space="preserve">@KAROLAYNE PEREIRA @izabelaasmznet@gmail.com </text>
    <mentions>
      <mention mentionpersonId="{ED635325-A1AC-437C-B338-120E73BAEF49}" mentionId="{6CCD112F-C4D6-4EEE-AD89-ECA6B707B56E}" startIndex="0" length="18"/>
      <mention mentionpersonId="{009CF4BD-6B28-4DEB-B850-A4B8EA3F48E5}" mentionId="{10AC318A-44CA-4183-869F-B6345A3A6E4C}" startIndex="19" length="25"/>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0F9EF-A869-4E8A-9160-1B1FF63C6376}">
  <sheetPr>
    <tabColor rgb="FF00B0F0"/>
  </sheetPr>
  <dimension ref="B1:N56"/>
  <sheetViews>
    <sheetView showGridLines="0" zoomScale="70" zoomScaleNormal="70" workbookViewId="0">
      <selection activeCell="M11" sqref="M11"/>
    </sheetView>
  </sheetViews>
  <sheetFormatPr defaultColWidth="9.140625" defaultRowHeight="18.75" x14ac:dyDescent="0.3"/>
  <cols>
    <col min="1" max="1" width="3.28515625" style="1" customWidth="1"/>
    <col min="2" max="2" width="41.140625" style="345" customWidth="1"/>
    <col min="3" max="3" width="3.42578125" style="1" customWidth="1"/>
    <col min="4" max="4" width="34" style="1" bestFit="1" customWidth="1"/>
    <col min="5" max="5" width="49.85546875" style="1" bestFit="1" customWidth="1"/>
    <col min="6" max="6" width="9.140625" style="1"/>
    <col min="7" max="7" width="3.42578125" style="1" customWidth="1"/>
    <col min="8" max="8" width="37.42578125" style="1" customWidth="1"/>
    <col min="9" max="9" width="52" style="1" customWidth="1"/>
    <col min="10" max="10" width="2.7109375" style="1" customWidth="1"/>
    <col min="11" max="11" width="18.7109375" style="1" bestFit="1" customWidth="1"/>
    <col min="12" max="12" width="16.28515625" style="1" bestFit="1" customWidth="1"/>
    <col min="13" max="13" width="9.140625" style="1"/>
    <col min="14" max="14" width="14.85546875" style="1" hidden="1" customWidth="1"/>
    <col min="15" max="16384" width="9.140625" style="1"/>
  </cols>
  <sheetData>
    <row r="1" spans="2:14" x14ac:dyDescent="0.3">
      <c r="N1" s="24" t="s">
        <v>0</v>
      </c>
    </row>
    <row r="2" spans="2:14" x14ac:dyDescent="0.3">
      <c r="N2" s="24" t="s">
        <v>1</v>
      </c>
    </row>
    <row r="3" spans="2:14" ht="20.25" x14ac:dyDescent="0.3">
      <c r="B3" s="312"/>
      <c r="C3" s="312"/>
      <c r="D3" s="312"/>
      <c r="E3" s="312"/>
      <c r="F3" s="312"/>
      <c r="G3" s="312"/>
      <c r="H3" s="312"/>
      <c r="I3" s="312"/>
      <c r="N3" s="1" t="s">
        <v>2</v>
      </c>
    </row>
    <row r="4" spans="2:14" x14ac:dyDescent="0.3">
      <c r="D4" s="2" t="s">
        <v>3</v>
      </c>
      <c r="E4" s="3">
        <v>45667</v>
      </c>
      <c r="N4" s="1" t="s">
        <v>4</v>
      </c>
    </row>
    <row r="5" spans="2:14" x14ac:dyDescent="0.3">
      <c r="D5" s="4" t="s">
        <v>5</v>
      </c>
      <c r="E5" s="5" t="s">
        <v>12</v>
      </c>
      <c r="H5" s="6" t="s">
        <v>7</v>
      </c>
      <c r="I5" s="25" t="s">
        <v>0</v>
      </c>
      <c r="N5" s="1" t="s">
        <v>8</v>
      </c>
    </row>
    <row r="6" spans="2:14" x14ac:dyDescent="0.3">
      <c r="B6" s="346" t="s">
        <v>9</v>
      </c>
      <c r="D6" s="4" t="s">
        <v>10</v>
      </c>
      <c r="E6" s="7"/>
      <c r="H6" s="8" t="s">
        <v>11</v>
      </c>
      <c r="I6" s="9"/>
      <c r="N6" s="1" t="s">
        <v>12</v>
      </c>
    </row>
    <row r="7" spans="2:14" x14ac:dyDescent="0.3">
      <c r="D7" s="10" t="s">
        <v>13</v>
      </c>
      <c r="E7" s="26" t="s">
        <v>2432</v>
      </c>
      <c r="H7" s="8" t="s">
        <v>15</v>
      </c>
      <c r="I7" s="11">
        <f>VLOOKUP($E$7,'base de dados'!$C:$I,4,0)</f>
        <v>46176</v>
      </c>
      <c r="K7" s="9" t="s">
        <v>16</v>
      </c>
      <c r="L7" s="9" t="s">
        <v>17</v>
      </c>
      <c r="N7" s="1" t="s">
        <v>6</v>
      </c>
    </row>
    <row r="8" spans="2:14" x14ac:dyDescent="0.25">
      <c r="B8" s="347" t="s">
        <v>18</v>
      </c>
      <c r="D8" s="10" t="s">
        <v>19</v>
      </c>
      <c r="E8" s="12">
        <f>VLOOKUP($E$7,'base de dados'!$C:$S,3,0)</f>
        <v>3499232699</v>
      </c>
      <c r="H8" s="8" t="s">
        <v>20</v>
      </c>
      <c r="I8" s="13">
        <f>VLOOKUP($E$7,'base de dados'!$C:$I,6,0)</f>
        <v>0.41666666666666669</v>
      </c>
      <c r="K8" s="14">
        <f ca="1">NOW()</f>
        <v>46192.688194097223</v>
      </c>
      <c r="L8" s="15">
        <f ca="1">TODAY()</f>
        <v>46192</v>
      </c>
      <c r="N8" s="1" t="s">
        <v>21</v>
      </c>
    </row>
    <row r="9" spans="2:14" x14ac:dyDescent="0.25">
      <c r="B9" s="347" t="s">
        <v>22</v>
      </c>
      <c r="D9" s="313" t="s">
        <v>23</v>
      </c>
      <c r="E9" s="314"/>
      <c r="F9" s="314"/>
      <c r="H9" s="8" t="s">
        <v>24</v>
      </c>
      <c r="I9" s="13" t="str">
        <f>VLOOKUP($E$7,'base de dados'!$C:$I,7,0)</f>
        <v>PIX</v>
      </c>
    </row>
    <row r="10" spans="2:14" ht="56.25" x14ac:dyDescent="0.25">
      <c r="B10" s="347" t="s">
        <v>25</v>
      </c>
      <c r="D10" s="315" t="str">
        <f>VLOOKUP($E$7,'base de dados'!$C:$J,8,0)</f>
        <v>ENDEREÇO NOVO: RUA JOSÉ VICENTE DA SILVA, 82 
COMPLEMENTO: CASA UNICA
CEP: 38425612
BAIRRO: SHOPPING PARK</v>
      </c>
      <c r="E10" s="316"/>
      <c r="F10" s="317"/>
      <c r="H10" s="321" t="s">
        <v>26</v>
      </c>
      <c r="I10" s="322"/>
      <c r="J10" s="16"/>
      <c r="N10" s="1" t="s">
        <v>27</v>
      </c>
    </row>
    <row r="11" spans="2:14" ht="75" x14ac:dyDescent="0.3">
      <c r="B11" s="348" t="s">
        <v>28</v>
      </c>
      <c r="D11" s="318"/>
      <c r="E11" s="319"/>
      <c r="F11" s="320"/>
      <c r="H11" s="8" t="s">
        <v>29</v>
      </c>
      <c r="I11" s="17" t="str">
        <f>VLOOKUP($E$7,'base de dados'!$C:$S,13,0)</f>
        <v>BERNADETE SANTOS PAULA (AVO)</v>
      </c>
      <c r="N11" s="1" t="s">
        <v>30</v>
      </c>
    </row>
    <row r="12" spans="2:14" x14ac:dyDescent="0.25">
      <c r="B12" s="347" t="s">
        <v>31</v>
      </c>
      <c r="D12" s="318"/>
      <c r="E12" s="319"/>
      <c r="F12" s="320"/>
      <c r="H12" s="8" t="s">
        <v>32</v>
      </c>
      <c r="I12" s="17">
        <f>VLOOKUP($E$7,'base de dados'!$C:$S,14,0)</f>
        <v>3499232699</v>
      </c>
    </row>
    <row r="13" spans="2:14" ht="93.75" x14ac:dyDescent="0.25">
      <c r="B13" s="347" t="s">
        <v>33</v>
      </c>
      <c r="D13" s="318"/>
      <c r="E13" s="319"/>
      <c r="F13" s="320"/>
      <c r="H13" s="323" t="s">
        <v>34</v>
      </c>
      <c r="I13" s="323"/>
      <c r="N13" s="1" t="s">
        <v>35</v>
      </c>
    </row>
    <row r="14" spans="2:14" ht="131.25" x14ac:dyDescent="0.25">
      <c r="B14" s="349" t="s">
        <v>36</v>
      </c>
      <c r="D14" s="18" t="s">
        <v>37</v>
      </c>
      <c r="E14" s="309" t="str">
        <f>VLOOKUP($E$7,'base de dados'!$C:$K,9,0)</f>
        <v>&lt;b&gt;ONT = ONT TP LINK 230 // CONECTOR = VERDE.&lt;/b&gt;</v>
      </c>
      <c r="F14" s="310"/>
      <c r="H14" s="311" t="str">
        <f>VLOOKUP($E$7,'base de dados'!$C:$S,2,0)</f>
        <v xml:space="preserve">VALIDAÇÃO OK </v>
      </c>
      <c r="I14" s="311"/>
      <c r="N14" s="1" t="s">
        <v>38</v>
      </c>
    </row>
    <row r="15" spans="2:14" x14ac:dyDescent="0.25">
      <c r="B15" s="350" t="s">
        <v>39</v>
      </c>
      <c r="D15" s="19" t="s">
        <v>40</v>
      </c>
      <c r="E15" s="6" t="s">
        <v>41</v>
      </c>
      <c r="F15" s="20"/>
      <c r="H15" s="311"/>
      <c r="I15" s="311"/>
      <c r="N15" s="1" t="s">
        <v>42</v>
      </c>
    </row>
    <row r="16" spans="2:14" ht="45" customHeight="1" x14ac:dyDescent="0.3">
      <c r="B16" s="351" t="s">
        <v>43</v>
      </c>
      <c r="D16" s="324" t="str">
        <f ca="1">CONCATENATE("TÉC. ",$E$5,"
ENTREI EM CONTATO COM ",$E$7," (",$E$8,") DIA ",TEXT(TODAY(),"DD/MM")," ÀS ",TEXT(NOW(),"HH:MM")," HORAS POR LIGAÇÃO . CONFIRMEI OS DADOS ABAIXO: 
",$D$10,"
TAXA A SER PAGA NO MOMENTO DA INSTALAÇÃO DE ",$I$5,"  NO ",$I$9,"  E RESSALTEI QUE OS EQUIPAMENTOS DE INTERNET DEVEM SER LEVADOS PARA O NOVO ENDEREÇO, ONU, ROTEADOR OU ONT + (FONTES DE ENERGIA).
",$E$7," VAI ACOMPANHAR A VISITA. 
CONFIRMADO PARA DIA ",TEXT($I$7,"DD/MM")," ÁS ",TEXT($I$8,"HH:MM")," HORAS.")</f>
        <v>TÉC. HIAGO
ENTREI EM CONTATO COM ISABELLA SANTOS PAULA (3499232699) DIA 19/06 ÀS 16:31 HORAS POR LIGAÇÃO . CONFIRMEI OS DADOS ABAIXO: 
ENDEREÇO NOVO: RUA JOSÉ VICENTE DA SILVA, 82 
COMPLEMENTO: CASA UNICA
CEP: 38425612
BAIRRO: SHOPPING PARK
TAXA A SER PAGA NO MOMENTO DA INSTALAÇÃO DE R$100,00  NO PIX  E RESSALTEI QUE OS EQUIPAMENTOS DE INTERNET DEVEM SER LEVADOS PARA O NOVO ENDEREÇO, ONU, ROTEADOR OU ONT + (FONTES DE ENERGIA).
ISABELLA SANTOS PAULA VAI ACOMPANHAR A VISITA. 
CONFIRMADO PARA DIA 03/06 ÁS 10:00 HORAS.</v>
      </c>
      <c r="E16" s="325"/>
      <c r="F16" s="326"/>
      <c r="H16" s="19" t="s">
        <v>44</v>
      </c>
      <c r="N16" s="1" t="s">
        <v>45</v>
      </c>
    </row>
    <row r="17" spans="2:14" ht="15" customHeight="1" x14ac:dyDescent="0.25">
      <c r="B17" s="352" t="s">
        <v>3425</v>
      </c>
      <c r="D17" s="327"/>
      <c r="E17" s="328"/>
      <c r="F17" s="329"/>
      <c r="H17" s="333" t="str">
        <f ca="1">CONCATENATE("TÉC. ",$E$5,"
TENTEI CONTATO COM ",E7,"  POR LIGAÇÃO (",E8,") DIA ",TEXT(TODAY(),"DD/MM")," ÀS ",TEXT(K8,"HH:MM"),"HORAS, TELEFONE NÃO ATENDE. 
ENVIEI MENSAGEM WHATSAPP AGUARDANDO RETORNO.")</f>
        <v>TÉC. HIAGO
TENTEI CONTATO COM ISABELLA SANTOS PAULA  POR LIGAÇÃO (3499232699) DIA 19/06 ÀS 16:31HORAS, TELEFONE NÃO ATENDE. 
ENVIEI MENSAGEM WHATSAPP AGUARDANDO RETORNO.</v>
      </c>
      <c r="I17" s="334"/>
      <c r="N17" s="1" t="s">
        <v>46</v>
      </c>
    </row>
    <row r="18" spans="2:14" ht="15.75" x14ac:dyDescent="0.25">
      <c r="B18" s="353"/>
      <c r="D18" s="327"/>
      <c r="E18" s="328"/>
      <c r="F18" s="329"/>
      <c r="H18" s="335"/>
      <c r="I18" s="336"/>
    </row>
    <row r="19" spans="2:14" ht="15.75" x14ac:dyDescent="0.25">
      <c r="B19" s="353"/>
      <c r="D19" s="327"/>
      <c r="E19" s="328"/>
      <c r="F19" s="329"/>
      <c r="H19" s="335"/>
      <c r="I19" s="336"/>
      <c r="N19" s="21">
        <v>0.35416666666666669</v>
      </c>
    </row>
    <row r="20" spans="2:14" ht="15.75" x14ac:dyDescent="0.25">
      <c r="B20" s="353"/>
      <c r="D20" s="327"/>
      <c r="E20" s="328"/>
      <c r="F20" s="329"/>
      <c r="H20" s="335"/>
      <c r="I20" s="336"/>
      <c r="N20" s="21">
        <v>0.4375</v>
      </c>
    </row>
    <row r="21" spans="2:14" ht="15.75" customHeight="1" x14ac:dyDescent="0.25">
      <c r="B21" s="354"/>
      <c r="D21" s="327"/>
      <c r="E21" s="328"/>
      <c r="F21" s="329"/>
      <c r="H21" s="335"/>
      <c r="I21" s="336"/>
      <c r="N21" s="21">
        <v>0.5625</v>
      </c>
    </row>
    <row r="22" spans="2:14" ht="93.75" x14ac:dyDescent="0.3">
      <c r="B22" s="351" t="s">
        <v>47</v>
      </c>
      <c r="D22" s="327"/>
      <c r="E22" s="328"/>
      <c r="F22" s="329"/>
      <c r="H22" s="335"/>
      <c r="I22" s="336"/>
      <c r="N22" s="21">
        <v>0.64583333333333337</v>
      </c>
    </row>
    <row r="23" spans="2:14" x14ac:dyDescent="0.3">
      <c r="B23" s="351"/>
      <c r="D23" s="327"/>
      <c r="E23" s="328"/>
      <c r="F23" s="329"/>
      <c r="H23" s="335"/>
      <c r="I23" s="336"/>
      <c r="N23" s="1" t="s">
        <v>48</v>
      </c>
    </row>
    <row r="24" spans="2:14" x14ac:dyDescent="0.3">
      <c r="B24" s="351"/>
      <c r="D24" s="327"/>
      <c r="E24" s="328"/>
      <c r="F24" s="329"/>
      <c r="H24" s="335"/>
      <c r="I24" s="336"/>
    </row>
    <row r="25" spans="2:14" x14ac:dyDescent="0.3">
      <c r="B25" s="351"/>
      <c r="D25" s="330"/>
      <c r="E25" s="331"/>
      <c r="F25" s="332"/>
      <c r="H25" s="337"/>
      <c r="I25" s="338"/>
    </row>
    <row r="26" spans="2:14" x14ac:dyDescent="0.3">
      <c r="B26" s="355"/>
    </row>
    <row r="28" spans="2:14" x14ac:dyDescent="0.25">
      <c r="B28" s="356" t="s">
        <v>49</v>
      </c>
      <c r="D28" s="22" t="s">
        <v>40</v>
      </c>
      <c r="E28" s="6" t="s">
        <v>50</v>
      </c>
    </row>
    <row r="29" spans="2:14" ht="15" customHeight="1" x14ac:dyDescent="0.25">
      <c r="B29" s="357" t="str">
        <f>VLOOKUP($E$7,'base de dados'!$C:$M,11,0)</f>
        <v>-</v>
      </c>
      <c r="D29" s="324" t="str">
        <f ca="1">CONCATENATE("TÉC. ",$E$5,"
ENTREI EM CONTATO COM ",$E$7," (",$E$8,") DIA ",TEXT(TODAY(),"DD/MM")," ÀS ",TEXT(NOW(),"HH:MM")," HORAS POR LIGAÇÃO. CONFIRMEI OS DADOS ABAIXO: 
",$D$10,"
TAXA A SER PAGA NO MOMENTO DA INSTALAÇÃO DE R$100,00  NO ",$I$9,"  E RESSALTEI QUE OS EQUIPAMENTOS DE INTERNET DEVEM SER LEVADOS PARA O NOVO ENDEREÇO, ONU, ROTEADOR OU ONT + (FONTES DE ENERGIA).",$E$7," AUTORIZA ",$I$11, " (",$I$12,") ACOMPANHAR A VISITA. 
CONFIRMADO PARA DIA ",TEXT($I$7,"DD/MM")," ÁS ",TEXT($I$8,"HH:MM")," HORAS.")</f>
        <v>TÉC. HIAGO
ENTREI EM CONTATO COM ISABELLA SANTOS PAULA (3499232699) DIA 19/06 ÀS 16:31 HORAS POR LIGAÇÃO. CONFIRMEI OS DADOS ABAIXO: 
ENDEREÇO NOVO: RUA JOSÉ VICENTE DA SILVA, 82 
COMPLEMENTO: CASA UNICA
CEP: 38425612
BAIRRO: SHOPPING PARK
TAXA A SER PAGA NO MOMENTO DA INSTALAÇÃO DE R$100,00  NO PIX  E RESSALTEI QUE OS EQUIPAMENTOS DE INTERNET DEVEM SER LEVADOS PARA O NOVO ENDEREÇO, ONU, ROTEADOR OU ONT + (FONTES DE ENERGIA).ISABELLA SANTOS PAULA AUTORIZA BERNADETE SANTOS PAULA (AVO) (3499232699) ACOMPANHAR A VISITA. 
CONFIRMADO PARA DIA 03/06 ÁS 10:00 HORAS.</v>
      </c>
      <c r="E29" s="325"/>
      <c r="F29" s="326"/>
    </row>
    <row r="30" spans="2:14" ht="18.75" customHeight="1" x14ac:dyDescent="0.25">
      <c r="B30" s="358"/>
      <c r="D30" s="327"/>
      <c r="E30" s="328"/>
      <c r="F30" s="329"/>
      <c r="H30" s="339"/>
      <c r="I30" s="339"/>
      <c r="J30" s="339"/>
    </row>
    <row r="31" spans="2:14" ht="15.75" customHeight="1" x14ac:dyDescent="0.25">
      <c r="B31" s="358"/>
      <c r="D31" s="327"/>
      <c r="E31" s="328"/>
      <c r="F31" s="329"/>
      <c r="H31" s="339"/>
      <c r="I31" s="339"/>
      <c r="J31" s="339"/>
    </row>
    <row r="32" spans="2:14" ht="45.75" customHeight="1" x14ac:dyDescent="0.25">
      <c r="B32" s="358"/>
      <c r="D32" s="327"/>
      <c r="E32" s="328"/>
      <c r="F32" s="329"/>
      <c r="H32" s="339"/>
      <c r="I32" s="339"/>
      <c r="J32" s="339"/>
    </row>
    <row r="33" spans="2:11" ht="15.75" x14ac:dyDescent="0.25">
      <c r="B33" s="358"/>
      <c r="D33" s="327"/>
      <c r="E33" s="328"/>
      <c r="F33" s="329"/>
      <c r="H33" s="339"/>
      <c r="I33" s="339"/>
      <c r="J33" s="339"/>
    </row>
    <row r="34" spans="2:11" ht="15.75" x14ac:dyDescent="0.25">
      <c r="B34" s="358"/>
      <c r="D34" s="327"/>
      <c r="E34" s="328"/>
      <c r="F34" s="329"/>
      <c r="H34" s="339"/>
      <c r="I34" s="339"/>
      <c r="J34" s="339"/>
    </row>
    <row r="35" spans="2:11" ht="15.75" customHeight="1" x14ac:dyDescent="0.25">
      <c r="B35" s="358"/>
      <c r="D35" s="327"/>
      <c r="E35" s="328"/>
      <c r="F35" s="329"/>
      <c r="H35" s="339"/>
      <c r="I35" s="339"/>
      <c r="J35" s="339"/>
      <c r="K35" s="23"/>
    </row>
    <row r="36" spans="2:11" ht="15.75" x14ac:dyDescent="0.25">
      <c r="B36" s="359"/>
      <c r="D36" s="327"/>
      <c r="E36" s="328"/>
      <c r="F36" s="329"/>
      <c r="H36" s="339"/>
      <c r="I36" s="339"/>
      <c r="J36" s="339"/>
      <c r="K36" s="23"/>
    </row>
    <row r="37" spans="2:11" x14ac:dyDescent="0.3">
      <c r="D37" s="327"/>
      <c r="E37" s="328"/>
      <c r="F37" s="329"/>
      <c r="H37" s="339"/>
      <c r="I37" s="339"/>
      <c r="J37" s="339"/>
      <c r="K37" s="23"/>
    </row>
    <row r="38" spans="2:11" x14ac:dyDescent="0.3">
      <c r="D38" s="330"/>
      <c r="E38" s="331"/>
      <c r="F38" s="332"/>
      <c r="H38" s="339"/>
      <c r="I38" s="339"/>
      <c r="J38" s="339"/>
      <c r="K38" s="23"/>
    </row>
    <row r="39" spans="2:11" x14ac:dyDescent="0.3">
      <c r="H39" s="339"/>
      <c r="I39" s="339"/>
      <c r="J39" s="339"/>
      <c r="K39" s="23"/>
    </row>
    <row r="40" spans="2:11" x14ac:dyDescent="0.3">
      <c r="H40" s="339"/>
      <c r="I40" s="339"/>
      <c r="J40" s="339"/>
      <c r="K40" s="23"/>
    </row>
    <row r="41" spans="2:11" x14ac:dyDescent="0.3">
      <c r="H41" s="339"/>
      <c r="I41" s="339"/>
      <c r="J41" s="339"/>
      <c r="K41" s="23"/>
    </row>
    <row r="42" spans="2:11" x14ac:dyDescent="0.3">
      <c r="H42" s="339"/>
      <c r="I42" s="339"/>
      <c r="J42" s="339"/>
      <c r="K42" s="23"/>
    </row>
    <row r="43" spans="2:11" x14ac:dyDescent="0.3">
      <c r="H43" s="339"/>
      <c r="I43" s="339"/>
      <c r="J43" s="339"/>
      <c r="K43" s="23"/>
    </row>
    <row r="44" spans="2:11" x14ac:dyDescent="0.3">
      <c r="H44" s="23"/>
      <c r="I44" s="23"/>
      <c r="J44" s="23"/>
      <c r="K44" s="23"/>
    </row>
    <row r="45" spans="2:11" x14ac:dyDescent="0.3">
      <c r="H45" s="23"/>
      <c r="I45" s="23"/>
      <c r="J45" s="23"/>
      <c r="K45" s="23"/>
    </row>
    <row r="46" spans="2:11" x14ac:dyDescent="0.3">
      <c r="H46" s="23"/>
      <c r="I46" s="23"/>
      <c r="J46" s="23"/>
      <c r="K46" s="23"/>
    </row>
    <row r="47" spans="2:11" x14ac:dyDescent="0.3">
      <c r="H47" s="23"/>
      <c r="I47" s="23"/>
      <c r="J47" s="23"/>
      <c r="K47" s="23"/>
    </row>
    <row r="48" spans="2:11" x14ac:dyDescent="0.3">
      <c r="H48" s="23"/>
      <c r="I48" s="23"/>
      <c r="J48" s="23"/>
      <c r="K48" s="23"/>
    </row>
    <row r="49" spans="8:11" x14ac:dyDescent="0.3">
      <c r="H49" s="23"/>
      <c r="I49" s="23"/>
      <c r="J49" s="23"/>
      <c r="K49" s="23"/>
    </row>
    <row r="50" spans="8:11" x14ac:dyDescent="0.3">
      <c r="H50" s="23"/>
      <c r="I50" s="23"/>
      <c r="J50" s="23"/>
      <c r="K50" s="23"/>
    </row>
    <row r="51" spans="8:11" x14ac:dyDescent="0.3">
      <c r="H51" s="23"/>
      <c r="I51" s="23"/>
      <c r="J51" s="23"/>
      <c r="K51" s="23"/>
    </row>
    <row r="52" spans="8:11" x14ac:dyDescent="0.3">
      <c r="H52" s="23"/>
      <c r="I52" s="23"/>
      <c r="J52" s="23"/>
      <c r="K52" s="23"/>
    </row>
    <row r="53" spans="8:11" x14ac:dyDescent="0.3">
      <c r="H53" s="23"/>
      <c r="I53" s="23"/>
      <c r="J53" s="23"/>
      <c r="K53" s="23"/>
    </row>
    <row r="54" spans="8:11" x14ac:dyDescent="0.3">
      <c r="H54" s="23"/>
      <c r="I54" s="23"/>
      <c r="J54" s="23"/>
      <c r="K54" s="23"/>
    </row>
    <row r="55" spans="8:11" x14ac:dyDescent="0.3">
      <c r="H55" s="23"/>
      <c r="I55" s="23"/>
      <c r="J55" s="23"/>
      <c r="K55" s="23"/>
    </row>
    <row r="56" spans="8:11" x14ac:dyDescent="0.3">
      <c r="H56" s="23"/>
      <c r="I56" s="23"/>
      <c r="J56" s="23"/>
      <c r="K56" s="23"/>
    </row>
  </sheetData>
  <mergeCells count="13">
    <mergeCell ref="D16:F25"/>
    <mergeCell ref="B17:B21"/>
    <mergeCell ref="H17:I25"/>
    <mergeCell ref="B29:B36"/>
    <mergeCell ref="D29:F38"/>
    <mergeCell ref="H30:J43"/>
    <mergeCell ref="E14:F14"/>
    <mergeCell ref="H14:I15"/>
    <mergeCell ref="B3:I3"/>
    <mergeCell ref="D9:F9"/>
    <mergeCell ref="D10:F13"/>
    <mergeCell ref="H10:I10"/>
    <mergeCell ref="H13:I13"/>
  </mergeCells>
  <dataValidations count="3">
    <dataValidation allowBlank="1" showInputMessage="1" showErrorMessage="1" sqref="E6" xr:uid="{D8EE021A-31EA-4A93-ADC3-8E89F1982EDE}"/>
    <dataValidation type="list" allowBlank="1" showInputMessage="1" showErrorMessage="1" sqref="I5" xr:uid="{B4475847-94DD-4943-8FB5-8556B2759673}">
      <formula1>$N$1:$N$2</formula1>
    </dataValidation>
    <dataValidation type="list" allowBlank="1" showInputMessage="1" showErrorMessage="1" sqref="E5" xr:uid="{360E4165-E5B8-4CC9-A3DB-F039693519C2}">
      <formula1>$N$3:$N$9</formula1>
    </dataValidation>
  </dataValidations>
  <pageMargins left="0.511811024" right="0.511811024" top="0.78740157499999996" bottom="0.78740157499999996" header="0.31496062000000002" footer="0.31496062000000002"/>
  <pageSetup paperSize="9" orientation="portrait" horizontalDpi="1200" verticalDpi="1200"/>
  <extLst>
    <ext xmlns:x14="http://schemas.microsoft.com/office/spreadsheetml/2009/9/main" uri="{CCE6A557-97BC-4b89-ADB6-D9C93CAAB3DF}">
      <x14:dataValidations xmlns:xm="http://schemas.microsoft.com/office/excel/2006/main" count="1">
        <x14:dataValidation type="list" allowBlank="1" showInputMessage="1" showErrorMessage="1" xr:uid="{0687F78A-BA85-445C-BC40-18119D0969CA}">
          <x14:formula1>
            <xm:f>'base de dados'!$C:$C</xm:f>
          </x14:formula1>
          <xm:sqref>E7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84"/>
  <sheetViews>
    <sheetView showGridLines="0" tabSelected="1" zoomScale="60" zoomScaleNormal="60" workbookViewId="0">
      <pane ySplit="1" topLeftCell="A664" activePane="bottomLeft" state="frozen"/>
      <selection pane="bottomLeft" activeCell="B671" sqref="B671"/>
    </sheetView>
  </sheetViews>
  <sheetFormatPr defaultColWidth="9.140625" defaultRowHeight="13.5" customHeight="1" x14ac:dyDescent="0.25"/>
  <cols>
    <col min="1" max="1" width="48.7109375" style="286" customWidth="1"/>
    <col min="2" max="2" width="27" style="45" customWidth="1"/>
    <col min="3" max="3" width="33.140625" style="287" customWidth="1"/>
    <col min="4" max="4" width="30.42578125" style="288" customWidth="1"/>
    <col min="5" max="5" width="25" style="45" customWidth="1"/>
    <col min="6" max="6" width="20.140625" style="289" customWidth="1"/>
    <col min="7" max="7" width="19.5703125" style="290" customWidth="1"/>
    <col min="8" max="8" width="27.42578125" style="45" customWidth="1"/>
    <col min="9" max="9" width="26.28515625" style="45" bestFit="1" customWidth="1"/>
    <col min="10" max="10" width="36.7109375" style="45" customWidth="1"/>
    <col min="11" max="11" width="41.42578125" style="285" bestFit="1" customWidth="1"/>
    <col min="12" max="12" width="20.42578125" style="291" bestFit="1" customWidth="1"/>
    <col min="13" max="13" width="41.28515625" style="45" customWidth="1"/>
    <col min="14" max="14" width="35.140625" style="45" bestFit="1" customWidth="1"/>
    <col min="15" max="15" width="36.5703125" style="285" bestFit="1" customWidth="1"/>
    <col min="16" max="16" width="39.85546875" style="45" customWidth="1"/>
    <col min="17" max="18" width="37.28515625" style="285" customWidth="1"/>
    <col min="19" max="19" width="29" style="45" bestFit="1" customWidth="1"/>
    <col min="20" max="20" width="34.140625" style="45" customWidth="1"/>
    <col min="21" max="22" width="9.140625" style="45" customWidth="1"/>
    <col min="23" max="25" width="9.140625" style="45"/>
    <col min="26" max="26" width="36.5703125" style="45" bestFit="1" customWidth="1"/>
    <col min="27" max="16384" width="9.140625" style="45"/>
  </cols>
  <sheetData>
    <row r="1" spans="1:25" s="36" customFormat="1" ht="36" x14ac:dyDescent="0.25">
      <c r="A1" s="31" t="s">
        <v>51</v>
      </c>
      <c r="B1" s="31" t="s">
        <v>52</v>
      </c>
      <c r="C1" s="32" t="s">
        <v>53</v>
      </c>
      <c r="D1" s="32" t="s">
        <v>54</v>
      </c>
      <c r="E1" s="31" t="s">
        <v>55</v>
      </c>
      <c r="F1" s="33" t="s">
        <v>56</v>
      </c>
      <c r="G1" s="34" t="s">
        <v>57</v>
      </c>
      <c r="H1" s="31" t="s">
        <v>58</v>
      </c>
      <c r="I1" s="31" t="s">
        <v>59</v>
      </c>
      <c r="J1" s="31" t="s">
        <v>60</v>
      </c>
      <c r="K1" s="32" t="s">
        <v>61</v>
      </c>
      <c r="L1" s="35" t="s">
        <v>62</v>
      </c>
      <c r="M1" s="31" t="s">
        <v>63</v>
      </c>
      <c r="N1" s="31" t="s">
        <v>64</v>
      </c>
      <c r="O1" s="32" t="s">
        <v>65</v>
      </c>
      <c r="P1" s="31" t="s">
        <v>66</v>
      </c>
      <c r="Q1" s="32" t="s">
        <v>67</v>
      </c>
      <c r="R1" s="32" t="s">
        <v>68</v>
      </c>
      <c r="S1" s="31" t="s">
        <v>69</v>
      </c>
      <c r="Y1" s="36" t="s">
        <v>30</v>
      </c>
    </row>
    <row r="2" spans="1:25" ht="18" x14ac:dyDescent="0.25">
      <c r="A2" s="37" t="s">
        <v>227</v>
      </c>
      <c r="B2" s="38" t="s">
        <v>27</v>
      </c>
      <c r="C2" s="39"/>
      <c r="D2" s="40" t="s">
        <v>228</v>
      </c>
      <c r="E2" s="38">
        <v>34988647760</v>
      </c>
      <c r="F2" s="41">
        <v>46032</v>
      </c>
      <c r="G2" s="42" t="str">
        <f t="shared" ref="G2:G65" si="0">PROPER(TEXT(F2,"DDD"))</f>
        <v>Sáb</v>
      </c>
      <c r="H2" s="43">
        <v>0.33333333333333331</v>
      </c>
      <c r="I2" s="38" t="s">
        <v>35</v>
      </c>
      <c r="J2" s="38" t="s">
        <v>229</v>
      </c>
      <c r="K2" s="38" t="s">
        <v>87</v>
      </c>
      <c r="L2" s="40" t="str">
        <f t="shared" ref="L2:L65" si="1">IF(B2="MUD END","NÃO","SIM")</f>
        <v>NÃO</v>
      </c>
      <c r="M2" s="38"/>
      <c r="N2" s="38" t="s">
        <v>89</v>
      </c>
      <c r="O2" s="38" t="s">
        <v>72</v>
      </c>
      <c r="P2" s="38" t="s">
        <v>72</v>
      </c>
      <c r="Q2" s="38" t="s">
        <v>230</v>
      </c>
      <c r="R2" s="38"/>
      <c r="S2" s="44" t="str">
        <f t="shared" ref="S2:S65" ca="1" si="2">IF(F2&lt;TODAY(),"EXECUTADA",IF(F2=TODAY(),"EM EXECUÇÃO",IF(F2=TODAY()+1,"VALIDAR HOJE",IF(F2&gt;TODAY()+1,"VALIDAR DEPOIS","-"))))</f>
        <v>EXECUTADA</v>
      </c>
    </row>
    <row r="3" spans="1:25" s="55" customFormat="1" ht="18" x14ac:dyDescent="0.25">
      <c r="A3" s="46" t="s">
        <v>2616</v>
      </c>
      <c r="B3" s="47" t="s">
        <v>27</v>
      </c>
      <c r="C3" s="48"/>
      <c r="D3" s="49"/>
      <c r="E3" s="47">
        <v>34992322706</v>
      </c>
      <c r="F3" s="50">
        <v>46114</v>
      </c>
      <c r="G3" s="51" t="str">
        <f t="shared" si="0"/>
        <v>Qui</v>
      </c>
      <c r="H3" s="52">
        <v>0.33333333333333331</v>
      </c>
      <c r="I3" s="47" t="s">
        <v>42</v>
      </c>
      <c r="J3" s="47" t="s">
        <v>70</v>
      </c>
      <c r="K3" s="47" t="s">
        <v>71</v>
      </c>
      <c r="L3" s="53" t="str">
        <f t="shared" si="1"/>
        <v>NÃO</v>
      </c>
      <c r="M3" s="47" t="s">
        <v>72</v>
      </c>
      <c r="N3" s="47" t="s">
        <v>73</v>
      </c>
      <c r="O3" s="47"/>
      <c r="P3" s="47"/>
      <c r="Q3" s="47"/>
      <c r="R3" s="47"/>
      <c r="S3" s="54" t="str">
        <f t="shared" ca="1" si="2"/>
        <v>EXECUTADA</v>
      </c>
    </row>
    <row r="4" spans="1:25" s="55" customFormat="1" ht="18" x14ac:dyDescent="0.25">
      <c r="A4" s="56" t="s">
        <v>74</v>
      </c>
      <c r="B4" s="57" t="s">
        <v>30</v>
      </c>
      <c r="C4" s="58"/>
      <c r="D4" s="53" t="s">
        <v>75</v>
      </c>
      <c r="E4" s="57">
        <v>34991631067</v>
      </c>
      <c r="F4" s="59">
        <v>46114</v>
      </c>
      <c r="G4" s="51" t="str">
        <f t="shared" si="0"/>
        <v>Qui</v>
      </c>
      <c r="H4" s="60">
        <v>0.33333333333333331</v>
      </c>
      <c r="I4" s="57" t="s">
        <v>46</v>
      </c>
      <c r="J4" s="57" t="s">
        <v>76</v>
      </c>
      <c r="K4" s="57" t="s">
        <v>77</v>
      </c>
      <c r="L4" s="53" t="str">
        <f t="shared" si="1"/>
        <v>SIM</v>
      </c>
      <c r="M4" s="57" t="s">
        <v>78</v>
      </c>
      <c r="N4" s="57" t="s">
        <v>79</v>
      </c>
      <c r="O4" s="57" t="s">
        <v>80</v>
      </c>
      <c r="P4" s="57" t="s">
        <v>81</v>
      </c>
      <c r="Q4" s="57" t="s">
        <v>82</v>
      </c>
      <c r="R4" s="57" t="s">
        <v>83</v>
      </c>
      <c r="S4" s="61" t="str">
        <f t="shared" ca="1" si="2"/>
        <v>EXECUTADA</v>
      </c>
    </row>
    <row r="5" spans="1:25" s="55" customFormat="1" ht="18" x14ac:dyDescent="0.25">
      <c r="A5" s="56" t="s">
        <v>84</v>
      </c>
      <c r="B5" s="57" t="s">
        <v>30</v>
      </c>
      <c r="C5" s="58"/>
      <c r="D5" s="53" t="s">
        <v>85</v>
      </c>
      <c r="E5" s="57">
        <v>34998684694</v>
      </c>
      <c r="F5" s="59">
        <v>46114</v>
      </c>
      <c r="G5" s="51" t="str">
        <f t="shared" si="0"/>
        <v>Qui</v>
      </c>
      <c r="H5" s="60">
        <v>0.41666666666666669</v>
      </c>
      <c r="I5" s="57" t="s">
        <v>46</v>
      </c>
      <c r="J5" s="57" t="s">
        <v>86</v>
      </c>
      <c r="K5" s="57" t="s">
        <v>87</v>
      </c>
      <c r="L5" s="53" t="str">
        <f t="shared" si="1"/>
        <v>SIM</v>
      </c>
      <c r="M5" s="57" t="s">
        <v>88</v>
      </c>
      <c r="N5" s="57" t="s">
        <v>89</v>
      </c>
      <c r="O5" s="57" t="s">
        <v>72</v>
      </c>
      <c r="P5" s="57" t="s">
        <v>72</v>
      </c>
      <c r="Q5" s="57" t="s">
        <v>90</v>
      </c>
      <c r="R5" s="57" t="s">
        <v>91</v>
      </c>
      <c r="S5" s="61" t="str">
        <f t="shared" ca="1" si="2"/>
        <v>EXECUTADA</v>
      </c>
    </row>
    <row r="6" spans="1:25" s="55" customFormat="1" ht="18" x14ac:dyDescent="0.25">
      <c r="A6" s="62" t="s">
        <v>2617</v>
      </c>
      <c r="B6" s="57" t="s">
        <v>30</v>
      </c>
      <c r="C6" s="58"/>
      <c r="D6" s="53" t="s">
        <v>92</v>
      </c>
      <c r="E6" s="57">
        <v>34984190334</v>
      </c>
      <c r="F6" s="59">
        <v>46114</v>
      </c>
      <c r="G6" s="51" t="str">
        <f t="shared" si="0"/>
        <v>Qui</v>
      </c>
      <c r="H6" s="60">
        <v>0.54166666666666663</v>
      </c>
      <c r="I6" s="57" t="s">
        <v>46</v>
      </c>
      <c r="J6" s="57" t="s">
        <v>93</v>
      </c>
      <c r="K6" s="57" t="s">
        <v>94</v>
      </c>
      <c r="L6" s="53" t="str">
        <f t="shared" si="1"/>
        <v>SIM</v>
      </c>
      <c r="M6" s="57" t="s">
        <v>95</v>
      </c>
      <c r="N6" s="57" t="s">
        <v>89</v>
      </c>
      <c r="O6" s="57" t="s">
        <v>72</v>
      </c>
      <c r="P6" s="57" t="s">
        <v>72</v>
      </c>
      <c r="Q6" s="57" t="s">
        <v>96</v>
      </c>
      <c r="R6" s="57" t="s">
        <v>97</v>
      </c>
      <c r="S6" s="61" t="str">
        <f t="shared" ca="1" si="2"/>
        <v>EXECUTADA</v>
      </c>
    </row>
    <row r="7" spans="1:25" s="55" customFormat="1" ht="15" customHeight="1" x14ac:dyDescent="0.25">
      <c r="A7" s="63" t="s">
        <v>2618</v>
      </c>
      <c r="B7" s="57" t="s">
        <v>30</v>
      </c>
      <c r="C7" s="58"/>
      <c r="D7" s="53" t="s">
        <v>85</v>
      </c>
      <c r="E7" s="57" t="s">
        <v>98</v>
      </c>
      <c r="F7" s="59">
        <v>46114</v>
      </c>
      <c r="G7" s="51" t="str">
        <f t="shared" si="0"/>
        <v>Qui</v>
      </c>
      <c r="H7" s="60">
        <v>0.54166666666666663</v>
      </c>
      <c r="I7" s="57" t="s">
        <v>46</v>
      </c>
      <c r="J7" s="57" t="s">
        <v>99</v>
      </c>
      <c r="K7" s="57" t="s">
        <v>100</v>
      </c>
      <c r="L7" s="53" t="str">
        <f t="shared" si="1"/>
        <v>SIM</v>
      </c>
      <c r="M7" s="57" t="s">
        <v>101</v>
      </c>
      <c r="N7" s="57" t="s">
        <v>89</v>
      </c>
      <c r="O7" s="57" t="s">
        <v>72</v>
      </c>
      <c r="P7" s="57" t="s">
        <v>72</v>
      </c>
      <c r="Q7" s="57" t="s">
        <v>102</v>
      </c>
      <c r="R7" s="57" t="s">
        <v>103</v>
      </c>
      <c r="S7" s="61" t="str">
        <f t="shared" ca="1" si="2"/>
        <v>EXECUTADA</v>
      </c>
    </row>
    <row r="8" spans="1:25" s="55" customFormat="1" ht="15" customHeight="1" x14ac:dyDescent="0.25">
      <c r="A8" s="64" t="s">
        <v>104</v>
      </c>
      <c r="B8" s="57" t="s">
        <v>30</v>
      </c>
      <c r="C8" s="58"/>
      <c r="D8" s="65" t="s">
        <v>105</v>
      </c>
      <c r="E8" s="57">
        <v>34992354684</v>
      </c>
      <c r="F8" s="59">
        <v>46114</v>
      </c>
      <c r="G8" s="51" t="str">
        <f t="shared" si="0"/>
        <v>Qui</v>
      </c>
      <c r="H8" s="60">
        <v>0.54166666666666663</v>
      </c>
      <c r="I8" s="57" t="s">
        <v>46</v>
      </c>
      <c r="J8" s="57" t="s">
        <v>106</v>
      </c>
      <c r="K8" s="57" t="s">
        <v>107</v>
      </c>
      <c r="L8" s="53" t="str">
        <f t="shared" si="1"/>
        <v>SIM</v>
      </c>
      <c r="M8" s="57" t="s">
        <v>108</v>
      </c>
      <c r="N8" s="57" t="s">
        <v>89</v>
      </c>
      <c r="O8" s="57" t="s">
        <v>72</v>
      </c>
      <c r="P8" s="57" t="s">
        <v>72</v>
      </c>
      <c r="Q8" s="57" t="s">
        <v>109</v>
      </c>
      <c r="R8" s="57"/>
      <c r="S8" s="61" t="str">
        <f t="shared" ca="1" si="2"/>
        <v>EXECUTADA</v>
      </c>
    </row>
    <row r="9" spans="1:25" s="55" customFormat="1" ht="18" x14ac:dyDescent="0.25">
      <c r="A9" s="66" t="s">
        <v>110</v>
      </c>
      <c r="B9" s="57" t="s">
        <v>30</v>
      </c>
      <c r="C9" s="58"/>
      <c r="D9" s="53" t="s">
        <v>111</v>
      </c>
      <c r="E9" s="57">
        <v>34988066015</v>
      </c>
      <c r="F9" s="59">
        <v>46114</v>
      </c>
      <c r="G9" s="51" t="str">
        <f t="shared" si="0"/>
        <v>Qui</v>
      </c>
      <c r="H9" s="60">
        <v>0.625</v>
      </c>
      <c r="I9" s="57" t="s">
        <v>46</v>
      </c>
      <c r="J9" s="57" t="s">
        <v>112</v>
      </c>
      <c r="K9" s="57" t="s">
        <v>87</v>
      </c>
      <c r="L9" s="53" t="str">
        <f t="shared" si="1"/>
        <v>SIM</v>
      </c>
      <c r="M9" s="57" t="s">
        <v>113</v>
      </c>
      <c r="N9" s="57" t="s">
        <v>89</v>
      </c>
      <c r="O9" s="57" t="s">
        <v>72</v>
      </c>
      <c r="P9" s="57" t="s">
        <v>72</v>
      </c>
      <c r="Q9" s="57" t="s">
        <v>114</v>
      </c>
      <c r="R9" s="57" t="s">
        <v>115</v>
      </c>
      <c r="S9" s="61" t="str">
        <f t="shared" ca="1" si="2"/>
        <v>EXECUTADA</v>
      </c>
    </row>
    <row r="10" spans="1:25" s="55" customFormat="1" ht="18" x14ac:dyDescent="0.25">
      <c r="A10" s="67" t="s">
        <v>116</v>
      </c>
      <c r="B10" s="57" t="s">
        <v>27</v>
      </c>
      <c r="C10" s="58"/>
      <c r="D10" s="53" t="s">
        <v>85</v>
      </c>
      <c r="E10" s="57">
        <v>34991455433</v>
      </c>
      <c r="F10" s="59">
        <v>46114</v>
      </c>
      <c r="G10" s="51" t="str">
        <f t="shared" si="0"/>
        <v>Qui</v>
      </c>
      <c r="H10" s="60">
        <v>0.625</v>
      </c>
      <c r="I10" s="57" t="s">
        <v>35</v>
      </c>
      <c r="J10" s="57" t="s">
        <v>117</v>
      </c>
      <c r="K10" s="57" t="s">
        <v>71</v>
      </c>
      <c r="L10" s="53" t="str">
        <f t="shared" si="1"/>
        <v>NÃO</v>
      </c>
      <c r="M10" s="57" t="s">
        <v>72</v>
      </c>
      <c r="N10" s="57" t="s">
        <v>89</v>
      </c>
      <c r="O10" s="57" t="s">
        <v>72</v>
      </c>
      <c r="P10" s="57" t="s">
        <v>72</v>
      </c>
      <c r="Q10" s="57" t="s">
        <v>118</v>
      </c>
      <c r="R10" s="57" t="s">
        <v>119</v>
      </c>
      <c r="S10" s="61" t="str">
        <f t="shared" ca="1" si="2"/>
        <v>EXECUTADA</v>
      </c>
    </row>
    <row r="11" spans="1:25" s="55" customFormat="1" ht="18" x14ac:dyDescent="0.25">
      <c r="A11" s="67" t="s">
        <v>120</v>
      </c>
      <c r="B11" s="57" t="s">
        <v>27</v>
      </c>
      <c r="C11" s="58"/>
      <c r="D11" s="53" t="s">
        <v>121</v>
      </c>
      <c r="E11" s="57">
        <v>34998086440</v>
      </c>
      <c r="F11" s="59">
        <v>46114</v>
      </c>
      <c r="G11" s="51" t="str">
        <f t="shared" si="0"/>
        <v>Qui</v>
      </c>
      <c r="H11" s="60">
        <v>0.70833333333333337</v>
      </c>
      <c r="I11" s="57" t="s">
        <v>42</v>
      </c>
      <c r="J11" s="57" t="s">
        <v>122</v>
      </c>
      <c r="K11" s="57" t="s">
        <v>87</v>
      </c>
      <c r="L11" s="53" t="str">
        <f t="shared" si="1"/>
        <v>NÃO</v>
      </c>
      <c r="M11" s="57" t="s">
        <v>72</v>
      </c>
      <c r="N11" s="57" t="s">
        <v>89</v>
      </c>
      <c r="O11" s="57" t="s">
        <v>72</v>
      </c>
      <c r="P11" s="57" t="s">
        <v>72</v>
      </c>
      <c r="Q11" s="57" t="s">
        <v>123</v>
      </c>
      <c r="R11" s="57" t="s">
        <v>124</v>
      </c>
      <c r="S11" s="61" t="str">
        <f t="shared" ca="1" si="2"/>
        <v>EXECUTADA</v>
      </c>
    </row>
    <row r="12" spans="1:25" s="55" customFormat="1" ht="15" customHeight="1" x14ac:dyDescent="0.25">
      <c r="A12" s="56" t="s">
        <v>2619</v>
      </c>
      <c r="B12" s="57" t="s">
        <v>27</v>
      </c>
      <c r="C12" s="58"/>
      <c r="D12" s="53" t="s">
        <v>125</v>
      </c>
      <c r="E12" s="57">
        <v>64996012416</v>
      </c>
      <c r="F12" s="59">
        <v>46114</v>
      </c>
      <c r="G12" s="51" t="str">
        <f t="shared" si="0"/>
        <v>Qui</v>
      </c>
      <c r="H12" s="60">
        <v>0.70833333333333337</v>
      </c>
      <c r="I12" s="57" t="s">
        <v>42</v>
      </c>
      <c r="J12" s="57" t="s">
        <v>126</v>
      </c>
      <c r="K12" s="57" t="s">
        <v>71</v>
      </c>
      <c r="L12" s="53" t="str">
        <f t="shared" si="1"/>
        <v>NÃO</v>
      </c>
      <c r="M12" s="57" t="s">
        <v>72</v>
      </c>
      <c r="N12" s="57" t="s">
        <v>89</v>
      </c>
      <c r="O12" s="57" t="s">
        <v>127</v>
      </c>
      <c r="P12" s="57">
        <v>64999808642</v>
      </c>
      <c r="Q12" s="57" t="s">
        <v>128</v>
      </c>
      <c r="R12" s="57" t="s">
        <v>129</v>
      </c>
      <c r="S12" s="61" t="str">
        <f t="shared" ca="1" si="2"/>
        <v>EXECUTADA</v>
      </c>
    </row>
    <row r="13" spans="1:25" s="55" customFormat="1" ht="18" x14ac:dyDescent="0.25">
      <c r="A13" s="68" t="s">
        <v>137</v>
      </c>
      <c r="B13" s="57" t="s">
        <v>30</v>
      </c>
      <c r="C13" s="58"/>
      <c r="D13" s="53" t="s">
        <v>111</v>
      </c>
      <c r="E13" s="57">
        <v>34991777444</v>
      </c>
      <c r="F13" s="59">
        <v>46115</v>
      </c>
      <c r="G13" s="51" t="str">
        <f t="shared" si="0"/>
        <v>Sex</v>
      </c>
      <c r="H13" s="60">
        <v>0.41666666666666669</v>
      </c>
      <c r="I13" s="57" t="s">
        <v>46</v>
      </c>
      <c r="J13" s="57" t="s">
        <v>138</v>
      </c>
      <c r="K13" s="57" t="s">
        <v>139</v>
      </c>
      <c r="L13" s="53" t="str">
        <f t="shared" si="1"/>
        <v>SIM</v>
      </c>
      <c r="M13" s="57" t="s">
        <v>140</v>
      </c>
      <c r="N13" s="57" t="s">
        <v>89</v>
      </c>
      <c r="O13" s="57" t="s">
        <v>72</v>
      </c>
      <c r="P13" s="57" t="s">
        <v>72</v>
      </c>
      <c r="Q13" s="57" t="s">
        <v>141</v>
      </c>
      <c r="R13" s="57" t="s">
        <v>142</v>
      </c>
      <c r="S13" s="61" t="str">
        <f t="shared" ca="1" si="2"/>
        <v>EXECUTADA</v>
      </c>
    </row>
    <row r="14" spans="1:25" s="55" customFormat="1" ht="18" x14ac:dyDescent="0.25">
      <c r="A14" s="56" t="s">
        <v>143</v>
      </c>
      <c r="B14" s="57" t="s">
        <v>27</v>
      </c>
      <c r="C14" s="58"/>
      <c r="D14" s="53" t="s">
        <v>121</v>
      </c>
      <c r="E14" s="57">
        <v>34991006033</v>
      </c>
      <c r="F14" s="59">
        <v>46115</v>
      </c>
      <c r="G14" s="51" t="str">
        <f t="shared" si="0"/>
        <v>Sex</v>
      </c>
      <c r="H14" s="60" t="s">
        <v>144</v>
      </c>
      <c r="I14" s="57" t="s">
        <v>38</v>
      </c>
      <c r="J14" s="57" t="s">
        <v>145</v>
      </c>
      <c r="K14" s="57" t="s">
        <v>146</v>
      </c>
      <c r="L14" s="53" t="str">
        <f t="shared" si="1"/>
        <v>NÃO</v>
      </c>
      <c r="M14" s="57" t="s">
        <v>72</v>
      </c>
      <c r="N14" s="57" t="s">
        <v>89</v>
      </c>
      <c r="O14" s="57" t="s">
        <v>147</v>
      </c>
      <c r="P14" s="57">
        <v>34991301190</v>
      </c>
      <c r="Q14" s="57" t="s">
        <v>148</v>
      </c>
      <c r="R14" s="57" t="s">
        <v>149</v>
      </c>
      <c r="S14" s="61" t="str">
        <f t="shared" ca="1" si="2"/>
        <v>EXECUTADA</v>
      </c>
    </row>
    <row r="15" spans="1:25" s="55" customFormat="1" ht="18" x14ac:dyDescent="0.25">
      <c r="A15" s="56" t="s">
        <v>150</v>
      </c>
      <c r="B15" s="57" t="s">
        <v>27</v>
      </c>
      <c r="C15" s="58"/>
      <c r="D15" s="53" t="s">
        <v>121</v>
      </c>
      <c r="E15" s="57">
        <v>34988827305</v>
      </c>
      <c r="F15" s="59">
        <v>46115</v>
      </c>
      <c r="G15" s="51" t="str">
        <f t="shared" si="0"/>
        <v>Sex</v>
      </c>
      <c r="H15" s="60" t="s">
        <v>151</v>
      </c>
      <c r="I15" s="57" t="s">
        <v>42</v>
      </c>
      <c r="J15" s="57" t="s">
        <v>152</v>
      </c>
      <c r="K15" s="57" t="s">
        <v>71</v>
      </c>
      <c r="L15" s="53" t="str">
        <f t="shared" si="1"/>
        <v>NÃO</v>
      </c>
      <c r="M15" s="57" t="s">
        <v>72</v>
      </c>
      <c r="N15" s="57" t="s">
        <v>89</v>
      </c>
      <c r="O15" s="57" t="s">
        <v>72</v>
      </c>
      <c r="P15" s="57" t="s">
        <v>72</v>
      </c>
      <c r="Q15" s="57" t="s">
        <v>153</v>
      </c>
      <c r="R15" s="57" t="s">
        <v>154</v>
      </c>
      <c r="S15" s="61" t="str">
        <f t="shared" ca="1" si="2"/>
        <v>EXECUTADA</v>
      </c>
    </row>
    <row r="16" spans="1:25" s="55" customFormat="1" ht="18" x14ac:dyDescent="0.25">
      <c r="A16" s="56" t="s">
        <v>155</v>
      </c>
      <c r="B16" s="57" t="s">
        <v>27</v>
      </c>
      <c r="C16" s="58"/>
      <c r="D16" s="53" t="s">
        <v>121</v>
      </c>
      <c r="E16" s="57">
        <v>34998971039</v>
      </c>
      <c r="F16" s="59">
        <v>46115</v>
      </c>
      <c r="G16" s="51" t="str">
        <f t="shared" si="0"/>
        <v>Sex</v>
      </c>
      <c r="H16" s="60" t="s">
        <v>156</v>
      </c>
      <c r="I16" s="57" t="s">
        <v>35</v>
      </c>
      <c r="J16" s="57" t="s">
        <v>157</v>
      </c>
      <c r="K16" s="57" t="s">
        <v>146</v>
      </c>
      <c r="L16" s="53" t="str">
        <f t="shared" si="1"/>
        <v>NÃO</v>
      </c>
      <c r="M16" s="57" t="s">
        <v>72</v>
      </c>
      <c r="N16" s="57" t="s">
        <v>89</v>
      </c>
      <c r="O16" s="57" t="s">
        <v>72</v>
      </c>
      <c r="P16" s="57" t="s">
        <v>72</v>
      </c>
      <c r="Q16" s="57" t="s">
        <v>158</v>
      </c>
      <c r="R16" s="57" t="s">
        <v>159</v>
      </c>
      <c r="S16" s="61" t="str">
        <f t="shared" ca="1" si="2"/>
        <v>EXECUTADA</v>
      </c>
    </row>
    <row r="17" spans="1:19" s="55" customFormat="1" ht="18" x14ac:dyDescent="0.25">
      <c r="A17" s="64" t="s">
        <v>2620</v>
      </c>
      <c r="B17" s="57" t="s">
        <v>30</v>
      </c>
      <c r="C17" s="58"/>
      <c r="D17" s="53" t="s">
        <v>130</v>
      </c>
      <c r="E17" s="57">
        <v>84999800965</v>
      </c>
      <c r="F17" s="59">
        <v>46116</v>
      </c>
      <c r="G17" s="51" t="str">
        <f t="shared" si="0"/>
        <v>Sáb</v>
      </c>
      <c r="H17" s="60">
        <v>0.33333333333333331</v>
      </c>
      <c r="I17" s="57" t="s">
        <v>46</v>
      </c>
      <c r="J17" s="57" t="s">
        <v>131</v>
      </c>
      <c r="K17" s="57" t="s">
        <v>132</v>
      </c>
      <c r="L17" s="53" t="str">
        <f t="shared" si="1"/>
        <v>SIM</v>
      </c>
      <c r="M17" s="57" t="s">
        <v>133</v>
      </c>
      <c r="N17" s="57" t="s">
        <v>89</v>
      </c>
      <c r="O17" s="57" t="s">
        <v>134</v>
      </c>
      <c r="P17" s="57">
        <v>34998616817</v>
      </c>
      <c r="Q17" s="57" t="s">
        <v>135</v>
      </c>
      <c r="R17" s="57" t="s">
        <v>136</v>
      </c>
      <c r="S17" s="61" t="str">
        <f t="shared" ca="1" si="2"/>
        <v>EXECUTADA</v>
      </c>
    </row>
    <row r="18" spans="1:19" s="55" customFormat="1" ht="15" customHeight="1" x14ac:dyDescent="0.25">
      <c r="A18" s="64" t="s">
        <v>160</v>
      </c>
      <c r="B18" s="57" t="s">
        <v>30</v>
      </c>
      <c r="C18" s="58"/>
      <c r="D18" s="53" t="s">
        <v>85</v>
      </c>
      <c r="E18" s="57">
        <v>34991737280</v>
      </c>
      <c r="F18" s="59">
        <v>46116</v>
      </c>
      <c r="G18" s="51" t="str">
        <f t="shared" si="0"/>
        <v>Sáb</v>
      </c>
      <c r="H18" s="60">
        <v>0.33333333333333331</v>
      </c>
      <c r="I18" s="57" t="s">
        <v>46</v>
      </c>
      <c r="J18" s="57" t="s">
        <v>161</v>
      </c>
      <c r="K18" s="57" t="s">
        <v>162</v>
      </c>
      <c r="L18" s="53" t="str">
        <f t="shared" si="1"/>
        <v>SIM</v>
      </c>
      <c r="M18" s="57" t="s">
        <v>163</v>
      </c>
      <c r="N18" s="57" t="s">
        <v>89</v>
      </c>
      <c r="O18" s="57" t="s">
        <v>72</v>
      </c>
      <c r="P18" s="57" t="s">
        <v>72</v>
      </c>
      <c r="Q18" s="57" t="s">
        <v>164</v>
      </c>
      <c r="R18" s="57" t="s">
        <v>165</v>
      </c>
      <c r="S18" s="61" t="str">
        <f t="shared" ca="1" si="2"/>
        <v>EXECUTADA</v>
      </c>
    </row>
    <row r="19" spans="1:19" s="55" customFormat="1" ht="15" customHeight="1" x14ac:dyDescent="0.25">
      <c r="A19" s="69" t="s">
        <v>2621</v>
      </c>
      <c r="B19" s="57" t="s">
        <v>27</v>
      </c>
      <c r="C19" s="58"/>
      <c r="D19" s="53" t="s">
        <v>166</v>
      </c>
      <c r="E19" s="57">
        <v>34991194542</v>
      </c>
      <c r="F19" s="59">
        <v>46116</v>
      </c>
      <c r="G19" s="51" t="str">
        <f t="shared" si="0"/>
        <v>Sáb</v>
      </c>
      <c r="H19" s="60">
        <v>0.33333333333333331</v>
      </c>
      <c r="I19" s="57" t="s">
        <v>42</v>
      </c>
      <c r="J19" s="57" t="s">
        <v>167</v>
      </c>
      <c r="K19" s="57" t="s">
        <v>71</v>
      </c>
      <c r="L19" s="53" t="str">
        <f t="shared" si="1"/>
        <v>NÃO</v>
      </c>
      <c r="M19" s="57" t="s">
        <v>72</v>
      </c>
      <c r="N19" s="57" t="s">
        <v>79</v>
      </c>
      <c r="O19" s="57" t="s">
        <v>168</v>
      </c>
      <c r="P19" s="57">
        <v>16981284004</v>
      </c>
      <c r="Q19" s="57" t="s">
        <v>169</v>
      </c>
      <c r="R19" s="57" t="s">
        <v>170</v>
      </c>
      <c r="S19" s="61" t="str">
        <f t="shared" ca="1" si="2"/>
        <v>EXECUTADA</v>
      </c>
    </row>
    <row r="20" spans="1:19" s="55" customFormat="1" ht="15" customHeight="1" x14ac:dyDescent="0.25">
      <c r="A20" s="64" t="s">
        <v>2622</v>
      </c>
      <c r="B20" s="57" t="s">
        <v>30</v>
      </c>
      <c r="C20" s="58"/>
      <c r="D20" s="53" t="s">
        <v>85</v>
      </c>
      <c r="E20" s="57">
        <v>34998824249</v>
      </c>
      <c r="F20" s="59">
        <v>46116</v>
      </c>
      <c r="G20" s="51" t="str">
        <f t="shared" si="0"/>
        <v>Sáb</v>
      </c>
      <c r="H20" s="60">
        <v>0.41666666666666669</v>
      </c>
      <c r="I20" s="57" t="s">
        <v>46</v>
      </c>
      <c r="J20" s="57" t="s">
        <v>171</v>
      </c>
      <c r="K20" s="57" t="s">
        <v>107</v>
      </c>
      <c r="L20" s="53" t="str">
        <f t="shared" si="1"/>
        <v>SIM</v>
      </c>
      <c r="M20" s="57" t="s">
        <v>172</v>
      </c>
      <c r="N20" s="57" t="s">
        <v>89</v>
      </c>
      <c r="O20" s="57" t="s">
        <v>72</v>
      </c>
      <c r="P20" s="57" t="s">
        <v>72</v>
      </c>
      <c r="Q20" s="57" t="s">
        <v>173</v>
      </c>
      <c r="R20" s="57" t="s">
        <v>174</v>
      </c>
      <c r="S20" s="61" t="str">
        <f t="shared" ca="1" si="2"/>
        <v>EXECUTADA</v>
      </c>
    </row>
    <row r="21" spans="1:19" s="55" customFormat="1" ht="18" x14ac:dyDescent="0.25">
      <c r="A21" s="67" t="s">
        <v>2623</v>
      </c>
      <c r="B21" s="57" t="s">
        <v>27</v>
      </c>
      <c r="C21" s="58"/>
      <c r="D21" s="53" t="s">
        <v>85</v>
      </c>
      <c r="E21" s="57">
        <v>34991420838</v>
      </c>
      <c r="F21" s="59">
        <v>46116</v>
      </c>
      <c r="G21" s="51" t="str">
        <f t="shared" si="0"/>
        <v>Sáb</v>
      </c>
      <c r="H21" s="60">
        <v>0.41666666666666669</v>
      </c>
      <c r="I21" s="57" t="s">
        <v>175</v>
      </c>
      <c r="J21" s="57" t="s">
        <v>176</v>
      </c>
      <c r="K21" s="57" t="s">
        <v>71</v>
      </c>
      <c r="L21" s="53" t="str">
        <f t="shared" si="1"/>
        <v>NÃO</v>
      </c>
      <c r="M21" s="57" t="s">
        <v>72</v>
      </c>
      <c r="N21" s="57" t="s">
        <v>79</v>
      </c>
      <c r="O21" s="57" t="s">
        <v>177</v>
      </c>
      <c r="P21" s="57" t="s">
        <v>178</v>
      </c>
      <c r="Q21" s="57" t="s">
        <v>179</v>
      </c>
      <c r="R21" s="57" t="s">
        <v>180</v>
      </c>
      <c r="S21" s="61" t="str">
        <f t="shared" ca="1" si="2"/>
        <v>EXECUTADA</v>
      </c>
    </row>
    <row r="22" spans="1:19" s="55" customFormat="1" ht="15" customHeight="1" x14ac:dyDescent="0.25">
      <c r="A22" s="70" t="s">
        <v>181</v>
      </c>
      <c r="B22" s="57" t="s">
        <v>30</v>
      </c>
      <c r="C22" s="58"/>
      <c r="D22" s="53" t="s">
        <v>182</v>
      </c>
      <c r="E22" s="57">
        <v>34920008902</v>
      </c>
      <c r="F22" s="59">
        <v>46116</v>
      </c>
      <c r="G22" s="51" t="str">
        <f t="shared" si="0"/>
        <v>Sáb</v>
      </c>
      <c r="H22" s="60" t="s">
        <v>183</v>
      </c>
      <c r="I22" s="57" t="s">
        <v>46</v>
      </c>
      <c r="J22" s="57" t="s">
        <v>184</v>
      </c>
      <c r="K22" s="57" t="s">
        <v>139</v>
      </c>
      <c r="L22" s="53" t="str">
        <f t="shared" si="1"/>
        <v>SIM</v>
      </c>
      <c r="M22" s="57" t="s">
        <v>185</v>
      </c>
      <c r="N22" s="57" t="s">
        <v>89</v>
      </c>
      <c r="O22" s="57" t="s">
        <v>72</v>
      </c>
      <c r="P22" s="57" t="s">
        <v>72</v>
      </c>
      <c r="Q22" s="57" t="s">
        <v>186</v>
      </c>
      <c r="R22" s="57" t="s">
        <v>187</v>
      </c>
      <c r="S22" s="61" t="str">
        <f t="shared" ca="1" si="2"/>
        <v>EXECUTADA</v>
      </c>
    </row>
    <row r="23" spans="1:19" s="55" customFormat="1" ht="15" customHeight="1" x14ac:dyDescent="0.25">
      <c r="A23" s="71" t="s">
        <v>188</v>
      </c>
      <c r="B23" s="57" t="s">
        <v>30</v>
      </c>
      <c r="C23" s="58"/>
      <c r="D23" s="53" t="s">
        <v>189</v>
      </c>
      <c r="E23" s="57">
        <v>34999103758</v>
      </c>
      <c r="F23" s="59">
        <v>46116</v>
      </c>
      <c r="G23" s="51" t="str">
        <f t="shared" si="0"/>
        <v>Sáb</v>
      </c>
      <c r="H23" s="60" t="s">
        <v>183</v>
      </c>
      <c r="I23" s="57" t="s">
        <v>46</v>
      </c>
      <c r="J23" s="57" t="s">
        <v>190</v>
      </c>
      <c r="K23" s="57" t="s">
        <v>100</v>
      </c>
      <c r="L23" s="53" t="str">
        <f t="shared" si="1"/>
        <v>SIM</v>
      </c>
      <c r="M23" s="57" t="s">
        <v>191</v>
      </c>
      <c r="N23" s="57" t="s">
        <v>89</v>
      </c>
      <c r="O23" s="57" t="s">
        <v>72</v>
      </c>
      <c r="P23" s="57" t="s">
        <v>72</v>
      </c>
      <c r="Q23" s="57" t="s">
        <v>192</v>
      </c>
      <c r="R23" s="57" t="s">
        <v>193</v>
      </c>
      <c r="S23" s="61" t="str">
        <f t="shared" ca="1" si="2"/>
        <v>EXECUTADA</v>
      </c>
    </row>
    <row r="24" spans="1:19" s="55" customFormat="1" ht="18" x14ac:dyDescent="0.25">
      <c r="A24" s="72" t="s">
        <v>194</v>
      </c>
      <c r="B24" s="57" t="s">
        <v>30</v>
      </c>
      <c r="C24" s="58"/>
      <c r="D24" s="53" t="s">
        <v>195</v>
      </c>
      <c r="E24" s="57">
        <v>34999537343</v>
      </c>
      <c r="F24" s="59">
        <v>46116</v>
      </c>
      <c r="G24" s="51" t="str">
        <f t="shared" si="0"/>
        <v>Sáb</v>
      </c>
      <c r="H24" s="60">
        <v>0.33333333333333331</v>
      </c>
      <c r="I24" s="57" t="s">
        <v>46</v>
      </c>
      <c r="J24" s="57" t="s">
        <v>196</v>
      </c>
      <c r="K24" s="57" t="s">
        <v>107</v>
      </c>
      <c r="L24" s="53" t="str">
        <f t="shared" si="1"/>
        <v>SIM</v>
      </c>
      <c r="M24" s="57" t="s">
        <v>197</v>
      </c>
      <c r="N24" s="57" t="s">
        <v>89</v>
      </c>
      <c r="O24" s="57" t="s">
        <v>198</v>
      </c>
      <c r="P24" s="57">
        <v>19981470830</v>
      </c>
      <c r="Q24" s="57" t="s">
        <v>199</v>
      </c>
      <c r="R24" s="57" t="s">
        <v>200</v>
      </c>
      <c r="S24" s="61" t="str">
        <f t="shared" ca="1" si="2"/>
        <v>EXECUTADA</v>
      </c>
    </row>
    <row r="25" spans="1:19" s="55" customFormat="1" ht="18" x14ac:dyDescent="0.25">
      <c r="A25" s="56" t="s">
        <v>231</v>
      </c>
      <c r="B25" s="57" t="s">
        <v>30</v>
      </c>
      <c r="C25" s="58"/>
      <c r="D25" s="53" t="s">
        <v>85</v>
      </c>
      <c r="E25" s="57">
        <v>17997351940</v>
      </c>
      <c r="F25" s="59">
        <v>46116</v>
      </c>
      <c r="G25" s="51" t="str">
        <f t="shared" si="0"/>
        <v>Sáb</v>
      </c>
      <c r="H25" s="60" t="s">
        <v>232</v>
      </c>
      <c r="I25" s="57" t="s">
        <v>42</v>
      </c>
      <c r="J25" s="57" t="s">
        <v>233</v>
      </c>
      <c r="K25" s="57" t="s">
        <v>132</v>
      </c>
      <c r="L25" s="53" t="str">
        <f t="shared" si="1"/>
        <v>SIM</v>
      </c>
      <c r="M25" s="57" t="s">
        <v>234</v>
      </c>
      <c r="N25" s="57" t="s">
        <v>89</v>
      </c>
      <c r="O25" s="57" t="s">
        <v>72</v>
      </c>
      <c r="P25" s="57" t="s">
        <v>72</v>
      </c>
      <c r="Q25" s="57" t="s">
        <v>235</v>
      </c>
      <c r="R25" s="57" t="s">
        <v>236</v>
      </c>
      <c r="S25" s="61" t="str">
        <f t="shared" ca="1" si="2"/>
        <v>EXECUTADA</v>
      </c>
    </row>
    <row r="26" spans="1:19" s="55" customFormat="1" ht="15" customHeight="1" x14ac:dyDescent="0.25">
      <c r="A26" s="73" t="s">
        <v>2624</v>
      </c>
      <c r="B26" s="74" t="s">
        <v>27</v>
      </c>
      <c r="C26" s="75"/>
      <c r="D26" s="76" t="s">
        <v>237</v>
      </c>
      <c r="E26" s="74">
        <v>34997153668</v>
      </c>
      <c r="F26" s="27">
        <v>46116</v>
      </c>
      <c r="G26" s="28" t="str">
        <f t="shared" si="0"/>
        <v>Sáb</v>
      </c>
      <c r="H26" s="77" t="s">
        <v>183</v>
      </c>
      <c r="I26" s="74" t="s">
        <v>42</v>
      </c>
      <c r="J26" s="74" t="s">
        <v>238</v>
      </c>
      <c r="K26" s="74" t="s">
        <v>87</v>
      </c>
      <c r="L26" s="78" t="str">
        <f t="shared" si="1"/>
        <v>NÃO</v>
      </c>
      <c r="M26" s="74" t="s">
        <v>72</v>
      </c>
      <c r="N26" s="74" t="s">
        <v>89</v>
      </c>
      <c r="O26" s="74" t="s">
        <v>72</v>
      </c>
      <c r="P26" s="74" t="s">
        <v>72</v>
      </c>
      <c r="Q26" s="74" t="s">
        <v>208</v>
      </c>
      <c r="R26" s="74"/>
      <c r="S26" s="79" t="str">
        <f t="shared" ca="1" si="2"/>
        <v>EXECUTADA</v>
      </c>
    </row>
    <row r="27" spans="1:19" s="55" customFormat="1" ht="15" customHeight="1" x14ac:dyDescent="0.25">
      <c r="A27" s="80" t="s">
        <v>2625</v>
      </c>
      <c r="B27" s="74" t="s">
        <v>30</v>
      </c>
      <c r="C27" s="75"/>
      <c r="D27" s="76" t="s">
        <v>239</v>
      </c>
      <c r="E27" s="74">
        <v>34992807809</v>
      </c>
      <c r="F27" s="27">
        <v>46116</v>
      </c>
      <c r="G27" s="28" t="str">
        <f t="shared" si="0"/>
        <v>Sáb</v>
      </c>
      <c r="H27" s="77" t="s">
        <v>240</v>
      </c>
      <c r="I27" s="74" t="s">
        <v>46</v>
      </c>
      <c r="J27" s="74" t="s">
        <v>241</v>
      </c>
      <c r="K27" s="74" t="s">
        <v>146</v>
      </c>
      <c r="L27" s="78" t="str">
        <f t="shared" si="1"/>
        <v>SIM</v>
      </c>
      <c r="M27" s="74" t="s">
        <v>242</v>
      </c>
      <c r="N27" s="74" t="s">
        <v>89</v>
      </c>
      <c r="O27" s="74" t="s">
        <v>72</v>
      </c>
      <c r="P27" s="74" t="s">
        <v>72</v>
      </c>
      <c r="Q27" s="74" t="s">
        <v>208</v>
      </c>
      <c r="R27" s="74"/>
      <c r="S27" s="79" t="str">
        <f t="shared" ca="1" si="2"/>
        <v>EXECUTADA</v>
      </c>
    </row>
    <row r="28" spans="1:19" ht="18" x14ac:dyDescent="0.25">
      <c r="A28" s="67" t="s">
        <v>2626</v>
      </c>
      <c r="B28" s="57" t="s">
        <v>27</v>
      </c>
      <c r="C28" s="58"/>
      <c r="D28" s="53" t="s">
        <v>85</v>
      </c>
      <c r="E28" s="57">
        <v>34997684409</v>
      </c>
      <c r="F28" s="59">
        <v>46118</v>
      </c>
      <c r="G28" s="51" t="str">
        <f t="shared" si="0"/>
        <v>Seg</v>
      </c>
      <c r="H28" s="60">
        <v>0.625</v>
      </c>
      <c r="I28" s="57" t="s">
        <v>42</v>
      </c>
      <c r="J28" s="57" t="s">
        <v>201</v>
      </c>
      <c r="K28" s="57" t="s">
        <v>71</v>
      </c>
      <c r="L28" s="53" t="str">
        <f t="shared" si="1"/>
        <v>NÃO</v>
      </c>
      <c r="M28" s="57" t="s">
        <v>72</v>
      </c>
      <c r="N28" s="57" t="s">
        <v>79</v>
      </c>
      <c r="O28" s="57" t="s">
        <v>202</v>
      </c>
      <c r="P28" s="57" t="s">
        <v>203</v>
      </c>
      <c r="Q28" s="57" t="s">
        <v>204</v>
      </c>
      <c r="R28" s="57" t="s">
        <v>205</v>
      </c>
      <c r="S28" s="61" t="str">
        <f t="shared" ca="1" si="2"/>
        <v>EXECUTADA</v>
      </c>
    </row>
    <row r="29" spans="1:19" s="55" customFormat="1" ht="18" x14ac:dyDescent="0.25">
      <c r="A29" s="56" t="s">
        <v>2627</v>
      </c>
      <c r="B29" s="57" t="s">
        <v>27</v>
      </c>
      <c r="C29" s="58"/>
      <c r="D29" s="53" t="s">
        <v>85</v>
      </c>
      <c r="E29" s="57">
        <v>34999529448</v>
      </c>
      <c r="F29" s="59">
        <v>46118</v>
      </c>
      <c r="G29" s="51" t="str">
        <f t="shared" si="0"/>
        <v>Seg</v>
      </c>
      <c r="H29" s="60">
        <v>0.54166666666666663</v>
      </c>
      <c r="I29" s="57" t="s">
        <v>42</v>
      </c>
      <c r="J29" s="57" t="s">
        <v>206</v>
      </c>
      <c r="K29" s="57" t="s">
        <v>71</v>
      </c>
      <c r="L29" s="53" t="str">
        <f t="shared" si="1"/>
        <v>NÃO</v>
      </c>
      <c r="M29" s="57" t="s">
        <v>72</v>
      </c>
      <c r="N29" s="57" t="s">
        <v>89</v>
      </c>
      <c r="O29" s="57" t="s">
        <v>72</v>
      </c>
      <c r="P29" s="57" t="s">
        <v>72</v>
      </c>
      <c r="Q29" s="57" t="s">
        <v>207</v>
      </c>
      <c r="R29" s="57" t="s">
        <v>2628</v>
      </c>
      <c r="S29" s="61" t="str">
        <f t="shared" ca="1" si="2"/>
        <v>EXECUTADA</v>
      </c>
    </row>
    <row r="30" spans="1:19" s="55" customFormat="1" ht="18" x14ac:dyDescent="0.25">
      <c r="A30" s="67" t="s">
        <v>2629</v>
      </c>
      <c r="B30" s="57" t="s">
        <v>27</v>
      </c>
      <c r="C30" s="58"/>
      <c r="D30" s="53" t="s">
        <v>208</v>
      </c>
      <c r="E30" s="57">
        <v>34991195973</v>
      </c>
      <c r="F30" s="59">
        <v>46118</v>
      </c>
      <c r="G30" s="51" t="str">
        <f t="shared" si="0"/>
        <v>Seg</v>
      </c>
      <c r="H30" s="60"/>
      <c r="I30" s="57" t="s">
        <v>42</v>
      </c>
      <c r="J30" s="57" t="s">
        <v>209</v>
      </c>
      <c r="K30" s="57" t="s">
        <v>132</v>
      </c>
      <c r="L30" s="53" t="str">
        <f t="shared" si="1"/>
        <v>NÃO</v>
      </c>
      <c r="M30" s="57" t="s">
        <v>72</v>
      </c>
      <c r="N30" s="57" t="s">
        <v>89</v>
      </c>
      <c r="O30" s="57" t="s">
        <v>72</v>
      </c>
      <c r="P30" s="57" t="s">
        <v>72</v>
      </c>
      <c r="Q30" s="57" t="s">
        <v>210</v>
      </c>
      <c r="R30" s="57" t="s">
        <v>211</v>
      </c>
      <c r="S30" s="61" t="str">
        <f t="shared" ca="1" si="2"/>
        <v>EXECUTADA</v>
      </c>
    </row>
    <row r="31" spans="1:19" s="81" customFormat="1" ht="18" x14ac:dyDescent="0.25">
      <c r="A31" s="56" t="s">
        <v>212</v>
      </c>
      <c r="B31" s="57" t="s">
        <v>27</v>
      </c>
      <c r="C31" s="58"/>
      <c r="D31" s="53" t="s">
        <v>85</v>
      </c>
      <c r="E31" s="57">
        <v>34999811485</v>
      </c>
      <c r="F31" s="59">
        <v>46118</v>
      </c>
      <c r="G31" s="51" t="str">
        <f t="shared" si="0"/>
        <v>Seg</v>
      </c>
      <c r="H31" s="60">
        <v>0.41666666666666669</v>
      </c>
      <c r="I31" s="57" t="s">
        <v>46</v>
      </c>
      <c r="J31" s="57" t="s">
        <v>213</v>
      </c>
      <c r="K31" s="57" t="s">
        <v>100</v>
      </c>
      <c r="L31" s="53" t="str">
        <f t="shared" si="1"/>
        <v>NÃO</v>
      </c>
      <c r="M31" s="57" t="s">
        <v>214</v>
      </c>
      <c r="N31" s="57" t="s">
        <v>89</v>
      </c>
      <c r="O31" s="57" t="s">
        <v>72</v>
      </c>
      <c r="P31" s="57" t="s">
        <v>72</v>
      </c>
      <c r="Q31" s="57" t="s">
        <v>215</v>
      </c>
      <c r="R31" s="57" t="s">
        <v>216</v>
      </c>
      <c r="S31" s="61" t="str">
        <f t="shared" ca="1" si="2"/>
        <v>EXECUTADA</v>
      </c>
    </row>
    <row r="32" spans="1:19" s="55" customFormat="1" ht="18" x14ac:dyDescent="0.25">
      <c r="A32" s="82" t="s">
        <v>217</v>
      </c>
      <c r="B32" s="57" t="s">
        <v>30</v>
      </c>
      <c r="C32" s="58"/>
      <c r="D32" s="53" t="s">
        <v>218</v>
      </c>
      <c r="E32" s="57">
        <v>34991631067</v>
      </c>
      <c r="F32" s="59">
        <v>46118</v>
      </c>
      <c r="G32" s="51" t="str">
        <f t="shared" si="0"/>
        <v>Seg</v>
      </c>
      <c r="H32" s="60">
        <v>0.54166666666666663</v>
      </c>
      <c r="I32" s="57" t="s">
        <v>46</v>
      </c>
      <c r="J32" s="57" t="s">
        <v>76</v>
      </c>
      <c r="K32" s="57" t="s">
        <v>77</v>
      </c>
      <c r="L32" s="53" t="str">
        <f t="shared" si="1"/>
        <v>SIM</v>
      </c>
      <c r="M32" s="57" t="s">
        <v>78</v>
      </c>
      <c r="N32" s="57" t="s">
        <v>79</v>
      </c>
      <c r="O32" s="57" t="s">
        <v>80</v>
      </c>
      <c r="P32" s="57" t="s">
        <v>81</v>
      </c>
      <c r="Q32" s="57" t="s">
        <v>82</v>
      </c>
      <c r="R32" s="57" t="s">
        <v>83</v>
      </c>
      <c r="S32" s="61" t="str">
        <f t="shared" ca="1" si="2"/>
        <v>EXECUTADA</v>
      </c>
    </row>
    <row r="33" spans="1:19" s="83" customFormat="1" ht="18" customHeight="1" x14ac:dyDescent="0.25">
      <c r="A33" s="56" t="s">
        <v>2630</v>
      </c>
      <c r="B33" s="57" t="s">
        <v>27</v>
      </c>
      <c r="C33" s="58"/>
      <c r="D33" s="53" t="s">
        <v>85</v>
      </c>
      <c r="E33" s="57">
        <v>34993110530</v>
      </c>
      <c r="F33" s="59">
        <v>46118</v>
      </c>
      <c r="G33" s="51" t="str">
        <f t="shared" si="0"/>
        <v>Seg</v>
      </c>
      <c r="H33" s="60">
        <v>0.70833333333333337</v>
      </c>
      <c r="I33" s="57" t="s">
        <v>42</v>
      </c>
      <c r="J33" s="57" t="s">
        <v>219</v>
      </c>
      <c r="K33" s="57" t="s">
        <v>71</v>
      </c>
      <c r="L33" s="53" t="str">
        <f t="shared" si="1"/>
        <v>NÃO</v>
      </c>
      <c r="M33" s="57" t="s">
        <v>72</v>
      </c>
      <c r="N33" s="57" t="s">
        <v>89</v>
      </c>
      <c r="O33" s="57" t="s">
        <v>72</v>
      </c>
      <c r="P33" s="57" t="s">
        <v>72</v>
      </c>
      <c r="Q33" s="57" t="s">
        <v>220</v>
      </c>
      <c r="R33" s="57" t="s">
        <v>221</v>
      </c>
      <c r="S33" s="61" t="str">
        <f t="shared" ca="1" si="2"/>
        <v>EXECUTADA</v>
      </c>
    </row>
    <row r="34" spans="1:19" s="83" customFormat="1" ht="18" customHeight="1" x14ac:dyDescent="0.25">
      <c r="A34" s="56" t="s">
        <v>222</v>
      </c>
      <c r="B34" s="57" t="s">
        <v>30</v>
      </c>
      <c r="C34" s="58"/>
      <c r="D34" s="53" t="s">
        <v>182</v>
      </c>
      <c r="E34" s="57">
        <v>34988720868</v>
      </c>
      <c r="F34" s="59">
        <v>46118</v>
      </c>
      <c r="G34" s="51" t="str">
        <f t="shared" si="0"/>
        <v>Seg</v>
      </c>
      <c r="H34" s="60">
        <v>0.70833333333333337</v>
      </c>
      <c r="I34" s="57" t="s">
        <v>46</v>
      </c>
      <c r="J34" s="57" t="s">
        <v>223</v>
      </c>
      <c r="K34" s="57" t="s">
        <v>146</v>
      </c>
      <c r="L34" s="53" t="str">
        <f t="shared" si="1"/>
        <v>SIM</v>
      </c>
      <c r="M34" s="57" t="s">
        <v>224</v>
      </c>
      <c r="N34" s="57" t="s">
        <v>89</v>
      </c>
      <c r="O34" s="57" t="s">
        <v>72</v>
      </c>
      <c r="P34" s="57" t="s">
        <v>72</v>
      </c>
      <c r="Q34" s="57" t="s">
        <v>225</v>
      </c>
      <c r="R34" s="57" t="s">
        <v>226</v>
      </c>
      <c r="S34" s="61" t="str">
        <f t="shared" ca="1" si="2"/>
        <v>EXECUTADA</v>
      </c>
    </row>
    <row r="35" spans="1:19" s="83" customFormat="1" ht="90" x14ac:dyDescent="0.25">
      <c r="A35" s="73" t="s">
        <v>2631</v>
      </c>
      <c r="B35" s="74" t="s">
        <v>30</v>
      </c>
      <c r="C35" s="84" t="s">
        <v>243</v>
      </c>
      <c r="E35" s="74">
        <v>34998613955</v>
      </c>
      <c r="F35" s="27">
        <v>46118</v>
      </c>
      <c r="G35" s="28" t="str">
        <f t="shared" si="0"/>
        <v>Seg</v>
      </c>
      <c r="H35" s="77">
        <v>0.625</v>
      </c>
      <c r="I35" s="74" t="s">
        <v>46</v>
      </c>
      <c r="J35" s="74" t="s">
        <v>244</v>
      </c>
      <c r="K35" s="74" t="s">
        <v>146</v>
      </c>
      <c r="L35" s="78" t="str">
        <f t="shared" si="1"/>
        <v>SIM</v>
      </c>
      <c r="M35" s="74" t="s">
        <v>245</v>
      </c>
      <c r="N35" s="74" t="s">
        <v>89</v>
      </c>
      <c r="O35" s="74" t="s">
        <v>72</v>
      </c>
      <c r="P35" s="74" t="s">
        <v>72</v>
      </c>
      <c r="Q35" s="83" t="s">
        <v>246</v>
      </c>
      <c r="R35" s="74" t="s">
        <v>247</v>
      </c>
      <c r="S35" s="79" t="str">
        <f t="shared" ca="1" si="2"/>
        <v>EXECUTADA</v>
      </c>
    </row>
    <row r="36" spans="1:19" s="83" customFormat="1" ht="18" x14ac:dyDescent="0.25">
      <c r="A36" s="85" t="s">
        <v>2632</v>
      </c>
      <c r="B36" s="74" t="s">
        <v>30</v>
      </c>
      <c r="C36" s="75"/>
      <c r="D36" s="78" t="s">
        <v>248</v>
      </c>
      <c r="E36" s="74">
        <v>34998954165</v>
      </c>
      <c r="F36" s="27">
        <v>46118</v>
      </c>
      <c r="G36" s="28" t="str">
        <f t="shared" si="0"/>
        <v>Seg</v>
      </c>
      <c r="H36" s="77">
        <v>0.41666666666666669</v>
      </c>
      <c r="I36" s="74" t="s">
        <v>46</v>
      </c>
      <c r="J36" s="74" t="s">
        <v>249</v>
      </c>
      <c r="K36" s="74"/>
      <c r="L36" s="78" t="str">
        <f t="shared" si="1"/>
        <v>SIM</v>
      </c>
      <c r="M36" s="74" t="s">
        <v>250</v>
      </c>
      <c r="N36" s="74"/>
      <c r="O36" s="74"/>
      <c r="P36" s="74"/>
      <c r="Q36" s="74" t="s">
        <v>208</v>
      </c>
      <c r="R36" s="74"/>
      <c r="S36" s="79" t="str">
        <f t="shared" ca="1" si="2"/>
        <v>EXECUTADA</v>
      </c>
    </row>
    <row r="37" spans="1:19" s="83" customFormat="1" ht="18" x14ac:dyDescent="0.25">
      <c r="A37" s="85" t="s">
        <v>2633</v>
      </c>
      <c r="B37" s="74" t="s">
        <v>27</v>
      </c>
      <c r="C37" s="75"/>
      <c r="D37" s="78" t="s">
        <v>208</v>
      </c>
      <c r="E37" s="74">
        <v>34996862353</v>
      </c>
      <c r="F37" s="27">
        <v>46118</v>
      </c>
      <c r="G37" s="28" t="str">
        <f t="shared" si="0"/>
        <v>Seg</v>
      </c>
      <c r="H37" s="77"/>
      <c r="I37" s="74" t="s">
        <v>38</v>
      </c>
      <c r="J37" s="74" t="s">
        <v>251</v>
      </c>
      <c r="K37" s="74" t="s">
        <v>146</v>
      </c>
      <c r="L37" s="78" t="str">
        <f t="shared" si="1"/>
        <v>NÃO</v>
      </c>
      <c r="M37" s="74" t="s">
        <v>72</v>
      </c>
      <c r="N37" s="74" t="s">
        <v>89</v>
      </c>
      <c r="O37" s="74" t="s">
        <v>252</v>
      </c>
      <c r="P37" s="74" t="s">
        <v>253</v>
      </c>
      <c r="Q37" s="74"/>
      <c r="R37" s="74"/>
      <c r="S37" s="79" t="str">
        <f t="shared" ca="1" si="2"/>
        <v>EXECUTADA</v>
      </c>
    </row>
    <row r="38" spans="1:19" s="55" customFormat="1" ht="18" x14ac:dyDescent="0.25">
      <c r="A38" s="71" t="s">
        <v>254</v>
      </c>
      <c r="B38" s="57" t="s">
        <v>30</v>
      </c>
      <c r="C38" s="58"/>
      <c r="D38" s="53" t="s">
        <v>255</v>
      </c>
      <c r="E38" s="57">
        <v>34992870010</v>
      </c>
      <c r="F38" s="29">
        <v>46118</v>
      </c>
      <c r="G38" s="30" t="str">
        <f t="shared" si="0"/>
        <v>Seg</v>
      </c>
      <c r="H38" s="60">
        <v>0.41666666666666669</v>
      </c>
      <c r="I38" s="57" t="s">
        <v>46</v>
      </c>
      <c r="J38" s="57" t="s">
        <v>256</v>
      </c>
      <c r="K38" s="57" t="s">
        <v>77</v>
      </c>
      <c r="L38" s="53" t="str">
        <f t="shared" si="1"/>
        <v>SIM</v>
      </c>
      <c r="M38" s="57" t="s">
        <v>257</v>
      </c>
      <c r="N38" s="57" t="s">
        <v>89</v>
      </c>
      <c r="O38" s="57" t="s">
        <v>72</v>
      </c>
      <c r="P38" s="57" t="s">
        <v>72</v>
      </c>
      <c r="Q38" s="57" t="s">
        <v>258</v>
      </c>
      <c r="R38" s="57" t="s">
        <v>259</v>
      </c>
      <c r="S38" s="61" t="str">
        <f t="shared" ca="1" si="2"/>
        <v>EXECUTADA</v>
      </c>
    </row>
    <row r="39" spans="1:19" s="81" customFormat="1" ht="18" x14ac:dyDescent="0.25">
      <c r="A39" s="86" t="s">
        <v>260</v>
      </c>
      <c r="B39" s="38" t="s">
        <v>27</v>
      </c>
      <c r="C39" s="39"/>
      <c r="D39" s="40" t="s">
        <v>261</v>
      </c>
      <c r="E39" s="38">
        <v>34996941853</v>
      </c>
      <c r="F39" s="41">
        <v>46119</v>
      </c>
      <c r="G39" s="42" t="str">
        <f t="shared" si="0"/>
        <v>Ter</v>
      </c>
      <c r="H39" s="43">
        <v>0.33333333333333331</v>
      </c>
      <c r="I39" s="38" t="s">
        <v>38</v>
      </c>
      <c r="J39" s="38" t="s">
        <v>262</v>
      </c>
      <c r="K39" s="38" t="s">
        <v>87</v>
      </c>
      <c r="L39" s="40" t="str">
        <f t="shared" si="1"/>
        <v>NÃO</v>
      </c>
      <c r="M39" s="38" t="s">
        <v>72</v>
      </c>
      <c r="N39" s="38" t="s">
        <v>89</v>
      </c>
      <c r="O39" s="38" t="s">
        <v>72</v>
      </c>
      <c r="P39" s="38" t="s">
        <v>72</v>
      </c>
      <c r="Q39" s="38" t="s">
        <v>263</v>
      </c>
      <c r="R39" s="38" t="s">
        <v>264</v>
      </c>
      <c r="S39" s="44" t="str">
        <f t="shared" ca="1" si="2"/>
        <v>EXECUTADA</v>
      </c>
    </row>
    <row r="40" spans="1:19" s="55" customFormat="1" ht="18" x14ac:dyDescent="0.25">
      <c r="A40" s="87" t="s">
        <v>265</v>
      </c>
      <c r="B40" s="57" t="s">
        <v>27</v>
      </c>
      <c r="C40" s="58"/>
      <c r="D40" s="53" t="s">
        <v>85</v>
      </c>
      <c r="E40" s="57">
        <v>34999773460</v>
      </c>
      <c r="F40" s="59">
        <v>46119</v>
      </c>
      <c r="G40" s="51" t="str">
        <f t="shared" si="0"/>
        <v>Ter</v>
      </c>
      <c r="H40" s="60">
        <v>0.33333333333333331</v>
      </c>
      <c r="I40" s="57" t="s">
        <v>38</v>
      </c>
      <c r="J40" s="57" t="s">
        <v>266</v>
      </c>
      <c r="K40" s="57" t="s">
        <v>146</v>
      </c>
      <c r="L40" s="53" t="str">
        <f t="shared" si="1"/>
        <v>NÃO</v>
      </c>
      <c r="M40" s="57" t="s">
        <v>72</v>
      </c>
      <c r="N40" s="57" t="s">
        <v>89</v>
      </c>
      <c r="O40" s="57" t="s">
        <v>267</v>
      </c>
      <c r="P40" s="57">
        <v>34996945543</v>
      </c>
      <c r="Q40" s="57" t="s">
        <v>268</v>
      </c>
      <c r="R40" s="57" t="s">
        <v>269</v>
      </c>
      <c r="S40" s="61" t="str">
        <f t="shared" ca="1" si="2"/>
        <v>EXECUTADA</v>
      </c>
    </row>
    <row r="41" spans="1:19" s="55" customFormat="1" ht="18" x14ac:dyDescent="0.25">
      <c r="A41" s="67" t="s">
        <v>270</v>
      </c>
      <c r="B41" s="57" t="s">
        <v>30</v>
      </c>
      <c r="C41" s="58"/>
      <c r="D41" s="53" t="s">
        <v>271</v>
      </c>
      <c r="E41" s="57">
        <v>34996700174</v>
      </c>
      <c r="F41" s="59">
        <v>46119</v>
      </c>
      <c r="G41" s="51" t="str">
        <f t="shared" si="0"/>
        <v>Ter</v>
      </c>
      <c r="H41" s="60">
        <v>0.41666666666666669</v>
      </c>
      <c r="I41" s="57" t="s">
        <v>46</v>
      </c>
      <c r="J41" s="57" t="s">
        <v>272</v>
      </c>
      <c r="K41" s="57" t="s">
        <v>71</v>
      </c>
      <c r="L41" s="53" t="str">
        <f t="shared" si="1"/>
        <v>SIM</v>
      </c>
      <c r="M41" s="57" t="s">
        <v>273</v>
      </c>
      <c r="N41" s="57" t="s">
        <v>79</v>
      </c>
      <c r="O41" s="57" t="s">
        <v>274</v>
      </c>
      <c r="P41" s="57">
        <v>34996700174</v>
      </c>
      <c r="Q41" s="57" t="s">
        <v>275</v>
      </c>
      <c r="R41" s="57" t="s">
        <v>276</v>
      </c>
      <c r="S41" s="61" t="str">
        <f t="shared" ca="1" si="2"/>
        <v>EXECUTADA</v>
      </c>
    </row>
    <row r="42" spans="1:19" s="55" customFormat="1" ht="18" x14ac:dyDescent="0.25">
      <c r="A42" s="56" t="s">
        <v>2634</v>
      </c>
      <c r="B42" s="57" t="s">
        <v>27</v>
      </c>
      <c r="C42" s="58"/>
      <c r="D42" s="53" t="s">
        <v>85</v>
      </c>
      <c r="E42" s="57">
        <v>34998840375</v>
      </c>
      <c r="F42" s="59">
        <v>46119</v>
      </c>
      <c r="G42" s="51" t="str">
        <f t="shared" si="0"/>
        <v>Ter</v>
      </c>
      <c r="H42" s="60">
        <v>0.41666666666666669</v>
      </c>
      <c r="I42" s="57" t="s">
        <v>38</v>
      </c>
      <c r="J42" s="57" t="s">
        <v>277</v>
      </c>
      <c r="K42" s="57" t="s">
        <v>71</v>
      </c>
      <c r="L42" s="53" t="str">
        <f t="shared" si="1"/>
        <v>NÃO</v>
      </c>
      <c r="M42" s="57" t="s">
        <v>72</v>
      </c>
      <c r="N42" s="57" t="s">
        <v>89</v>
      </c>
      <c r="O42" s="57" t="s">
        <v>72</v>
      </c>
      <c r="P42" s="57" t="s">
        <v>72</v>
      </c>
      <c r="Q42" s="57" t="s">
        <v>278</v>
      </c>
      <c r="R42" s="57" t="s">
        <v>279</v>
      </c>
      <c r="S42" s="61" t="str">
        <f t="shared" ca="1" si="2"/>
        <v>EXECUTADA</v>
      </c>
    </row>
    <row r="43" spans="1:19" s="55" customFormat="1" ht="18" x14ac:dyDescent="0.25">
      <c r="A43" s="56" t="s">
        <v>280</v>
      </c>
      <c r="B43" s="57" t="s">
        <v>27</v>
      </c>
      <c r="C43" s="58"/>
      <c r="D43" s="53" t="s">
        <v>281</v>
      </c>
      <c r="E43" s="57">
        <v>34999601750</v>
      </c>
      <c r="F43" s="59">
        <v>46119</v>
      </c>
      <c r="G43" s="51" t="str">
        <f t="shared" si="0"/>
        <v>Ter</v>
      </c>
      <c r="H43" s="60">
        <v>0.54166666666666663</v>
      </c>
      <c r="I43" s="57" t="s">
        <v>42</v>
      </c>
      <c r="J43" s="57" t="s">
        <v>282</v>
      </c>
      <c r="K43" s="57" t="s">
        <v>146</v>
      </c>
      <c r="L43" s="53" t="str">
        <f t="shared" si="1"/>
        <v>NÃO</v>
      </c>
      <c r="M43" s="57" t="s">
        <v>72</v>
      </c>
      <c r="N43" s="57" t="s">
        <v>89</v>
      </c>
      <c r="O43" s="57" t="s">
        <v>72</v>
      </c>
      <c r="P43" s="57" t="s">
        <v>72</v>
      </c>
      <c r="Q43" s="57" t="s">
        <v>283</v>
      </c>
      <c r="R43" s="57" t="s">
        <v>284</v>
      </c>
      <c r="S43" s="61" t="str">
        <f t="shared" ca="1" si="2"/>
        <v>EXECUTADA</v>
      </c>
    </row>
    <row r="44" spans="1:19" s="55" customFormat="1" ht="18" x14ac:dyDescent="0.25">
      <c r="A44" s="56" t="s">
        <v>2635</v>
      </c>
      <c r="B44" s="57" t="s">
        <v>27</v>
      </c>
      <c r="C44" s="58"/>
      <c r="D44" s="53" t="s">
        <v>85</v>
      </c>
      <c r="E44" s="57">
        <v>34998882510</v>
      </c>
      <c r="F44" s="59">
        <v>46119</v>
      </c>
      <c r="G44" s="51" t="str">
        <f t="shared" si="0"/>
        <v>Ter</v>
      </c>
      <c r="H44" s="60">
        <v>0.54166666666666663</v>
      </c>
      <c r="I44" s="57" t="s">
        <v>35</v>
      </c>
      <c r="J44" s="57" t="s">
        <v>285</v>
      </c>
      <c r="K44" s="57" t="s">
        <v>71</v>
      </c>
      <c r="L44" s="53" t="str">
        <f t="shared" si="1"/>
        <v>NÃO</v>
      </c>
      <c r="M44" s="57" t="s">
        <v>72</v>
      </c>
      <c r="N44" s="57" t="s">
        <v>89</v>
      </c>
      <c r="O44" s="57" t="s">
        <v>72</v>
      </c>
      <c r="P44" s="57" t="s">
        <v>72</v>
      </c>
      <c r="Q44" s="57" t="s">
        <v>286</v>
      </c>
      <c r="R44" s="57" t="s">
        <v>287</v>
      </c>
      <c r="S44" s="61" t="str">
        <f t="shared" ca="1" si="2"/>
        <v>EXECUTADA</v>
      </c>
    </row>
    <row r="45" spans="1:19" s="81" customFormat="1" ht="54" x14ac:dyDescent="0.25">
      <c r="A45" s="88" t="s">
        <v>288</v>
      </c>
      <c r="B45" s="38" t="s">
        <v>289</v>
      </c>
      <c r="C45" s="39"/>
      <c r="D45" s="89" t="s">
        <v>290</v>
      </c>
      <c r="E45" s="38"/>
      <c r="F45" s="41">
        <v>46119</v>
      </c>
      <c r="G45" s="42" t="str">
        <f t="shared" si="0"/>
        <v>Ter</v>
      </c>
      <c r="H45" s="43">
        <v>0.625</v>
      </c>
      <c r="I45" s="38"/>
      <c r="J45" s="90"/>
      <c r="K45" s="90"/>
      <c r="L45" s="40" t="str">
        <f t="shared" si="1"/>
        <v>SIM</v>
      </c>
      <c r="M45" s="90"/>
      <c r="N45" s="38"/>
      <c r="O45" s="90"/>
      <c r="P45" s="38"/>
      <c r="Q45" s="90"/>
      <c r="R45" s="90"/>
      <c r="S45" s="44" t="str">
        <f t="shared" ca="1" si="2"/>
        <v>EXECUTADA</v>
      </c>
    </row>
    <row r="46" spans="1:19" s="55" customFormat="1" ht="18" x14ac:dyDescent="0.25">
      <c r="A46" s="56" t="s">
        <v>291</v>
      </c>
      <c r="B46" s="57" t="s">
        <v>27</v>
      </c>
      <c r="C46" s="58"/>
      <c r="D46" s="53" t="s">
        <v>85</v>
      </c>
      <c r="E46" s="57">
        <v>38999557160</v>
      </c>
      <c r="F46" s="59">
        <v>46119</v>
      </c>
      <c r="G46" s="51" t="str">
        <f t="shared" si="0"/>
        <v>Ter</v>
      </c>
      <c r="H46" s="60">
        <v>0.625</v>
      </c>
      <c r="I46" s="57" t="s">
        <v>35</v>
      </c>
      <c r="J46" s="57" t="s">
        <v>292</v>
      </c>
      <c r="K46" s="57" t="s">
        <v>87</v>
      </c>
      <c r="L46" s="53" t="str">
        <f t="shared" si="1"/>
        <v>NÃO</v>
      </c>
      <c r="M46" s="57" t="s">
        <v>72</v>
      </c>
      <c r="N46" s="57" t="s">
        <v>89</v>
      </c>
      <c r="O46" s="57" t="s">
        <v>72</v>
      </c>
      <c r="P46" s="57" t="s">
        <v>72</v>
      </c>
      <c r="Q46" s="57" t="s">
        <v>293</v>
      </c>
      <c r="R46" s="57" t="s">
        <v>294</v>
      </c>
      <c r="S46" s="61" t="str">
        <f t="shared" ca="1" si="2"/>
        <v>EXECUTADA</v>
      </c>
    </row>
    <row r="47" spans="1:19" s="55" customFormat="1" ht="18" x14ac:dyDescent="0.25">
      <c r="A47" s="56" t="s">
        <v>295</v>
      </c>
      <c r="B47" s="57" t="s">
        <v>27</v>
      </c>
      <c r="C47" s="58"/>
      <c r="D47" s="53" t="s">
        <v>296</v>
      </c>
      <c r="E47" s="57">
        <v>34984006345</v>
      </c>
      <c r="F47" s="59">
        <v>46119</v>
      </c>
      <c r="G47" s="51" t="str">
        <f t="shared" si="0"/>
        <v>Ter</v>
      </c>
      <c r="H47" s="60">
        <v>0.70833333333333337</v>
      </c>
      <c r="I47" s="57" t="s">
        <v>38</v>
      </c>
      <c r="J47" s="57" t="s">
        <v>297</v>
      </c>
      <c r="K47" s="57" t="s">
        <v>87</v>
      </c>
      <c r="L47" s="53" t="str">
        <f t="shared" si="1"/>
        <v>NÃO</v>
      </c>
      <c r="M47" s="57" t="s">
        <v>72</v>
      </c>
      <c r="N47" s="57" t="s">
        <v>89</v>
      </c>
      <c r="O47" s="57" t="s">
        <v>72</v>
      </c>
      <c r="P47" s="57" t="s">
        <v>72</v>
      </c>
      <c r="Q47" s="57" t="s">
        <v>298</v>
      </c>
      <c r="R47" s="57" t="s">
        <v>2636</v>
      </c>
      <c r="S47" s="61" t="str">
        <f t="shared" ca="1" si="2"/>
        <v>EXECUTADA</v>
      </c>
    </row>
    <row r="48" spans="1:19" s="55" customFormat="1" ht="18" x14ac:dyDescent="0.25">
      <c r="A48" s="56" t="s">
        <v>299</v>
      </c>
      <c r="B48" s="57" t="s">
        <v>30</v>
      </c>
      <c r="C48" s="58"/>
      <c r="D48" s="53" t="s">
        <v>300</v>
      </c>
      <c r="E48" s="57">
        <v>34988346869</v>
      </c>
      <c r="F48" s="59">
        <v>46119</v>
      </c>
      <c r="G48" s="51" t="str">
        <f t="shared" si="0"/>
        <v>Ter</v>
      </c>
      <c r="H48" s="60">
        <v>0.70833333333333337</v>
      </c>
      <c r="I48" s="57" t="s">
        <v>46</v>
      </c>
      <c r="J48" s="57" t="s">
        <v>301</v>
      </c>
      <c r="K48" s="57" t="s">
        <v>139</v>
      </c>
      <c r="L48" s="53" t="str">
        <f t="shared" si="1"/>
        <v>SIM</v>
      </c>
      <c r="M48" s="57" t="s">
        <v>302</v>
      </c>
      <c r="N48" s="57" t="s">
        <v>89</v>
      </c>
      <c r="O48" s="57" t="s">
        <v>72</v>
      </c>
      <c r="P48" s="57" t="s">
        <v>72</v>
      </c>
      <c r="Q48" s="57" t="s">
        <v>303</v>
      </c>
      <c r="R48" s="57" t="s">
        <v>304</v>
      </c>
      <c r="S48" s="61" t="str">
        <f t="shared" ca="1" si="2"/>
        <v>EXECUTADA</v>
      </c>
    </row>
    <row r="49" spans="1:19" s="55" customFormat="1" ht="18" x14ac:dyDescent="0.25">
      <c r="A49" s="56" t="s">
        <v>2637</v>
      </c>
      <c r="B49" s="57" t="s">
        <v>30</v>
      </c>
      <c r="C49" s="58"/>
      <c r="D49" s="53" t="s">
        <v>85</v>
      </c>
      <c r="E49" s="57">
        <v>34997725400</v>
      </c>
      <c r="F49" s="59">
        <v>46119</v>
      </c>
      <c r="G49" s="51" t="str">
        <f t="shared" si="0"/>
        <v>Ter</v>
      </c>
      <c r="H49" s="60">
        <v>0.625</v>
      </c>
      <c r="I49" s="57" t="s">
        <v>46</v>
      </c>
      <c r="J49" s="57" t="s">
        <v>305</v>
      </c>
      <c r="K49" s="57" t="s">
        <v>146</v>
      </c>
      <c r="L49" s="53" t="str">
        <f t="shared" si="1"/>
        <v>SIM</v>
      </c>
      <c r="M49" s="57" t="s">
        <v>306</v>
      </c>
      <c r="N49" s="57" t="s">
        <v>79</v>
      </c>
      <c r="O49" s="57" t="s">
        <v>307</v>
      </c>
      <c r="P49" s="57" t="s">
        <v>308</v>
      </c>
      <c r="Q49" s="57" t="s">
        <v>309</v>
      </c>
      <c r="R49" s="57" t="s">
        <v>310</v>
      </c>
      <c r="S49" s="61" t="str">
        <f t="shared" ca="1" si="2"/>
        <v>EXECUTADA</v>
      </c>
    </row>
    <row r="50" spans="1:19" s="55" customFormat="1" ht="18" x14ac:dyDescent="0.25">
      <c r="A50" s="56" t="s">
        <v>311</v>
      </c>
      <c r="B50" s="57" t="s">
        <v>27</v>
      </c>
      <c r="C50" s="58"/>
      <c r="D50" s="53" t="s">
        <v>85</v>
      </c>
      <c r="E50" s="57">
        <v>34996662547</v>
      </c>
      <c r="F50" s="59">
        <v>46120</v>
      </c>
      <c r="G50" s="51" t="str">
        <f t="shared" si="0"/>
        <v>Qua</v>
      </c>
      <c r="H50" s="60">
        <v>0.33333333333333331</v>
      </c>
      <c r="I50" s="57" t="s">
        <v>35</v>
      </c>
      <c r="J50" s="57" t="s">
        <v>312</v>
      </c>
      <c r="K50" s="57" t="s">
        <v>87</v>
      </c>
      <c r="L50" s="53" t="str">
        <f t="shared" si="1"/>
        <v>NÃO</v>
      </c>
      <c r="M50" s="57" t="s">
        <v>72</v>
      </c>
      <c r="N50" s="57" t="s">
        <v>79</v>
      </c>
      <c r="O50" s="57" t="s">
        <v>313</v>
      </c>
      <c r="P50" s="57" t="s">
        <v>314</v>
      </c>
      <c r="Q50" s="57" t="s">
        <v>315</v>
      </c>
      <c r="R50" s="57" t="s">
        <v>316</v>
      </c>
      <c r="S50" s="61" t="str">
        <f t="shared" ca="1" si="2"/>
        <v>EXECUTADA</v>
      </c>
    </row>
    <row r="51" spans="1:19" s="55" customFormat="1" ht="18" x14ac:dyDescent="0.25">
      <c r="A51" s="56" t="s">
        <v>317</v>
      </c>
      <c r="B51" s="57" t="s">
        <v>30</v>
      </c>
      <c r="C51" s="58"/>
      <c r="D51" s="53" t="s">
        <v>182</v>
      </c>
      <c r="E51" s="57">
        <v>34996819712</v>
      </c>
      <c r="F51" s="59">
        <v>46120</v>
      </c>
      <c r="G51" s="51" t="str">
        <f t="shared" si="0"/>
        <v>Qua</v>
      </c>
      <c r="H51" s="60">
        <v>0.33333333333333331</v>
      </c>
      <c r="I51" s="57" t="s">
        <v>46</v>
      </c>
      <c r="J51" s="57" t="s">
        <v>318</v>
      </c>
      <c r="K51" s="57" t="s">
        <v>87</v>
      </c>
      <c r="L51" s="53" t="str">
        <f t="shared" si="1"/>
        <v>SIM</v>
      </c>
      <c r="M51" s="57" t="s">
        <v>319</v>
      </c>
      <c r="N51" s="57" t="s">
        <v>89</v>
      </c>
      <c r="O51" s="57" t="s">
        <v>72</v>
      </c>
      <c r="P51" s="57" t="s">
        <v>72</v>
      </c>
      <c r="Q51" s="57" t="s">
        <v>320</v>
      </c>
      <c r="R51" s="57" t="s">
        <v>2638</v>
      </c>
      <c r="S51" s="61" t="str">
        <f t="shared" ca="1" si="2"/>
        <v>EXECUTADA</v>
      </c>
    </row>
    <row r="52" spans="1:19" s="83" customFormat="1" ht="18" x14ac:dyDescent="0.25">
      <c r="A52" s="91" t="s">
        <v>2639</v>
      </c>
      <c r="B52" s="74" t="s">
        <v>27</v>
      </c>
      <c r="C52" s="75"/>
      <c r="D52" s="78" t="s">
        <v>321</v>
      </c>
      <c r="E52" s="74">
        <v>34984479701</v>
      </c>
      <c r="F52" s="92">
        <v>46120</v>
      </c>
      <c r="G52" s="93" t="str">
        <f t="shared" si="0"/>
        <v>Qua</v>
      </c>
      <c r="H52" s="77">
        <v>0.33333333333333331</v>
      </c>
      <c r="I52" s="74" t="s">
        <v>42</v>
      </c>
      <c r="J52" s="74" t="s">
        <v>322</v>
      </c>
      <c r="K52" s="74" t="s">
        <v>71</v>
      </c>
      <c r="L52" s="78" t="str">
        <f t="shared" si="1"/>
        <v>NÃO</v>
      </c>
      <c r="M52" s="74"/>
      <c r="N52" s="74"/>
      <c r="O52" s="74"/>
      <c r="P52" s="74"/>
      <c r="Q52" s="74" t="s">
        <v>323</v>
      </c>
      <c r="R52" s="74" t="s">
        <v>324</v>
      </c>
      <c r="S52" s="79" t="str">
        <f t="shared" ca="1" si="2"/>
        <v>EXECUTADA</v>
      </c>
    </row>
    <row r="53" spans="1:19" s="55" customFormat="1" ht="18" x14ac:dyDescent="0.25">
      <c r="A53" s="94" t="s">
        <v>325</v>
      </c>
      <c r="B53" s="57" t="s">
        <v>30</v>
      </c>
      <c r="C53" s="58"/>
      <c r="D53" s="53" t="s">
        <v>182</v>
      </c>
      <c r="E53" s="57">
        <v>34998787957</v>
      </c>
      <c r="F53" s="59">
        <v>46120</v>
      </c>
      <c r="G53" s="51" t="str">
        <f t="shared" si="0"/>
        <v>Qua</v>
      </c>
      <c r="H53" s="60">
        <v>0.33333333333333331</v>
      </c>
      <c r="I53" s="57" t="s">
        <v>46</v>
      </c>
      <c r="J53" s="57" t="s">
        <v>326</v>
      </c>
      <c r="K53" s="57" t="s">
        <v>162</v>
      </c>
      <c r="L53" s="53" t="str">
        <f t="shared" si="1"/>
        <v>SIM</v>
      </c>
      <c r="M53" s="57" t="s">
        <v>327</v>
      </c>
      <c r="N53" s="57" t="s">
        <v>89</v>
      </c>
      <c r="O53" s="57" t="s">
        <v>72</v>
      </c>
      <c r="P53" s="57" t="s">
        <v>72</v>
      </c>
      <c r="Q53" s="57" t="s">
        <v>328</v>
      </c>
      <c r="R53" s="57" t="s">
        <v>2640</v>
      </c>
      <c r="S53" s="61" t="str">
        <f t="shared" ca="1" si="2"/>
        <v>EXECUTADA</v>
      </c>
    </row>
    <row r="54" spans="1:19" s="55" customFormat="1" ht="18" x14ac:dyDescent="0.25">
      <c r="A54" s="56" t="s">
        <v>329</v>
      </c>
      <c r="B54" s="57" t="s">
        <v>30</v>
      </c>
      <c r="C54" s="58"/>
      <c r="D54" s="53" t="s">
        <v>330</v>
      </c>
      <c r="E54" s="57">
        <v>38999909458</v>
      </c>
      <c r="F54" s="59">
        <v>46120</v>
      </c>
      <c r="G54" s="51" t="str">
        <f t="shared" si="0"/>
        <v>Qua</v>
      </c>
      <c r="H54" s="60">
        <v>0.41666666666666669</v>
      </c>
      <c r="I54" s="57" t="s">
        <v>46</v>
      </c>
      <c r="J54" s="57" t="s">
        <v>331</v>
      </c>
      <c r="K54" s="57" t="s">
        <v>71</v>
      </c>
      <c r="L54" s="53" t="str">
        <f t="shared" si="1"/>
        <v>SIM</v>
      </c>
      <c r="M54" s="57" t="s">
        <v>332</v>
      </c>
      <c r="N54" s="57" t="s">
        <v>79</v>
      </c>
      <c r="O54" s="57" t="s">
        <v>333</v>
      </c>
      <c r="P54" s="57">
        <v>38999570854</v>
      </c>
      <c r="Q54" s="57" t="s">
        <v>334</v>
      </c>
      <c r="R54" s="57" t="s">
        <v>335</v>
      </c>
      <c r="S54" s="61" t="str">
        <f t="shared" ca="1" si="2"/>
        <v>EXECUTADA</v>
      </c>
    </row>
    <row r="55" spans="1:19" s="55" customFormat="1" ht="18" x14ac:dyDescent="0.25">
      <c r="A55" s="56" t="s">
        <v>336</v>
      </c>
      <c r="B55" s="57" t="s">
        <v>27</v>
      </c>
      <c r="C55" s="58"/>
      <c r="D55" s="53" t="s">
        <v>85</v>
      </c>
      <c r="E55" s="57">
        <v>34996716531</v>
      </c>
      <c r="F55" s="59">
        <v>46120</v>
      </c>
      <c r="G55" s="51" t="str">
        <f t="shared" si="0"/>
        <v>Qua</v>
      </c>
      <c r="H55" s="60">
        <v>0.41666666666666669</v>
      </c>
      <c r="I55" s="57" t="s">
        <v>42</v>
      </c>
      <c r="J55" s="57" t="s">
        <v>337</v>
      </c>
      <c r="K55" s="57" t="s">
        <v>71</v>
      </c>
      <c r="L55" s="53" t="str">
        <f t="shared" si="1"/>
        <v>NÃO</v>
      </c>
      <c r="M55" s="57" t="s">
        <v>72</v>
      </c>
      <c r="N55" s="57" t="s">
        <v>338</v>
      </c>
      <c r="O55" s="57" t="s">
        <v>339</v>
      </c>
      <c r="P55" s="57" t="s">
        <v>340</v>
      </c>
      <c r="Q55" s="57" t="s">
        <v>2641</v>
      </c>
      <c r="R55" s="57" t="s">
        <v>341</v>
      </c>
      <c r="S55" s="61" t="str">
        <f t="shared" ca="1" si="2"/>
        <v>EXECUTADA</v>
      </c>
    </row>
    <row r="56" spans="1:19" s="55" customFormat="1" ht="18" x14ac:dyDescent="0.25">
      <c r="A56" s="64" t="s">
        <v>342</v>
      </c>
      <c r="B56" s="57" t="s">
        <v>27</v>
      </c>
      <c r="C56" s="58"/>
      <c r="D56" s="53" t="s">
        <v>85</v>
      </c>
      <c r="E56" s="57">
        <v>38991304709</v>
      </c>
      <c r="F56" s="59">
        <v>46120</v>
      </c>
      <c r="G56" s="51" t="str">
        <f t="shared" si="0"/>
        <v>Qua</v>
      </c>
      <c r="H56" s="60">
        <v>0.41666666666666669</v>
      </c>
      <c r="I56" s="57" t="s">
        <v>42</v>
      </c>
      <c r="J56" s="57" t="s">
        <v>343</v>
      </c>
      <c r="K56" s="57" t="s">
        <v>132</v>
      </c>
      <c r="L56" s="53" t="str">
        <f t="shared" si="1"/>
        <v>NÃO</v>
      </c>
      <c r="M56" s="57" t="s">
        <v>72</v>
      </c>
      <c r="N56" s="57" t="s">
        <v>79</v>
      </c>
      <c r="O56" s="57" t="s">
        <v>344</v>
      </c>
      <c r="P56" s="57">
        <v>34998927532</v>
      </c>
      <c r="Q56" s="57" t="s">
        <v>345</v>
      </c>
      <c r="R56" s="57" t="s">
        <v>346</v>
      </c>
      <c r="S56" s="61" t="str">
        <f t="shared" ca="1" si="2"/>
        <v>EXECUTADA</v>
      </c>
    </row>
    <row r="57" spans="1:19" s="55" customFormat="1" ht="18" x14ac:dyDescent="0.25">
      <c r="A57" s="64" t="s">
        <v>2642</v>
      </c>
      <c r="B57" s="57" t="s">
        <v>27</v>
      </c>
      <c r="C57" s="58"/>
      <c r="D57" s="53" t="s">
        <v>347</v>
      </c>
      <c r="E57" s="57">
        <v>34996993907</v>
      </c>
      <c r="F57" s="59">
        <v>46120</v>
      </c>
      <c r="G57" s="51" t="str">
        <f t="shared" si="0"/>
        <v>Qua</v>
      </c>
      <c r="H57" s="60">
        <v>0.54166666666666663</v>
      </c>
      <c r="I57" s="57" t="s">
        <v>35</v>
      </c>
      <c r="J57" s="57" t="s">
        <v>348</v>
      </c>
      <c r="K57" s="57" t="s">
        <v>107</v>
      </c>
      <c r="L57" s="53" t="str">
        <f t="shared" si="1"/>
        <v>NÃO</v>
      </c>
      <c r="M57" s="57" t="s">
        <v>72</v>
      </c>
      <c r="N57" s="57" t="s">
        <v>79</v>
      </c>
      <c r="O57" s="57" t="s">
        <v>349</v>
      </c>
      <c r="P57" s="57" t="s">
        <v>350</v>
      </c>
      <c r="Q57" s="57" t="s">
        <v>351</v>
      </c>
      <c r="R57" s="57" t="s">
        <v>352</v>
      </c>
      <c r="S57" s="61" t="str">
        <f t="shared" ca="1" si="2"/>
        <v>EXECUTADA</v>
      </c>
    </row>
    <row r="58" spans="1:19" s="55" customFormat="1" ht="18" x14ac:dyDescent="0.25">
      <c r="A58" s="56" t="s">
        <v>2643</v>
      </c>
      <c r="B58" s="57" t="s">
        <v>27</v>
      </c>
      <c r="C58" s="58"/>
      <c r="D58" s="53" t="s">
        <v>85</v>
      </c>
      <c r="E58" s="57">
        <v>34991469011</v>
      </c>
      <c r="F58" s="59">
        <v>46120</v>
      </c>
      <c r="G58" s="51" t="str">
        <f t="shared" si="0"/>
        <v>Qua</v>
      </c>
      <c r="H58" s="60">
        <v>0.54166666666666663</v>
      </c>
      <c r="I58" s="57" t="s">
        <v>35</v>
      </c>
      <c r="J58" s="57" t="s">
        <v>353</v>
      </c>
      <c r="K58" s="57" t="s">
        <v>71</v>
      </c>
      <c r="L58" s="53" t="str">
        <f t="shared" si="1"/>
        <v>NÃO</v>
      </c>
      <c r="M58" s="57" t="s">
        <v>72</v>
      </c>
      <c r="N58" s="57" t="s">
        <v>79</v>
      </c>
      <c r="O58" s="57" t="s">
        <v>354</v>
      </c>
      <c r="P58" s="57" t="s">
        <v>355</v>
      </c>
      <c r="Q58" s="57" t="s">
        <v>356</v>
      </c>
      <c r="R58" s="57" t="s">
        <v>357</v>
      </c>
      <c r="S58" s="61" t="str">
        <f t="shared" ca="1" si="2"/>
        <v>EXECUTADA</v>
      </c>
    </row>
    <row r="59" spans="1:19" s="55" customFormat="1" ht="21" x14ac:dyDescent="0.25">
      <c r="A59" s="56" t="s">
        <v>2644</v>
      </c>
      <c r="B59" s="57" t="s">
        <v>30</v>
      </c>
      <c r="C59" s="58"/>
      <c r="D59" s="53" t="s">
        <v>85</v>
      </c>
      <c r="E59" s="57" t="s">
        <v>358</v>
      </c>
      <c r="F59" s="59">
        <v>46120</v>
      </c>
      <c r="G59" s="51" t="str">
        <f t="shared" si="0"/>
        <v>Qua</v>
      </c>
      <c r="H59" s="60">
        <v>0.625</v>
      </c>
      <c r="I59" s="57" t="s">
        <v>46</v>
      </c>
      <c r="J59" s="57" t="s">
        <v>359</v>
      </c>
      <c r="K59" s="57" t="s">
        <v>87</v>
      </c>
      <c r="L59" s="53" t="str">
        <f t="shared" si="1"/>
        <v>SIM</v>
      </c>
      <c r="M59" s="57" t="s">
        <v>360</v>
      </c>
      <c r="N59" s="57" t="s">
        <v>79</v>
      </c>
      <c r="O59" s="57" t="s">
        <v>361</v>
      </c>
      <c r="P59" s="57" t="s">
        <v>362</v>
      </c>
      <c r="Q59" s="57" t="s">
        <v>363</v>
      </c>
      <c r="R59" s="95" t="s">
        <v>2645</v>
      </c>
      <c r="S59" s="61" t="str">
        <f t="shared" ca="1" si="2"/>
        <v>EXECUTADA</v>
      </c>
    </row>
    <row r="60" spans="1:19" s="83" customFormat="1" ht="18" x14ac:dyDescent="0.25">
      <c r="A60" s="85" t="s">
        <v>2646</v>
      </c>
      <c r="B60" s="74" t="s">
        <v>27</v>
      </c>
      <c r="C60" s="75"/>
      <c r="D60" s="78" t="s">
        <v>364</v>
      </c>
      <c r="E60" s="74">
        <v>34998808687</v>
      </c>
      <c r="F60" s="92">
        <v>46120</v>
      </c>
      <c r="G60" s="93" t="str">
        <f t="shared" si="0"/>
        <v>Qua</v>
      </c>
      <c r="H60" s="77">
        <v>0.625</v>
      </c>
      <c r="I60" s="74" t="s">
        <v>35</v>
      </c>
      <c r="J60" s="74" t="s">
        <v>365</v>
      </c>
      <c r="K60" s="74" t="s">
        <v>71</v>
      </c>
      <c r="L60" s="78" t="str">
        <f t="shared" si="1"/>
        <v>NÃO</v>
      </c>
      <c r="M60" s="74" t="s">
        <v>72</v>
      </c>
      <c r="N60" s="74" t="s">
        <v>89</v>
      </c>
      <c r="O60" s="74" t="s">
        <v>72</v>
      </c>
      <c r="P60" s="74" t="s">
        <v>72</v>
      </c>
      <c r="Q60" s="74" t="s">
        <v>366</v>
      </c>
      <c r="R60" s="96" t="s">
        <v>2647</v>
      </c>
      <c r="S60" s="79" t="str">
        <f t="shared" ca="1" si="2"/>
        <v>EXECUTADA</v>
      </c>
    </row>
    <row r="61" spans="1:19" s="55" customFormat="1" ht="18" x14ac:dyDescent="0.25">
      <c r="A61" s="56" t="s">
        <v>367</v>
      </c>
      <c r="B61" s="57" t="s">
        <v>27</v>
      </c>
      <c r="C61" s="58"/>
      <c r="D61" s="53" t="s">
        <v>85</v>
      </c>
      <c r="E61" s="57">
        <v>34997634832</v>
      </c>
      <c r="F61" s="59">
        <v>46120</v>
      </c>
      <c r="G61" s="51" t="str">
        <f t="shared" si="0"/>
        <v>Qua</v>
      </c>
      <c r="H61" s="60">
        <v>0.70833333333333337</v>
      </c>
      <c r="I61" s="57" t="s">
        <v>42</v>
      </c>
      <c r="J61" s="57" t="s">
        <v>368</v>
      </c>
      <c r="K61" s="57" t="s">
        <v>71</v>
      </c>
      <c r="L61" s="53" t="str">
        <f t="shared" si="1"/>
        <v>NÃO</v>
      </c>
      <c r="M61" s="57" t="s">
        <v>72</v>
      </c>
      <c r="N61" s="57" t="s">
        <v>79</v>
      </c>
      <c r="O61" s="57" t="s">
        <v>369</v>
      </c>
      <c r="P61" s="57" t="s">
        <v>370</v>
      </c>
      <c r="Q61" s="57" t="s">
        <v>371</v>
      </c>
      <c r="R61" s="57" t="s">
        <v>372</v>
      </c>
      <c r="S61" s="61" t="str">
        <f t="shared" ca="1" si="2"/>
        <v>EXECUTADA</v>
      </c>
    </row>
    <row r="62" spans="1:19" s="55" customFormat="1" ht="18" x14ac:dyDescent="0.25">
      <c r="A62" s="56" t="s">
        <v>373</v>
      </c>
      <c r="B62" s="57" t="s">
        <v>27</v>
      </c>
      <c r="C62" s="58"/>
      <c r="D62" s="53" t="s">
        <v>374</v>
      </c>
      <c r="E62" s="57">
        <v>34991735658</v>
      </c>
      <c r="F62" s="59">
        <v>46120</v>
      </c>
      <c r="G62" s="51" t="str">
        <f t="shared" si="0"/>
        <v>Qua</v>
      </c>
      <c r="H62" s="60">
        <v>0.70833333333333337</v>
      </c>
      <c r="I62" s="57" t="s">
        <v>42</v>
      </c>
      <c r="J62" s="57" t="s">
        <v>375</v>
      </c>
      <c r="K62" s="57" t="s">
        <v>71</v>
      </c>
      <c r="L62" s="53" t="str">
        <f t="shared" si="1"/>
        <v>NÃO</v>
      </c>
      <c r="M62" s="57" t="s">
        <v>72</v>
      </c>
      <c r="N62" s="57" t="s">
        <v>79</v>
      </c>
      <c r="O62" s="57" t="s">
        <v>376</v>
      </c>
      <c r="P62" s="57">
        <v>34991735658</v>
      </c>
      <c r="Q62" s="57" t="s">
        <v>377</v>
      </c>
      <c r="R62" s="57" t="s">
        <v>378</v>
      </c>
      <c r="S62" s="61" t="str">
        <f t="shared" ca="1" si="2"/>
        <v>EXECUTADA</v>
      </c>
    </row>
    <row r="63" spans="1:19" s="55" customFormat="1" ht="18" x14ac:dyDescent="0.25">
      <c r="A63" s="56" t="s">
        <v>379</v>
      </c>
      <c r="B63" s="57" t="s">
        <v>30</v>
      </c>
      <c r="C63" s="58"/>
      <c r="D63" s="53" t="s">
        <v>182</v>
      </c>
      <c r="E63" s="57">
        <v>34991502141</v>
      </c>
      <c r="F63" s="59">
        <v>46121</v>
      </c>
      <c r="G63" s="51" t="str">
        <f t="shared" si="0"/>
        <v>Qui</v>
      </c>
      <c r="H63" s="60">
        <v>0.33333333333333331</v>
      </c>
      <c r="I63" s="57" t="s">
        <v>46</v>
      </c>
      <c r="J63" s="57" t="s">
        <v>380</v>
      </c>
      <c r="K63" s="57" t="s">
        <v>162</v>
      </c>
      <c r="L63" s="53" t="str">
        <f t="shared" si="1"/>
        <v>SIM</v>
      </c>
      <c r="M63" s="57" t="s">
        <v>302</v>
      </c>
      <c r="N63" s="57" t="s">
        <v>89</v>
      </c>
      <c r="O63" s="57" t="s">
        <v>72</v>
      </c>
      <c r="P63" s="57" t="s">
        <v>72</v>
      </c>
      <c r="Q63" s="57" t="s">
        <v>381</v>
      </c>
      <c r="R63" s="57" t="s">
        <v>382</v>
      </c>
      <c r="S63" s="61" t="str">
        <f t="shared" ca="1" si="2"/>
        <v>EXECUTADA</v>
      </c>
    </row>
    <row r="64" spans="1:19" s="81" customFormat="1" ht="18" x14ac:dyDescent="0.25">
      <c r="A64" s="97" t="s">
        <v>383</v>
      </c>
      <c r="B64" s="38" t="s">
        <v>27</v>
      </c>
      <c r="C64" s="39"/>
      <c r="D64" s="40" t="s">
        <v>384</v>
      </c>
      <c r="E64" s="38">
        <v>34992322706</v>
      </c>
      <c r="F64" s="41">
        <v>46121</v>
      </c>
      <c r="G64" s="42" t="str">
        <f t="shared" si="0"/>
        <v>Qui</v>
      </c>
      <c r="H64" s="43">
        <v>0.33333333333333331</v>
      </c>
      <c r="I64" s="38" t="s">
        <v>42</v>
      </c>
      <c r="J64" s="38" t="s">
        <v>70</v>
      </c>
      <c r="K64" s="38" t="s">
        <v>71</v>
      </c>
      <c r="L64" s="40" t="str">
        <f t="shared" si="1"/>
        <v>NÃO</v>
      </c>
      <c r="M64" s="38" t="s">
        <v>72</v>
      </c>
      <c r="N64" s="38" t="s">
        <v>89</v>
      </c>
      <c r="O64" s="38" t="s">
        <v>72</v>
      </c>
      <c r="P64" s="38" t="s">
        <v>72</v>
      </c>
      <c r="Q64" s="38" t="s">
        <v>385</v>
      </c>
      <c r="R64" s="38" t="s">
        <v>386</v>
      </c>
      <c r="S64" s="44" t="str">
        <f t="shared" ca="1" si="2"/>
        <v>EXECUTADA</v>
      </c>
    </row>
    <row r="65" spans="1:19" s="55" customFormat="1" ht="18" x14ac:dyDescent="0.25">
      <c r="A65" s="64" t="s">
        <v>2648</v>
      </c>
      <c r="B65" s="57" t="s">
        <v>27</v>
      </c>
      <c r="C65" s="58"/>
      <c r="D65" s="53" t="s">
        <v>121</v>
      </c>
      <c r="E65" s="57">
        <v>34997186698</v>
      </c>
      <c r="F65" s="59">
        <v>46121</v>
      </c>
      <c r="G65" s="51" t="str">
        <f t="shared" si="0"/>
        <v>Qui</v>
      </c>
      <c r="H65" s="60">
        <v>0.33333333333333331</v>
      </c>
      <c r="I65" s="57" t="s">
        <v>35</v>
      </c>
      <c r="J65" s="57" t="s">
        <v>387</v>
      </c>
      <c r="K65" s="57" t="s">
        <v>71</v>
      </c>
      <c r="L65" s="53" t="str">
        <f t="shared" si="1"/>
        <v>NÃO</v>
      </c>
      <c r="M65" s="57" t="s">
        <v>72</v>
      </c>
      <c r="N65" s="57" t="s">
        <v>89</v>
      </c>
      <c r="O65" s="57" t="s">
        <v>72</v>
      </c>
      <c r="P65" s="57" t="s">
        <v>72</v>
      </c>
      <c r="Q65" s="57" t="s">
        <v>388</v>
      </c>
      <c r="R65" s="57" t="s">
        <v>389</v>
      </c>
      <c r="S65" s="61" t="str">
        <f t="shared" ca="1" si="2"/>
        <v>EXECUTADA</v>
      </c>
    </row>
    <row r="66" spans="1:19" s="81" customFormat="1" ht="18" x14ac:dyDescent="0.25">
      <c r="A66" s="86" t="s">
        <v>390</v>
      </c>
      <c r="B66" s="38" t="s">
        <v>27</v>
      </c>
      <c r="C66" s="39"/>
      <c r="D66" s="40" t="s">
        <v>391</v>
      </c>
      <c r="E66" s="38">
        <v>34998331025</v>
      </c>
      <c r="F66" s="41">
        <v>46121</v>
      </c>
      <c r="G66" s="42" t="str">
        <f t="shared" ref="G66:G129" si="3">PROPER(TEXT(F66,"DDD"))</f>
        <v>Qui</v>
      </c>
      <c r="H66" s="43">
        <v>0.41666666666666669</v>
      </c>
      <c r="I66" s="38" t="s">
        <v>35</v>
      </c>
      <c r="J66" s="38" t="s">
        <v>392</v>
      </c>
      <c r="K66" s="38"/>
      <c r="L66" s="40" t="str">
        <f t="shared" ref="L66:L129" si="4">IF(B66="MUD END","NÃO","SIM")</f>
        <v>NÃO</v>
      </c>
      <c r="M66" s="38"/>
      <c r="N66" s="38"/>
      <c r="O66" s="38"/>
      <c r="P66" s="38"/>
      <c r="Q66" s="38" t="s">
        <v>393</v>
      </c>
      <c r="R66" s="38" t="s">
        <v>394</v>
      </c>
      <c r="S66" s="44" t="str">
        <f t="shared" ref="S66:S129" ca="1" si="5">IF(F66&lt;TODAY(),"EXECUTADA",IF(F66=TODAY(),"EM EXECUÇÃO",IF(F66=TODAY()+1,"VALIDAR HOJE",IF(F66&gt;TODAY()+1,"VALIDAR DEPOIS","-"))))</f>
        <v>EXECUTADA</v>
      </c>
    </row>
    <row r="67" spans="1:19" s="55" customFormat="1" ht="18" x14ac:dyDescent="0.25">
      <c r="A67" s="98" t="s">
        <v>2649</v>
      </c>
      <c r="B67" s="57" t="s">
        <v>27</v>
      </c>
      <c r="C67" s="58"/>
      <c r="D67" s="53" t="s">
        <v>395</v>
      </c>
      <c r="E67" s="57">
        <v>34998610701</v>
      </c>
      <c r="F67" s="59">
        <v>46121</v>
      </c>
      <c r="G67" s="51" t="str">
        <f t="shared" si="3"/>
        <v>Qui</v>
      </c>
      <c r="H67" s="60">
        <v>0.41666666666666669</v>
      </c>
      <c r="I67" s="57" t="s">
        <v>42</v>
      </c>
      <c r="J67" s="57" t="s">
        <v>396</v>
      </c>
      <c r="K67" s="57" t="s">
        <v>107</v>
      </c>
      <c r="L67" s="53" t="str">
        <f t="shared" si="4"/>
        <v>NÃO</v>
      </c>
      <c r="M67" s="57" t="s">
        <v>72</v>
      </c>
      <c r="N67" s="57" t="s">
        <v>89</v>
      </c>
      <c r="O67" s="57" t="s">
        <v>72</v>
      </c>
      <c r="P67" s="57" t="s">
        <v>72</v>
      </c>
      <c r="Q67" s="57" t="s">
        <v>397</v>
      </c>
      <c r="R67" s="57" t="s">
        <v>398</v>
      </c>
      <c r="S67" s="61" t="str">
        <f t="shared" ca="1" si="5"/>
        <v>EXECUTADA</v>
      </c>
    </row>
    <row r="68" spans="1:19" s="55" customFormat="1" ht="18" x14ac:dyDescent="0.25">
      <c r="A68" s="94" t="s">
        <v>399</v>
      </c>
      <c r="B68" s="57" t="s">
        <v>30</v>
      </c>
      <c r="C68" s="58"/>
      <c r="D68" s="53" t="s">
        <v>121</v>
      </c>
      <c r="E68" s="57">
        <v>34991214517</v>
      </c>
      <c r="F68" s="59">
        <v>46121</v>
      </c>
      <c r="G68" s="51" t="str">
        <f t="shared" si="3"/>
        <v>Qui</v>
      </c>
      <c r="H68" s="60">
        <v>0.54166666666666663</v>
      </c>
      <c r="I68" s="57" t="s">
        <v>46</v>
      </c>
      <c r="J68" s="57" t="s">
        <v>400</v>
      </c>
      <c r="K68" s="57" t="s">
        <v>107</v>
      </c>
      <c r="L68" s="53" t="str">
        <f t="shared" si="4"/>
        <v>SIM</v>
      </c>
      <c r="M68" s="57" t="s">
        <v>401</v>
      </c>
      <c r="N68" s="57" t="s">
        <v>89</v>
      </c>
      <c r="O68" s="57" t="s">
        <v>72</v>
      </c>
      <c r="P68" s="57" t="s">
        <v>72</v>
      </c>
      <c r="Q68" s="57" t="s">
        <v>402</v>
      </c>
      <c r="R68" s="57" t="s">
        <v>403</v>
      </c>
      <c r="S68" s="61" t="str">
        <f t="shared" ca="1" si="5"/>
        <v>EXECUTADA</v>
      </c>
    </row>
    <row r="69" spans="1:19" s="81" customFormat="1" ht="18" x14ac:dyDescent="0.25">
      <c r="A69" s="99" t="s">
        <v>404</v>
      </c>
      <c r="B69" s="38" t="s">
        <v>27</v>
      </c>
      <c r="C69" s="39"/>
      <c r="D69" s="40" t="s">
        <v>405</v>
      </c>
      <c r="E69" s="38">
        <v>34991769543</v>
      </c>
      <c r="F69" s="41">
        <v>46121</v>
      </c>
      <c r="G69" s="42" t="str">
        <f t="shared" si="3"/>
        <v>Qui</v>
      </c>
      <c r="H69" s="43">
        <v>0.54166666666666663</v>
      </c>
      <c r="I69" s="38" t="s">
        <v>35</v>
      </c>
      <c r="J69" s="38" t="s">
        <v>406</v>
      </c>
      <c r="K69" s="38" t="s">
        <v>146</v>
      </c>
      <c r="L69" s="40" t="str">
        <f t="shared" si="4"/>
        <v>NÃO</v>
      </c>
      <c r="M69" s="38" t="s">
        <v>72</v>
      </c>
      <c r="N69" s="38" t="s">
        <v>89</v>
      </c>
      <c r="O69" s="38" t="s">
        <v>72</v>
      </c>
      <c r="P69" s="38" t="s">
        <v>72</v>
      </c>
      <c r="Q69" s="38" t="s">
        <v>407</v>
      </c>
      <c r="R69" s="38" t="s">
        <v>408</v>
      </c>
      <c r="S69" s="44" t="str">
        <f t="shared" ca="1" si="5"/>
        <v>EXECUTADA</v>
      </c>
    </row>
    <row r="70" spans="1:19" s="55" customFormat="1" ht="18" x14ac:dyDescent="0.25">
      <c r="A70" s="100" t="s">
        <v>409</v>
      </c>
      <c r="B70" s="57" t="s">
        <v>27</v>
      </c>
      <c r="C70" s="58"/>
      <c r="D70" s="53" t="s">
        <v>121</v>
      </c>
      <c r="E70" s="57">
        <v>34991893862</v>
      </c>
      <c r="F70" s="59">
        <v>46121</v>
      </c>
      <c r="G70" s="51" t="str">
        <f t="shared" si="3"/>
        <v>Qui</v>
      </c>
      <c r="H70" s="60">
        <v>0.625</v>
      </c>
      <c r="I70" s="57" t="s">
        <v>42</v>
      </c>
      <c r="J70" s="57" t="s">
        <v>410</v>
      </c>
      <c r="K70" s="57" t="s">
        <v>132</v>
      </c>
      <c r="L70" s="53" t="str">
        <f t="shared" si="4"/>
        <v>NÃO</v>
      </c>
      <c r="M70" s="57" t="s">
        <v>72</v>
      </c>
      <c r="N70" s="57" t="s">
        <v>89</v>
      </c>
      <c r="O70" s="57" t="s">
        <v>72</v>
      </c>
      <c r="P70" s="57" t="s">
        <v>72</v>
      </c>
      <c r="Q70" s="57" t="s">
        <v>411</v>
      </c>
      <c r="R70" s="57" t="s">
        <v>412</v>
      </c>
      <c r="S70" s="61" t="str">
        <f t="shared" ca="1" si="5"/>
        <v>EXECUTADA</v>
      </c>
    </row>
    <row r="71" spans="1:19" s="55" customFormat="1" ht="18" x14ac:dyDescent="0.25">
      <c r="A71" s="56" t="s">
        <v>413</v>
      </c>
      <c r="B71" s="57" t="s">
        <v>30</v>
      </c>
      <c r="C71" s="58"/>
      <c r="D71" s="53" t="s">
        <v>121</v>
      </c>
      <c r="E71" s="57">
        <v>34991964879</v>
      </c>
      <c r="F71" s="59">
        <v>46121</v>
      </c>
      <c r="G71" s="51" t="str">
        <f t="shared" si="3"/>
        <v>Qui</v>
      </c>
      <c r="H71" s="60">
        <v>0.625</v>
      </c>
      <c r="I71" s="57" t="s">
        <v>46</v>
      </c>
      <c r="J71" s="57" t="s">
        <v>414</v>
      </c>
      <c r="K71" s="57" t="s">
        <v>77</v>
      </c>
      <c r="L71" s="53" t="str">
        <f t="shared" si="4"/>
        <v>SIM</v>
      </c>
      <c r="M71" s="57" t="s">
        <v>415</v>
      </c>
      <c r="N71" s="57" t="s">
        <v>89</v>
      </c>
      <c r="O71" s="57" t="s">
        <v>72</v>
      </c>
      <c r="P71" s="57" t="s">
        <v>72</v>
      </c>
      <c r="Q71" s="57" t="s">
        <v>416</v>
      </c>
      <c r="R71" s="57" t="s">
        <v>417</v>
      </c>
      <c r="S71" s="61" t="str">
        <f t="shared" ca="1" si="5"/>
        <v>EXECUTADA</v>
      </c>
    </row>
    <row r="72" spans="1:19" s="55" customFormat="1" ht="18" x14ac:dyDescent="0.25">
      <c r="A72" s="100" t="s">
        <v>260</v>
      </c>
      <c r="B72" s="57" t="s">
        <v>27</v>
      </c>
      <c r="C72" s="58"/>
      <c r="D72" s="53" t="s">
        <v>418</v>
      </c>
      <c r="E72" s="57">
        <v>34996941853</v>
      </c>
      <c r="F72" s="59">
        <v>46121</v>
      </c>
      <c r="G72" s="51" t="str">
        <f t="shared" si="3"/>
        <v>Qui</v>
      </c>
      <c r="H72" s="60">
        <v>0.70833333333333337</v>
      </c>
      <c r="I72" s="57" t="s">
        <v>38</v>
      </c>
      <c r="J72" s="57" t="s">
        <v>262</v>
      </c>
      <c r="K72" s="57" t="s">
        <v>87</v>
      </c>
      <c r="L72" s="53" t="str">
        <f t="shared" si="4"/>
        <v>NÃO</v>
      </c>
      <c r="M72" s="57" t="s">
        <v>72</v>
      </c>
      <c r="N72" s="57" t="s">
        <v>89</v>
      </c>
      <c r="O72" s="57" t="s">
        <v>72</v>
      </c>
      <c r="P72" s="57" t="s">
        <v>72</v>
      </c>
      <c r="Q72" s="57" t="s">
        <v>263</v>
      </c>
      <c r="R72" s="57" t="s">
        <v>264</v>
      </c>
      <c r="S72" s="61" t="str">
        <f t="shared" ca="1" si="5"/>
        <v>EXECUTADA</v>
      </c>
    </row>
    <row r="73" spans="1:19" s="55" customFormat="1" ht="18" x14ac:dyDescent="0.25">
      <c r="A73" s="56" t="s">
        <v>419</v>
      </c>
      <c r="B73" s="57" t="s">
        <v>30</v>
      </c>
      <c r="C73" s="58"/>
      <c r="D73" s="53" t="s">
        <v>182</v>
      </c>
      <c r="E73" s="57">
        <v>34998726994</v>
      </c>
      <c r="F73" s="59">
        <v>46121</v>
      </c>
      <c r="G73" s="51" t="str">
        <f t="shared" si="3"/>
        <v>Qui</v>
      </c>
      <c r="H73" s="60">
        <v>0.70833333333333337</v>
      </c>
      <c r="I73" s="57" t="s">
        <v>46</v>
      </c>
      <c r="J73" s="57" t="s">
        <v>420</v>
      </c>
      <c r="K73" s="57" t="s">
        <v>71</v>
      </c>
      <c r="L73" s="53" t="str">
        <f t="shared" si="4"/>
        <v>SIM</v>
      </c>
      <c r="M73" s="57" t="s">
        <v>421</v>
      </c>
      <c r="N73" s="57" t="s">
        <v>89</v>
      </c>
      <c r="O73" s="57" t="s">
        <v>72</v>
      </c>
      <c r="P73" s="57" t="s">
        <v>72</v>
      </c>
      <c r="Q73" s="57" t="s">
        <v>422</v>
      </c>
      <c r="R73" s="57" t="s">
        <v>423</v>
      </c>
      <c r="S73" s="61" t="str">
        <f t="shared" ca="1" si="5"/>
        <v>EXECUTADA</v>
      </c>
    </row>
    <row r="74" spans="1:19" s="55" customFormat="1" ht="18" x14ac:dyDescent="0.25">
      <c r="A74" s="56" t="s">
        <v>404</v>
      </c>
      <c r="B74" s="57" t="s">
        <v>27</v>
      </c>
      <c r="C74" s="58"/>
      <c r="D74" s="53" t="s">
        <v>85</v>
      </c>
      <c r="E74" s="57">
        <v>34991769543</v>
      </c>
      <c r="F74" s="59">
        <v>46121</v>
      </c>
      <c r="G74" s="51" t="str">
        <f t="shared" si="3"/>
        <v>Qui</v>
      </c>
      <c r="H74" s="60">
        <v>0.54166666666666663</v>
      </c>
      <c r="I74" s="57" t="s">
        <v>35</v>
      </c>
      <c r="J74" s="57" t="s">
        <v>406</v>
      </c>
      <c r="K74" s="57" t="s">
        <v>146</v>
      </c>
      <c r="L74" s="53" t="str">
        <f t="shared" si="4"/>
        <v>NÃO</v>
      </c>
      <c r="M74" s="57" t="s">
        <v>72</v>
      </c>
      <c r="N74" s="57" t="s">
        <v>89</v>
      </c>
      <c r="O74" s="57" t="s">
        <v>72</v>
      </c>
      <c r="P74" s="57" t="s">
        <v>72</v>
      </c>
      <c r="Q74" s="57" t="s">
        <v>407</v>
      </c>
      <c r="R74" s="57" t="s">
        <v>408</v>
      </c>
      <c r="S74" s="61" t="str">
        <f t="shared" ca="1" si="5"/>
        <v>EXECUTADA</v>
      </c>
    </row>
    <row r="75" spans="1:19" s="81" customFormat="1" ht="15" customHeight="1" x14ac:dyDescent="0.25">
      <c r="A75" s="56" t="s">
        <v>424</v>
      </c>
      <c r="B75" s="57" t="s">
        <v>30</v>
      </c>
      <c r="C75" s="58"/>
      <c r="D75" s="53" t="s">
        <v>182</v>
      </c>
      <c r="E75" s="57">
        <v>34998363246</v>
      </c>
      <c r="F75" s="59">
        <v>46122</v>
      </c>
      <c r="G75" s="51" t="str">
        <f t="shared" si="3"/>
        <v>Sex</v>
      </c>
      <c r="H75" s="60">
        <v>0.33333333333333331</v>
      </c>
      <c r="I75" s="57" t="s">
        <v>46</v>
      </c>
      <c r="J75" s="57" t="s">
        <v>425</v>
      </c>
      <c r="K75" s="57" t="s">
        <v>100</v>
      </c>
      <c r="L75" s="53" t="str">
        <f t="shared" si="4"/>
        <v>SIM</v>
      </c>
      <c r="M75" s="57" t="s">
        <v>197</v>
      </c>
      <c r="N75" s="57" t="s">
        <v>89</v>
      </c>
      <c r="O75" s="57" t="s">
        <v>72</v>
      </c>
      <c r="P75" s="57" t="s">
        <v>72</v>
      </c>
      <c r="Q75" s="57" t="s">
        <v>426</v>
      </c>
      <c r="R75" s="57" t="s">
        <v>427</v>
      </c>
      <c r="S75" s="61" t="str">
        <f t="shared" ca="1" si="5"/>
        <v>EXECUTADA</v>
      </c>
    </row>
    <row r="76" spans="1:19" s="83" customFormat="1" ht="75" customHeight="1" x14ac:dyDescent="0.25">
      <c r="A76" s="101" t="s">
        <v>2650</v>
      </c>
      <c r="B76" s="38" t="s">
        <v>27</v>
      </c>
      <c r="C76" s="39"/>
      <c r="D76" s="40" t="s">
        <v>428</v>
      </c>
      <c r="E76" s="38"/>
      <c r="F76" s="41">
        <v>46122</v>
      </c>
      <c r="G76" s="42" t="str">
        <f t="shared" si="3"/>
        <v>Sex</v>
      </c>
      <c r="H76" s="43">
        <v>0.33333333333333331</v>
      </c>
      <c r="I76" s="38" t="s">
        <v>35</v>
      </c>
      <c r="J76" s="38"/>
      <c r="K76" s="38"/>
      <c r="L76" s="40" t="str">
        <f t="shared" si="4"/>
        <v>NÃO</v>
      </c>
      <c r="M76" s="38"/>
      <c r="N76" s="38"/>
      <c r="O76" s="38"/>
      <c r="P76" s="38"/>
      <c r="Q76" s="38"/>
      <c r="R76" s="38"/>
      <c r="S76" s="44" t="str">
        <f t="shared" ca="1" si="5"/>
        <v>EXECUTADA</v>
      </c>
    </row>
    <row r="77" spans="1:19" s="55" customFormat="1" ht="90" x14ac:dyDescent="0.25">
      <c r="A77" s="102" t="s">
        <v>2651</v>
      </c>
      <c r="B77" s="74" t="s">
        <v>27</v>
      </c>
      <c r="C77" s="75"/>
      <c r="D77" s="103" t="s">
        <v>429</v>
      </c>
      <c r="E77" s="74">
        <v>34999772948</v>
      </c>
      <c r="F77" s="92">
        <v>46122</v>
      </c>
      <c r="G77" s="93" t="str">
        <f t="shared" si="3"/>
        <v>Sex</v>
      </c>
      <c r="H77" s="77">
        <v>0.41666666666666669</v>
      </c>
      <c r="I77" s="74" t="s">
        <v>42</v>
      </c>
      <c r="J77" s="104" t="s">
        <v>430</v>
      </c>
      <c r="K77" s="104" t="s">
        <v>87</v>
      </c>
      <c r="L77" s="78" t="str">
        <f t="shared" si="4"/>
        <v>NÃO</v>
      </c>
      <c r="M77" s="104" t="s">
        <v>72</v>
      </c>
      <c r="N77" s="74" t="s">
        <v>89</v>
      </c>
      <c r="O77" s="104" t="s">
        <v>72</v>
      </c>
      <c r="P77" s="74" t="s">
        <v>72</v>
      </c>
      <c r="Q77" s="104" t="s">
        <v>431</v>
      </c>
      <c r="R77" s="104"/>
      <c r="S77" s="79" t="str">
        <f t="shared" ca="1" si="5"/>
        <v>EXECUTADA</v>
      </c>
    </row>
    <row r="78" spans="1:19" s="55" customFormat="1" ht="15" customHeight="1" x14ac:dyDescent="0.25">
      <c r="A78" s="63" t="s">
        <v>432</v>
      </c>
      <c r="B78" s="57" t="s">
        <v>27</v>
      </c>
      <c r="C78" s="58"/>
      <c r="D78" s="53" t="s">
        <v>85</v>
      </c>
      <c r="E78" s="57">
        <v>34996715311</v>
      </c>
      <c r="F78" s="59">
        <v>46122</v>
      </c>
      <c r="G78" s="51" t="str">
        <f t="shared" si="3"/>
        <v>Sex</v>
      </c>
      <c r="H78" s="60">
        <v>0.41666666666666669</v>
      </c>
      <c r="I78" s="57" t="s">
        <v>42</v>
      </c>
      <c r="J78" s="57" t="s">
        <v>433</v>
      </c>
      <c r="K78" s="57" t="s">
        <v>71</v>
      </c>
      <c r="L78" s="53" t="str">
        <f t="shared" si="4"/>
        <v>NÃO</v>
      </c>
      <c r="M78" s="57" t="s">
        <v>72</v>
      </c>
      <c r="N78" s="57" t="s">
        <v>89</v>
      </c>
      <c r="O78" s="57" t="s">
        <v>72</v>
      </c>
      <c r="P78" s="57" t="s">
        <v>72</v>
      </c>
      <c r="Q78" s="57" t="s">
        <v>434</v>
      </c>
      <c r="R78" s="57" t="s">
        <v>435</v>
      </c>
      <c r="S78" s="61" t="str">
        <f t="shared" ca="1" si="5"/>
        <v>EXECUTADA</v>
      </c>
    </row>
    <row r="79" spans="1:19" s="55" customFormat="1" ht="15" customHeight="1" x14ac:dyDescent="0.25">
      <c r="A79" s="64" t="s">
        <v>2652</v>
      </c>
      <c r="B79" s="57" t="s">
        <v>30</v>
      </c>
      <c r="C79" s="58"/>
      <c r="D79" s="53" t="s">
        <v>182</v>
      </c>
      <c r="E79" s="57">
        <v>34991178783</v>
      </c>
      <c r="F79" s="59">
        <v>46122</v>
      </c>
      <c r="G79" s="51" t="str">
        <f t="shared" si="3"/>
        <v>Sex</v>
      </c>
      <c r="H79" s="60">
        <v>0.54166666666666663</v>
      </c>
      <c r="I79" s="57" t="s">
        <v>46</v>
      </c>
      <c r="J79" s="57" t="s">
        <v>436</v>
      </c>
      <c r="K79" s="57" t="s">
        <v>100</v>
      </c>
      <c r="L79" s="53" t="str">
        <f t="shared" si="4"/>
        <v>SIM</v>
      </c>
      <c r="M79" s="57" t="s">
        <v>437</v>
      </c>
      <c r="N79" s="57" t="s">
        <v>89</v>
      </c>
      <c r="O79" s="57" t="s">
        <v>72</v>
      </c>
      <c r="P79" s="57" t="s">
        <v>72</v>
      </c>
      <c r="Q79" s="57" t="s">
        <v>438</v>
      </c>
      <c r="R79" s="57" t="s">
        <v>439</v>
      </c>
      <c r="S79" s="61" t="str">
        <f t="shared" ca="1" si="5"/>
        <v>EXECUTADA</v>
      </c>
    </row>
    <row r="80" spans="1:19" s="81" customFormat="1" ht="18" x14ac:dyDescent="0.25">
      <c r="A80" s="62" t="s">
        <v>440</v>
      </c>
      <c r="B80" s="57" t="s">
        <v>27</v>
      </c>
      <c r="C80" s="58"/>
      <c r="D80" s="53" t="s">
        <v>85</v>
      </c>
      <c r="E80" s="57">
        <v>34992048787</v>
      </c>
      <c r="F80" s="59">
        <v>46122</v>
      </c>
      <c r="G80" s="51" t="str">
        <f t="shared" si="3"/>
        <v>Sex</v>
      </c>
      <c r="H80" s="60">
        <v>0.54166666666666663</v>
      </c>
      <c r="I80" s="57" t="s">
        <v>35</v>
      </c>
      <c r="J80" s="57" t="s">
        <v>441</v>
      </c>
      <c r="K80" s="57" t="s">
        <v>146</v>
      </c>
      <c r="L80" s="53" t="str">
        <f t="shared" si="4"/>
        <v>NÃO</v>
      </c>
      <c r="M80" s="57" t="s">
        <v>72</v>
      </c>
      <c r="N80" s="57" t="s">
        <v>89</v>
      </c>
      <c r="O80" s="57" t="s">
        <v>72</v>
      </c>
      <c r="P80" s="57" t="s">
        <v>72</v>
      </c>
      <c r="Q80" s="57" t="s">
        <v>442</v>
      </c>
      <c r="R80" s="57" t="s">
        <v>443</v>
      </c>
      <c r="S80" s="61" t="str">
        <f t="shared" ca="1" si="5"/>
        <v>EXECUTADA</v>
      </c>
    </row>
    <row r="81" spans="1:19" s="55" customFormat="1" ht="18" x14ac:dyDescent="0.25">
      <c r="A81" s="99" t="s">
        <v>444</v>
      </c>
      <c r="B81" s="38" t="s">
        <v>27</v>
      </c>
      <c r="C81" s="39"/>
      <c r="D81" s="40" t="s">
        <v>445</v>
      </c>
      <c r="E81" s="38">
        <v>34999684184</v>
      </c>
      <c r="F81" s="41">
        <v>46122</v>
      </c>
      <c r="G81" s="42" t="str">
        <f t="shared" si="3"/>
        <v>Sex</v>
      </c>
      <c r="H81" s="43">
        <v>0.625</v>
      </c>
      <c r="I81" s="38"/>
      <c r="J81" s="38"/>
      <c r="K81" s="38"/>
      <c r="L81" s="40" t="str">
        <f t="shared" si="4"/>
        <v>NÃO</v>
      </c>
      <c r="M81" s="38"/>
      <c r="N81" s="38"/>
      <c r="O81" s="38"/>
      <c r="P81" s="38"/>
      <c r="Q81" s="38"/>
      <c r="R81" s="38"/>
      <c r="S81" s="44" t="str">
        <f t="shared" ca="1" si="5"/>
        <v>EXECUTADA</v>
      </c>
    </row>
    <row r="82" spans="1:19" s="55" customFormat="1" ht="18" x14ac:dyDescent="0.25">
      <c r="A82" s="56" t="s">
        <v>446</v>
      </c>
      <c r="B82" s="57" t="s">
        <v>27</v>
      </c>
      <c r="C82" s="58"/>
      <c r="D82" s="53" t="s">
        <v>85</v>
      </c>
      <c r="E82" s="57">
        <v>34999314268</v>
      </c>
      <c r="F82" s="59">
        <v>46122</v>
      </c>
      <c r="G82" s="51" t="str">
        <f t="shared" si="3"/>
        <v>Sex</v>
      </c>
      <c r="H82" s="60">
        <v>0.70833333333333337</v>
      </c>
      <c r="I82" s="57" t="s">
        <v>42</v>
      </c>
      <c r="J82" s="57" t="s">
        <v>447</v>
      </c>
      <c r="K82" s="57" t="s">
        <v>71</v>
      </c>
      <c r="L82" s="53" t="str">
        <f t="shared" si="4"/>
        <v>NÃO</v>
      </c>
      <c r="M82" s="57" t="s">
        <v>72</v>
      </c>
      <c r="N82" s="57" t="s">
        <v>89</v>
      </c>
      <c r="O82" s="57" t="s">
        <v>72</v>
      </c>
      <c r="P82" s="57" t="s">
        <v>72</v>
      </c>
      <c r="Q82" s="57" t="s">
        <v>448</v>
      </c>
      <c r="R82" s="57" t="s">
        <v>449</v>
      </c>
      <c r="S82" s="61" t="str">
        <f t="shared" ca="1" si="5"/>
        <v>EXECUTADA</v>
      </c>
    </row>
    <row r="83" spans="1:19" s="55" customFormat="1" ht="54" x14ac:dyDescent="0.25">
      <c r="A83" s="56" t="s">
        <v>450</v>
      </c>
      <c r="B83" s="57" t="s">
        <v>30</v>
      </c>
      <c r="C83" s="58"/>
      <c r="D83" s="105" t="s">
        <v>85</v>
      </c>
      <c r="E83" s="57">
        <v>34997337294</v>
      </c>
      <c r="F83" s="59">
        <v>46122</v>
      </c>
      <c r="G83" s="51" t="str">
        <f t="shared" si="3"/>
        <v>Sex</v>
      </c>
      <c r="H83" s="60">
        <v>0.70833333333333337</v>
      </c>
      <c r="I83" s="57" t="s">
        <v>46</v>
      </c>
      <c r="J83" s="57" t="s">
        <v>451</v>
      </c>
      <c r="K83" s="57" t="s">
        <v>146</v>
      </c>
      <c r="L83" s="53" t="str">
        <f t="shared" si="4"/>
        <v>SIM</v>
      </c>
      <c r="M83" s="57" t="s">
        <v>452</v>
      </c>
      <c r="N83" s="57" t="s">
        <v>89</v>
      </c>
      <c r="O83" s="57" t="s">
        <v>72</v>
      </c>
      <c r="P83" s="57" t="s">
        <v>72</v>
      </c>
      <c r="Q83" s="57"/>
      <c r="R83" s="57" t="s">
        <v>453</v>
      </c>
      <c r="S83" s="61" t="str">
        <f t="shared" ca="1" si="5"/>
        <v>EXECUTADA</v>
      </c>
    </row>
    <row r="84" spans="1:19" s="55" customFormat="1" ht="18" x14ac:dyDescent="0.25">
      <c r="A84" s="72" t="s">
        <v>513</v>
      </c>
      <c r="B84" s="57" t="s">
        <v>27</v>
      </c>
      <c r="C84" s="58"/>
      <c r="D84" s="53" t="s">
        <v>514</v>
      </c>
      <c r="E84" s="57">
        <v>34996887707</v>
      </c>
      <c r="F84" s="59">
        <v>46122</v>
      </c>
      <c r="G84" s="51" t="str">
        <f t="shared" si="3"/>
        <v>Sex</v>
      </c>
      <c r="H84" s="60">
        <v>0.58333333333333337</v>
      </c>
      <c r="I84" s="57" t="s">
        <v>42</v>
      </c>
      <c r="J84" s="57" t="s">
        <v>515</v>
      </c>
      <c r="K84" s="57" t="s">
        <v>71</v>
      </c>
      <c r="L84" s="53" t="str">
        <f t="shared" si="4"/>
        <v>NÃO</v>
      </c>
      <c r="M84" s="57" t="s">
        <v>72</v>
      </c>
      <c r="N84" s="57" t="s">
        <v>79</v>
      </c>
      <c r="O84" s="57" t="s">
        <v>516</v>
      </c>
      <c r="P84" s="57" t="s">
        <v>517</v>
      </c>
      <c r="Q84" s="57" t="s">
        <v>518</v>
      </c>
      <c r="R84" s="57" t="s">
        <v>519</v>
      </c>
      <c r="S84" s="61" t="str">
        <f t="shared" ca="1" si="5"/>
        <v>EXECUTADA</v>
      </c>
    </row>
    <row r="85" spans="1:19" s="55" customFormat="1" ht="18" x14ac:dyDescent="0.25">
      <c r="A85" s="56" t="s">
        <v>454</v>
      </c>
      <c r="B85" s="57" t="s">
        <v>30</v>
      </c>
      <c r="C85" s="58"/>
      <c r="D85" s="53" t="s">
        <v>85</v>
      </c>
      <c r="E85" s="57">
        <v>34996749996</v>
      </c>
      <c r="F85" s="59">
        <v>46123</v>
      </c>
      <c r="G85" s="51" t="str">
        <f t="shared" si="3"/>
        <v>Sáb</v>
      </c>
      <c r="H85" s="60">
        <v>0.33333333333333331</v>
      </c>
      <c r="I85" s="57" t="s">
        <v>46</v>
      </c>
      <c r="J85" s="57" t="s">
        <v>455</v>
      </c>
      <c r="K85" s="57" t="s">
        <v>146</v>
      </c>
      <c r="L85" s="53" t="str">
        <f t="shared" si="4"/>
        <v>SIM</v>
      </c>
      <c r="M85" s="57" t="s">
        <v>456</v>
      </c>
      <c r="N85" s="57" t="s">
        <v>89</v>
      </c>
      <c r="O85" s="57" t="s">
        <v>72</v>
      </c>
      <c r="P85" s="57" t="s">
        <v>72</v>
      </c>
      <c r="Q85" s="57" t="s">
        <v>457</v>
      </c>
      <c r="R85" s="106" t="s">
        <v>458</v>
      </c>
      <c r="S85" s="61" t="str">
        <f t="shared" ca="1" si="5"/>
        <v>EXECUTADA</v>
      </c>
    </row>
    <row r="86" spans="1:19" s="55" customFormat="1" ht="15" customHeight="1" x14ac:dyDescent="0.25">
      <c r="A86" s="56" t="s">
        <v>459</v>
      </c>
      <c r="B86" s="57" t="s">
        <v>27</v>
      </c>
      <c r="C86" s="107"/>
      <c r="D86" s="53" t="s">
        <v>85</v>
      </c>
      <c r="E86" s="57">
        <v>34991713655</v>
      </c>
      <c r="F86" s="59">
        <v>46123</v>
      </c>
      <c r="G86" s="51" t="str">
        <f t="shared" si="3"/>
        <v>Sáb</v>
      </c>
      <c r="H86" s="60">
        <v>0.33333333333333331</v>
      </c>
      <c r="I86" s="57" t="s">
        <v>42</v>
      </c>
      <c r="J86" s="57" t="s">
        <v>460</v>
      </c>
      <c r="K86" s="57" t="s">
        <v>87</v>
      </c>
      <c r="L86" s="53" t="str">
        <f t="shared" si="4"/>
        <v>NÃO</v>
      </c>
      <c r="M86" s="57" t="s">
        <v>72</v>
      </c>
      <c r="N86" s="57" t="s">
        <v>79</v>
      </c>
      <c r="O86" s="57" t="s">
        <v>461</v>
      </c>
      <c r="P86" s="57" t="s">
        <v>462</v>
      </c>
      <c r="Q86" s="57" t="s">
        <v>463</v>
      </c>
      <c r="R86" s="57" t="s">
        <v>464</v>
      </c>
      <c r="S86" s="61" t="str">
        <f t="shared" ca="1" si="5"/>
        <v>EXECUTADA</v>
      </c>
    </row>
    <row r="87" spans="1:19" s="55" customFormat="1" ht="15" customHeight="1" x14ac:dyDescent="0.25">
      <c r="A87" s="64" t="s">
        <v>2653</v>
      </c>
      <c r="B87" s="57" t="s">
        <v>27</v>
      </c>
      <c r="C87" s="58"/>
      <c r="D87" s="53" t="s">
        <v>85</v>
      </c>
      <c r="E87" s="57">
        <v>34999909998</v>
      </c>
      <c r="F87" s="59">
        <v>46123</v>
      </c>
      <c r="G87" s="51" t="str">
        <f t="shared" si="3"/>
        <v>Sáb</v>
      </c>
      <c r="H87" s="60">
        <v>0.33333333333333331</v>
      </c>
      <c r="I87" s="57" t="s">
        <v>35</v>
      </c>
      <c r="J87" s="57" t="s">
        <v>465</v>
      </c>
      <c r="K87" s="57" t="s">
        <v>87</v>
      </c>
      <c r="L87" s="53" t="str">
        <f t="shared" si="4"/>
        <v>NÃO</v>
      </c>
      <c r="M87" s="57" t="s">
        <v>72</v>
      </c>
      <c r="N87" s="57" t="s">
        <v>89</v>
      </c>
      <c r="O87" s="57" t="s">
        <v>72</v>
      </c>
      <c r="P87" s="57" t="s">
        <v>72</v>
      </c>
      <c r="Q87" s="57" t="s">
        <v>466</v>
      </c>
      <c r="R87" s="57" t="s">
        <v>467</v>
      </c>
      <c r="S87" s="61" t="str">
        <f t="shared" ca="1" si="5"/>
        <v>EXECUTADA</v>
      </c>
    </row>
    <row r="88" spans="1:19" s="55" customFormat="1" ht="18" x14ac:dyDescent="0.25">
      <c r="A88" s="56" t="s">
        <v>2654</v>
      </c>
      <c r="B88" s="57" t="s">
        <v>30</v>
      </c>
      <c r="C88" s="58"/>
      <c r="D88" s="53" t="s">
        <v>85</v>
      </c>
      <c r="E88" s="57">
        <v>34997075457</v>
      </c>
      <c r="F88" s="59">
        <v>46123</v>
      </c>
      <c r="G88" s="51" t="str">
        <f t="shared" si="3"/>
        <v>Sáb</v>
      </c>
      <c r="H88" s="60">
        <v>0.41666666666666669</v>
      </c>
      <c r="I88" s="57" t="s">
        <v>46</v>
      </c>
      <c r="J88" s="57" t="s">
        <v>468</v>
      </c>
      <c r="K88" s="57" t="s">
        <v>87</v>
      </c>
      <c r="L88" s="53" t="str">
        <f t="shared" si="4"/>
        <v>SIM</v>
      </c>
      <c r="M88" s="57" t="s">
        <v>469</v>
      </c>
      <c r="N88" s="57" t="s">
        <v>89</v>
      </c>
      <c r="O88" s="57" t="s">
        <v>72</v>
      </c>
      <c r="P88" s="57" t="s">
        <v>72</v>
      </c>
      <c r="Q88" s="57" t="s">
        <v>470</v>
      </c>
      <c r="R88" s="57" t="s">
        <v>471</v>
      </c>
      <c r="S88" s="61" t="str">
        <f t="shared" ca="1" si="5"/>
        <v>EXECUTADA</v>
      </c>
    </row>
    <row r="89" spans="1:19" s="55" customFormat="1" ht="18" x14ac:dyDescent="0.25">
      <c r="A89" s="56" t="s">
        <v>472</v>
      </c>
      <c r="B89" s="57" t="s">
        <v>30</v>
      </c>
      <c r="C89" s="58"/>
      <c r="D89" s="53" t="s">
        <v>85</v>
      </c>
      <c r="E89" s="57">
        <v>34988773864</v>
      </c>
      <c r="F89" s="59">
        <v>46123</v>
      </c>
      <c r="G89" s="51" t="str">
        <f t="shared" si="3"/>
        <v>Sáb</v>
      </c>
      <c r="H89" s="60">
        <v>0.41666666666666669</v>
      </c>
      <c r="I89" s="57" t="s">
        <v>46</v>
      </c>
      <c r="J89" s="57" t="s">
        <v>473</v>
      </c>
      <c r="K89" s="57" t="s">
        <v>100</v>
      </c>
      <c r="L89" s="53" t="str">
        <f t="shared" si="4"/>
        <v>SIM</v>
      </c>
      <c r="M89" s="57" t="s">
        <v>474</v>
      </c>
      <c r="N89" s="57" t="s">
        <v>89</v>
      </c>
      <c r="O89" s="57" t="s">
        <v>72</v>
      </c>
      <c r="P89" s="57" t="s">
        <v>72</v>
      </c>
      <c r="Q89" s="57" t="s">
        <v>475</v>
      </c>
      <c r="R89" s="57" t="s">
        <v>476</v>
      </c>
      <c r="S89" s="61" t="str">
        <f t="shared" ca="1" si="5"/>
        <v>EXECUTADA</v>
      </c>
    </row>
    <row r="90" spans="1:19" s="55" customFormat="1" ht="18" x14ac:dyDescent="0.25">
      <c r="A90" s="56" t="s">
        <v>477</v>
      </c>
      <c r="B90" s="57" t="s">
        <v>27</v>
      </c>
      <c r="C90" s="58"/>
      <c r="D90" s="53" t="s">
        <v>85</v>
      </c>
      <c r="E90" s="57">
        <v>34997682445</v>
      </c>
      <c r="F90" s="59">
        <v>46123</v>
      </c>
      <c r="G90" s="51" t="str">
        <f t="shared" si="3"/>
        <v>Sáb</v>
      </c>
      <c r="H90" s="60" t="s">
        <v>183</v>
      </c>
      <c r="I90" s="57" t="s">
        <v>42</v>
      </c>
      <c r="J90" s="57" t="s">
        <v>478</v>
      </c>
      <c r="K90" s="57" t="s">
        <v>146</v>
      </c>
      <c r="L90" s="53" t="str">
        <f t="shared" si="4"/>
        <v>NÃO</v>
      </c>
      <c r="M90" s="57" t="s">
        <v>72</v>
      </c>
      <c r="N90" s="57" t="s">
        <v>89</v>
      </c>
      <c r="O90" s="57" t="s">
        <v>72</v>
      </c>
      <c r="P90" s="57" t="s">
        <v>72</v>
      </c>
      <c r="Q90" s="57" t="s">
        <v>479</v>
      </c>
      <c r="R90" s="57" t="s">
        <v>480</v>
      </c>
      <c r="S90" s="61" t="str">
        <f t="shared" ca="1" si="5"/>
        <v>EXECUTADA</v>
      </c>
    </row>
    <row r="91" spans="1:19" s="55" customFormat="1" ht="15" customHeight="1" x14ac:dyDescent="0.25">
      <c r="A91" s="56" t="s">
        <v>481</v>
      </c>
      <c r="B91" s="57" t="s">
        <v>30</v>
      </c>
      <c r="C91" s="58"/>
      <c r="D91" s="53" t="s">
        <v>482</v>
      </c>
      <c r="E91" s="57">
        <v>11934320654</v>
      </c>
      <c r="F91" s="59">
        <v>46123</v>
      </c>
      <c r="G91" s="51" t="str">
        <f t="shared" si="3"/>
        <v>Sáb</v>
      </c>
      <c r="H91" s="60" t="s">
        <v>183</v>
      </c>
      <c r="I91" s="57" t="s">
        <v>46</v>
      </c>
      <c r="J91" s="57" t="s">
        <v>483</v>
      </c>
      <c r="K91" s="57" t="s">
        <v>146</v>
      </c>
      <c r="L91" s="53" t="str">
        <f t="shared" si="4"/>
        <v>SIM</v>
      </c>
      <c r="M91" s="57" t="s">
        <v>484</v>
      </c>
      <c r="N91" s="57" t="s">
        <v>89</v>
      </c>
      <c r="O91" s="57" t="s">
        <v>72</v>
      </c>
      <c r="P91" s="57" t="s">
        <v>72</v>
      </c>
      <c r="Q91" s="57" t="s">
        <v>485</v>
      </c>
      <c r="R91" s="57" t="s">
        <v>486</v>
      </c>
      <c r="S91" s="61" t="str">
        <f t="shared" ca="1" si="5"/>
        <v>EXECUTADA</v>
      </c>
    </row>
    <row r="92" spans="1:19" s="55" customFormat="1" ht="15" customHeight="1" x14ac:dyDescent="0.25">
      <c r="A92" s="64" t="s">
        <v>2655</v>
      </c>
      <c r="B92" s="57" t="s">
        <v>27</v>
      </c>
      <c r="C92" s="58"/>
      <c r="D92" s="53" t="s">
        <v>85</v>
      </c>
      <c r="E92" s="57">
        <v>34993230827</v>
      </c>
      <c r="F92" s="59">
        <v>46123</v>
      </c>
      <c r="G92" s="51" t="str">
        <f t="shared" si="3"/>
        <v>Sáb</v>
      </c>
      <c r="H92" s="60" t="s">
        <v>183</v>
      </c>
      <c r="I92" s="57" t="s">
        <v>42</v>
      </c>
      <c r="J92" s="57" t="s">
        <v>487</v>
      </c>
      <c r="K92" s="57" t="s">
        <v>71</v>
      </c>
      <c r="L92" s="53" t="str">
        <f t="shared" si="4"/>
        <v>NÃO</v>
      </c>
      <c r="M92" s="57" t="s">
        <v>72</v>
      </c>
      <c r="N92" s="57" t="s">
        <v>89</v>
      </c>
      <c r="O92" s="57" t="s">
        <v>72</v>
      </c>
      <c r="P92" s="57" t="s">
        <v>72</v>
      </c>
      <c r="Q92" s="57" t="s">
        <v>208</v>
      </c>
      <c r="R92" s="57"/>
      <c r="S92" s="61" t="str">
        <f t="shared" ca="1" si="5"/>
        <v>EXECUTADA</v>
      </c>
    </row>
    <row r="93" spans="1:19" s="55" customFormat="1" ht="18" x14ac:dyDescent="0.25">
      <c r="A93" s="56" t="s">
        <v>2656</v>
      </c>
      <c r="B93" s="57" t="s">
        <v>27</v>
      </c>
      <c r="C93" s="58"/>
      <c r="D93" s="53" t="s">
        <v>4</v>
      </c>
      <c r="E93" s="57"/>
      <c r="F93" s="59">
        <v>46125</v>
      </c>
      <c r="G93" s="51" t="str">
        <f t="shared" si="3"/>
        <v>Seg</v>
      </c>
      <c r="H93" s="60">
        <v>0.33333333333333331</v>
      </c>
      <c r="I93" s="57"/>
      <c r="J93" s="57"/>
      <c r="K93" s="57"/>
      <c r="L93" s="53" t="str">
        <f t="shared" si="4"/>
        <v>NÃO</v>
      </c>
      <c r="M93" s="57"/>
      <c r="N93" s="57"/>
      <c r="O93" s="57"/>
      <c r="P93" s="57"/>
      <c r="Q93" s="57"/>
      <c r="R93" s="57"/>
      <c r="S93" s="61" t="str">
        <f t="shared" ca="1" si="5"/>
        <v>EXECUTADA</v>
      </c>
    </row>
    <row r="94" spans="1:19" s="55" customFormat="1" ht="18" x14ac:dyDescent="0.25">
      <c r="A94" s="56" t="s">
        <v>2657</v>
      </c>
      <c r="B94" s="57" t="s">
        <v>27</v>
      </c>
      <c r="C94" s="58"/>
      <c r="D94" s="53" t="s">
        <v>4</v>
      </c>
      <c r="E94" s="57"/>
      <c r="F94" s="59">
        <v>46125</v>
      </c>
      <c r="G94" s="51" t="str">
        <f t="shared" si="3"/>
        <v>Seg</v>
      </c>
      <c r="H94" s="60">
        <v>0.33333333333333331</v>
      </c>
      <c r="I94" s="57"/>
      <c r="J94" s="57"/>
      <c r="K94" s="57"/>
      <c r="L94" s="53" t="str">
        <f t="shared" si="4"/>
        <v>NÃO</v>
      </c>
      <c r="M94" s="57"/>
      <c r="N94" s="57"/>
      <c r="O94" s="57"/>
      <c r="P94" s="57"/>
      <c r="Q94" s="57"/>
      <c r="R94" s="57"/>
      <c r="S94" s="61" t="str">
        <f t="shared" ca="1" si="5"/>
        <v>EXECUTADA</v>
      </c>
    </row>
    <row r="95" spans="1:19" s="55" customFormat="1" ht="18" x14ac:dyDescent="0.25">
      <c r="A95" s="56" t="s">
        <v>488</v>
      </c>
      <c r="B95" s="57" t="s">
        <v>27</v>
      </c>
      <c r="C95" s="58"/>
      <c r="D95" s="53" t="s">
        <v>489</v>
      </c>
      <c r="E95" s="57">
        <v>75981316810</v>
      </c>
      <c r="F95" s="59">
        <v>46125</v>
      </c>
      <c r="G95" s="51" t="str">
        <f t="shared" si="3"/>
        <v>Seg</v>
      </c>
      <c r="H95" s="60">
        <v>0.41666666666666669</v>
      </c>
      <c r="I95" s="60" t="s">
        <v>35</v>
      </c>
      <c r="J95" s="57" t="s">
        <v>490</v>
      </c>
      <c r="K95" s="57" t="s">
        <v>71</v>
      </c>
      <c r="L95" s="53" t="str">
        <f t="shared" si="4"/>
        <v>NÃO</v>
      </c>
      <c r="M95" s="57" t="s">
        <v>72</v>
      </c>
      <c r="N95" s="57" t="s">
        <v>89</v>
      </c>
      <c r="O95" s="57" t="s">
        <v>72</v>
      </c>
      <c r="P95" s="57" t="s">
        <v>72</v>
      </c>
      <c r="Q95" s="57" t="s">
        <v>491</v>
      </c>
      <c r="R95" s="57" t="s">
        <v>492</v>
      </c>
      <c r="S95" s="61" t="str">
        <f t="shared" ca="1" si="5"/>
        <v>EXECUTADA</v>
      </c>
    </row>
    <row r="96" spans="1:19" s="55" customFormat="1" ht="15" customHeight="1" x14ac:dyDescent="0.25">
      <c r="A96" s="56" t="s">
        <v>493</v>
      </c>
      <c r="B96" s="57" t="s">
        <v>27</v>
      </c>
      <c r="C96" s="58"/>
      <c r="D96" s="53" t="s">
        <v>85</v>
      </c>
      <c r="E96" s="57">
        <v>34998336278</v>
      </c>
      <c r="F96" s="59">
        <v>46125</v>
      </c>
      <c r="G96" s="51" t="str">
        <f t="shared" si="3"/>
        <v>Seg</v>
      </c>
      <c r="H96" s="60">
        <v>0.41666666666666669</v>
      </c>
      <c r="I96" s="57" t="s">
        <v>42</v>
      </c>
      <c r="J96" s="57" t="s">
        <v>494</v>
      </c>
      <c r="K96" s="57" t="s">
        <v>71</v>
      </c>
      <c r="L96" s="53" t="str">
        <f t="shared" si="4"/>
        <v>NÃO</v>
      </c>
      <c r="M96" s="57" t="s">
        <v>72</v>
      </c>
      <c r="N96" s="57" t="s">
        <v>79</v>
      </c>
      <c r="O96" s="57" t="s">
        <v>495</v>
      </c>
      <c r="P96" s="57" t="s">
        <v>496</v>
      </c>
      <c r="Q96" s="57" t="s">
        <v>497</v>
      </c>
      <c r="R96" s="57" t="s">
        <v>498</v>
      </c>
      <c r="S96" s="61" t="str">
        <f t="shared" ca="1" si="5"/>
        <v>EXECUTADA</v>
      </c>
    </row>
    <row r="97" spans="1:19" s="108" customFormat="1" ht="15" customHeight="1" x14ac:dyDescent="0.25">
      <c r="A97" s="64" t="s">
        <v>2658</v>
      </c>
      <c r="B97" s="57" t="s">
        <v>27</v>
      </c>
      <c r="C97" s="58"/>
      <c r="D97" s="53" t="s">
        <v>85</v>
      </c>
      <c r="E97" s="57">
        <v>34974001904</v>
      </c>
      <c r="F97" s="59">
        <v>46125</v>
      </c>
      <c r="G97" s="51" t="str">
        <f t="shared" si="3"/>
        <v>Seg</v>
      </c>
      <c r="H97" s="60">
        <v>0.41666666666666669</v>
      </c>
      <c r="I97" s="57" t="s">
        <v>38</v>
      </c>
      <c r="J97" s="57" t="s">
        <v>499</v>
      </c>
      <c r="K97" s="57" t="s">
        <v>71</v>
      </c>
      <c r="L97" s="53" t="str">
        <f t="shared" si="4"/>
        <v>NÃO</v>
      </c>
      <c r="M97" s="57" t="s">
        <v>72</v>
      </c>
      <c r="N97" s="57" t="s">
        <v>89</v>
      </c>
      <c r="O97" s="57" t="s">
        <v>72</v>
      </c>
      <c r="P97" s="57" t="s">
        <v>72</v>
      </c>
      <c r="Q97" s="57" t="s">
        <v>500</v>
      </c>
      <c r="R97" s="57" t="s">
        <v>501</v>
      </c>
      <c r="S97" s="61" t="str">
        <f t="shared" ca="1" si="5"/>
        <v>EXECUTADA</v>
      </c>
    </row>
    <row r="98" spans="1:19" s="55" customFormat="1" ht="18" x14ac:dyDescent="0.25">
      <c r="A98" s="56" t="s">
        <v>2659</v>
      </c>
      <c r="B98" s="95" t="s">
        <v>30</v>
      </c>
      <c r="C98" s="109"/>
      <c r="D98" s="110" t="s">
        <v>502</v>
      </c>
      <c r="E98" s="95"/>
      <c r="F98" s="111">
        <v>46125</v>
      </c>
      <c r="G98" s="112" t="str">
        <f t="shared" si="3"/>
        <v>Seg</v>
      </c>
      <c r="H98" s="113">
        <v>0.54166666666666663</v>
      </c>
      <c r="I98" s="95"/>
      <c r="J98" s="95"/>
      <c r="K98" s="95"/>
      <c r="L98" s="110" t="str">
        <f t="shared" si="4"/>
        <v>SIM</v>
      </c>
      <c r="M98" s="95"/>
      <c r="N98" s="95"/>
      <c r="O98" s="95"/>
      <c r="P98" s="95"/>
      <c r="Q98" s="95" t="s">
        <v>503</v>
      </c>
      <c r="R98" s="95"/>
      <c r="S98" s="114" t="str">
        <f t="shared" ca="1" si="5"/>
        <v>EXECUTADA</v>
      </c>
    </row>
    <row r="99" spans="1:19" s="81" customFormat="1" ht="18" x14ac:dyDescent="0.25">
      <c r="A99" s="56" t="s">
        <v>504</v>
      </c>
      <c r="B99" s="57" t="s">
        <v>30</v>
      </c>
      <c r="C99" s="58"/>
      <c r="D99" s="110" t="s">
        <v>502</v>
      </c>
      <c r="E99" s="57"/>
      <c r="F99" s="59">
        <v>46125</v>
      </c>
      <c r="G99" s="51" t="str">
        <f t="shared" si="3"/>
        <v>Seg</v>
      </c>
      <c r="H99" s="60">
        <v>0.625</v>
      </c>
      <c r="I99" s="57"/>
      <c r="J99" s="57"/>
      <c r="K99" s="57"/>
      <c r="L99" s="53" t="str">
        <f t="shared" si="4"/>
        <v>SIM</v>
      </c>
      <c r="M99" s="57"/>
      <c r="N99" s="57"/>
      <c r="O99" s="57"/>
      <c r="P99" s="57"/>
      <c r="Q99" s="57"/>
      <c r="R99" s="57"/>
      <c r="S99" s="61" t="str">
        <f t="shared" ca="1" si="5"/>
        <v>EXECUTADA</v>
      </c>
    </row>
    <row r="100" spans="1:19" s="55" customFormat="1" ht="18" x14ac:dyDescent="0.25">
      <c r="A100" s="86" t="s">
        <v>2660</v>
      </c>
      <c r="B100" s="38" t="s">
        <v>27</v>
      </c>
      <c r="C100" s="39"/>
      <c r="D100" s="40" t="s">
        <v>505</v>
      </c>
      <c r="E100" s="38">
        <v>34998331025</v>
      </c>
      <c r="F100" s="41">
        <v>46125</v>
      </c>
      <c r="G100" s="42" t="str">
        <f t="shared" si="3"/>
        <v>Seg</v>
      </c>
      <c r="H100" s="43">
        <v>0.625</v>
      </c>
      <c r="I100" s="38" t="s">
        <v>35</v>
      </c>
      <c r="J100" s="38" t="s">
        <v>392</v>
      </c>
      <c r="K100" s="38" t="s">
        <v>146</v>
      </c>
      <c r="L100" s="40" t="str">
        <f t="shared" si="4"/>
        <v>NÃO</v>
      </c>
      <c r="M100" s="38" t="s">
        <v>72</v>
      </c>
      <c r="N100" s="38" t="s">
        <v>89</v>
      </c>
      <c r="O100" s="38" t="s">
        <v>72</v>
      </c>
      <c r="P100" s="38" t="s">
        <v>72</v>
      </c>
      <c r="Q100" s="38" t="s">
        <v>393</v>
      </c>
      <c r="R100" s="38" t="s">
        <v>506</v>
      </c>
      <c r="S100" s="44" t="str">
        <f t="shared" ca="1" si="5"/>
        <v>EXECUTADA</v>
      </c>
    </row>
    <row r="101" spans="1:19" ht="18" x14ac:dyDescent="0.25">
      <c r="A101" s="67" t="s">
        <v>507</v>
      </c>
      <c r="B101" s="57" t="s">
        <v>27</v>
      </c>
      <c r="C101" s="58"/>
      <c r="D101" s="53" t="s">
        <v>508</v>
      </c>
      <c r="E101" s="57" t="s">
        <v>509</v>
      </c>
      <c r="F101" s="59">
        <v>46125</v>
      </c>
      <c r="G101" s="51" t="str">
        <f t="shared" si="3"/>
        <v>Seg</v>
      </c>
      <c r="H101" s="60">
        <v>0.70833333333333337</v>
      </c>
      <c r="I101" s="57" t="s">
        <v>42</v>
      </c>
      <c r="J101" s="57" t="s">
        <v>510</v>
      </c>
      <c r="K101" s="57" t="s">
        <v>146</v>
      </c>
      <c r="L101" s="53" t="str">
        <f t="shared" si="4"/>
        <v>NÃO</v>
      </c>
      <c r="M101" s="57" t="s">
        <v>72</v>
      </c>
      <c r="N101" s="57" t="s">
        <v>89</v>
      </c>
      <c r="O101" s="57" t="s">
        <v>72</v>
      </c>
      <c r="P101" s="57" t="s">
        <v>72</v>
      </c>
      <c r="Q101" s="57" t="s">
        <v>511</v>
      </c>
      <c r="R101" s="57" t="s">
        <v>512</v>
      </c>
      <c r="S101" s="61" t="str">
        <f t="shared" ca="1" si="5"/>
        <v>EXECUTADA</v>
      </c>
    </row>
    <row r="102" spans="1:19" s="55" customFormat="1" ht="18" x14ac:dyDescent="0.25">
      <c r="A102" s="82" t="s">
        <v>2661</v>
      </c>
      <c r="B102" s="57" t="s">
        <v>27</v>
      </c>
      <c r="C102" s="58"/>
      <c r="D102" s="53" t="s">
        <v>85</v>
      </c>
      <c r="E102" s="57">
        <v>34997634832</v>
      </c>
      <c r="F102" s="59">
        <v>46125</v>
      </c>
      <c r="G102" s="51" t="str">
        <f t="shared" si="3"/>
        <v>Seg</v>
      </c>
      <c r="H102" s="60">
        <v>0.70833333333333337</v>
      </c>
      <c r="I102" s="57" t="s">
        <v>42</v>
      </c>
      <c r="J102" s="57" t="s">
        <v>368</v>
      </c>
      <c r="K102" s="57" t="s">
        <v>71</v>
      </c>
      <c r="L102" s="53" t="str">
        <f t="shared" si="4"/>
        <v>NÃO</v>
      </c>
      <c r="M102" s="57" t="s">
        <v>72</v>
      </c>
      <c r="N102" s="57" t="s">
        <v>79</v>
      </c>
      <c r="O102" s="57" t="s">
        <v>369</v>
      </c>
      <c r="P102" s="57" t="s">
        <v>370</v>
      </c>
      <c r="Q102" s="57" t="s">
        <v>371</v>
      </c>
      <c r="R102" s="57" t="s">
        <v>372</v>
      </c>
      <c r="S102" s="61" t="str">
        <f t="shared" ca="1" si="5"/>
        <v>EXECUTADA</v>
      </c>
    </row>
    <row r="103" spans="1:19" s="55" customFormat="1" ht="18" x14ac:dyDescent="0.25">
      <c r="A103" s="56" t="s">
        <v>520</v>
      </c>
      <c r="B103" s="57" t="s">
        <v>30</v>
      </c>
      <c r="C103" s="58"/>
      <c r="D103" s="53" t="s">
        <v>521</v>
      </c>
      <c r="E103" s="57">
        <v>34992009040</v>
      </c>
      <c r="F103" s="59">
        <v>46125</v>
      </c>
      <c r="G103" s="51" t="str">
        <f t="shared" si="3"/>
        <v>Seg</v>
      </c>
      <c r="H103" s="60">
        <v>0.54166666666666663</v>
      </c>
      <c r="I103" s="57" t="s">
        <v>46</v>
      </c>
      <c r="J103" s="57" t="s">
        <v>522</v>
      </c>
      <c r="K103" s="57" t="s">
        <v>146</v>
      </c>
      <c r="L103" s="53" t="str">
        <f t="shared" si="4"/>
        <v>SIM</v>
      </c>
      <c r="M103" s="57" t="s">
        <v>523</v>
      </c>
      <c r="N103" s="57" t="s">
        <v>89</v>
      </c>
      <c r="O103" s="57" t="s">
        <v>72</v>
      </c>
      <c r="P103" s="57" t="s">
        <v>72</v>
      </c>
      <c r="Q103" s="57" t="s">
        <v>524</v>
      </c>
      <c r="R103" s="57" t="s">
        <v>525</v>
      </c>
      <c r="S103" s="61" t="str">
        <f t="shared" ca="1" si="5"/>
        <v>EXECUTADA</v>
      </c>
    </row>
    <row r="104" spans="1:19" s="83" customFormat="1" ht="18" x14ac:dyDescent="0.25">
      <c r="A104" s="85" t="s">
        <v>2662</v>
      </c>
      <c r="B104" s="74" t="s">
        <v>27</v>
      </c>
      <c r="C104" s="75"/>
      <c r="D104" s="78" t="s">
        <v>418</v>
      </c>
      <c r="E104" s="74">
        <v>34999446071</v>
      </c>
      <c r="F104" s="92">
        <v>46126</v>
      </c>
      <c r="G104" s="93" t="str">
        <f t="shared" si="3"/>
        <v>Ter</v>
      </c>
      <c r="H104" s="77">
        <v>0.33333333333333331</v>
      </c>
      <c r="I104" s="74" t="s">
        <v>42</v>
      </c>
      <c r="J104" s="74" t="s">
        <v>526</v>
      </c>
      <c r="K104" s="74" t="s">
        <v>146</v>
      </c>
      <c r="L104" s="78" t="str">
        <f t="shared" si="4"/>
        <v>NÃO</v>
      </c>
      <c r="M104" s="74" t="s">
        <v>72</v>
      </c>
      <c r="N104" s="74" t="s">
        <v>89</v>
      </c>
      <c r="O104" s="74" t="s">
        <v>72</v>
      </c>
      <c r="P104" s="74" t="s">
        <v>72</v>
      </c>
      <c r="Q104" s="74" t="s">
        <v>527</v>
      </c>
      <c r="R104" s="74" t="s">
        <v>528</v>
      </c>
      <c r="S104" s="79" t="str">
        <f t="shared" ca="1" si="5"/>
        <v>EXECUTADA</v>
      </c>
    </row>
    <row r="105" spans="1:19" s="55" customFormat="1" ht="18" x14ac:dyDescent="0.25">
      <c r="A105" s="56" t="s">
        <v>529</v>
      </c>
      <c r="B105" s="57" t="s">
        <v>30</v>
      </c>
      <c r="C105" s="58"/>
      <c r="D105" s="53" t="s">
        <v>85</v>
      </c>
      <c r="E105" s="57">
        <v>34991331755</v>
      </c>
      <c r="F105" s="59">
        <v>46126</v>
      </c>
      <c r="G105" s="51" t="str">
        <f t="shared" si="3"/>
        <v>Ter</v>
      </c>
      <c r="H105" s="60">
        <v>0.33333333333333331</v>
      </c>
      <c r="I105" s="57" t="s">
        <v>46</v>
      </c>
      <c r="J105" s="57" t="s">
        <v>530</v>
      </c>
      <c r="K105" s="57" t="s">
        <v>100</v>
      </c>
      <c r="L105" s="53" t="str">
        <f t="shared" si="4"/>
        <v>SIM</v>
      </c>
      <c r="M105" s="57" t="s">
        <v>531</v>
      </c>
      <c r="N105" s="57" t="s">
        <v>89</v>
      </c>
      <c r="O105" s="57" t="s">
        <v>72</v>
      </c>
      <c r="P105" s="57" t="s">
        <v>72</v>
      </c>
      <c r="Q105" s="57" t="s">
        <v>532</v>
      </c>
      <c r="R105" s="57" t="s">
        <v>533</v>
      </c>
      <c r="S105" s="61" t="str">
        <f t="shared" ca="1" si="5"/>
        <v>EXECUTADA</v>
      </c>
    </row>
    <row r="106" spans="1:19" s="55" customFormat="1" ht="18" x14ac:dyDescent="0.25">
      <c r="A106" s="56" t="s">
        <v>534</v>
      </c>
      <c r="B106" s="57" t="s">
        <v>27</v>
      </c>
      <c r="C106" s="58"/>
      <c r="D106" s="53" t="s">
        <v>85</v>
      </c>
      <c r="E106" s="57">
        <v>34998801576</v>
      </c>
      <c r="F106" s="59">
        <v>46126</v>
      </c>
      <c r="G106" s="51" t="str">
        <f t="shared" si="3"/>
        <v>Ter</v>
      </c>
      <c r="H106" s="60">
        <v>0.41666666666666669</v>
      </c>
      <c r="I106" s="57" t="s">
        <v>35</v>
      </c>
      <c r="J106" s="57" t="s">
        <v>535</v>
      </c>
      <c r="K106" s="57" t="s">
        <v>87</v>
      </c>
      <c r="L106" s="53" t="str">
        <f t="shared" si="4"/>
        <v>NÃO</v>
      </c>
      <c r="M106" s="57" t="s">
        <v>72</v>
      </c>
      <c r="N106" s="57" t="s">
        <v>79</v>
      </c>
      <c r="O106" s="57" t="s">
        <v>536</v>
      </c>
      <c r="P106" s="57" t="s">
        <v>537</v>
      </c>
      <c r="Q106" s="57" t="s">
        <v>538</v>
      </c>
      <c r="R106" s="57" t="s">
        <v>539</v>
      </c>
      <c r="S106" s="61" t="str">
        <f t="shared" ca="1" si="5"/>
        <v>EXECUTADA</v>
      </c>
    </row>
    <row r="107" spans="1:19" s="55" customFormat="1" ht="18" x14ac:dyDescent="0.25">
      <c r="A107" s="56" t="s">
        <v>2663</v>
      </c>
      <c r="B107" s="57" t="s">
        <v>27</v>
      </c>
      <c r="C107" s="58"/>
      <c r="D107" s="53" t="s">
        <v>85</v>
      </c>
      <c r="E107" s="57">
        <v>34991869182</v>
      </c>
      <c r="F107" s="59">
        <v>46126</v>
      </c>
      <c r="G107" s="51" t="str">
        <f t="shared" si="3"/>
        <v>Ter</v>
      </c>
      <c r="H107" s="60">
        <v>0.41666666666666669</v>
      </c>
      <c r="I107" s="57" t="s">
        <v>35</v>
      </c>
      <c r="J107" s="57" t="s">
        <v>540</v>
      </c>
      <c r="K107" s="57" t="s">
        <v>87</v>
      </c>
      <c r="L107" s="53" t="str">
        <f t="shared" si="4"/>
        <v>NÃO</v>
      </c>
      <c r="M107" s="57" t="s">
        <v>72</v>
      </c>
      <c r="N107" s="57" t="s">
        <v>89</v>
      </c>
      <c r="O107" s="57" t="s">
        <v>72</v>
      </c>
      <c r="P107" s="57" t="s">
        <v>72</v>
      </c>
      <c r="Q107" s="57" t="s">
        <v>541</v>
      </c>
      <c r="R107" s="57" t="s">
        <v>542</v>
      </c>
      <c r="S107" s="61" t="str">
        <f t="shared" ca="1" si="5"/>
        <v>EXECUTADA</v>
      </c>
    </row>
    <row r="108" spans="1:19" s="55" customFormat="1" ht="18" x14ac:dyDescent="0.25">
      <c r="A108" s="56" t="s">
        <v>2664</v>
      </c>
      <c r="B108" s="57" t="s">
        <v>27</v>
      </c>
      <c r="C108" s="58"/>
      <c r="D108" s="53" t="s">
        <v>85</v>
      </c>
      <c r="E108" s="57">
        <v>91984804987</v>
      </c>
      <c r="F108" s="59">
        <v>46126</v>
      </c>
      <c r="G108" s="51" t="str">
        <f t="shared" si="3"/>
        <v>Ter</v>
      </c>
      <c r="H108" s="60">
        <v>0.54166666666666663</v>
      </c>
      <c r="I108" s="57" t="s">
        <v>42</v>
      </c>
      <c r="J108" s="57" t="s">
        <v>543</v>
      </c>
      <c r="K108" s="57" t="s">
        <v>87</v>
      </c>
      <c r="L108" s="53" t="str">
        <f t="shared" si="4"/>
        <v>NÃO</v>
      </c>
      <c r="M108" s="57" t="s">
        <v>72</v>
      </c>
      <c r="N108" s="57" t="s">
        <v>89</v>
      </c>
      <c r="O108" s="57" t="s">
        <v>72</v>
      </c>
      <c r="P108" s="57" t="s">
        <v>72</v>
      </c>
      <c r="Q108" s="57" t="s">
        <v>544</v>
      </c>
      <c r="R108" s="57" t="s">
        <v>545</v>
      </c>
      <c r="S108" s="61" t="str">
        <f t="shared" ca="1" si="5"/>
        <v>EXECUTADA</v>
      </c>
    </row>
    <row r="109" spans="1:19" s="55" customFormat="1" ht="18" x14ac:dyDescent="0.25">
      <c r="A109" s="56" t="s">
        <v>2665</v>
      </c>
      <c r="B109" s="57" t="s">
        <v>27</v>
      </c>
      <c r="C109" s="58"/>
      <c r="D109" s="53" t="s">
        <v>85</v>
      </c>
      <c r="E109" s="57">
        <v>34991844810</v>
      </c>
      <c r="F109" s="59">
        <v>46126</v>
      </c>
      <c r="G109" s="51" t="str">
        <f t="shared" si="3"/>
        <v>Ter</v>
      </c>
      <c r="H109" s="60">
        <v>0.54166666666666663</v>
      </c>
      <c r="I109" s="57" t="s">
        <v>42</v>
      </c>
      <c r="J109" s="57" t="s">
        <v>546</v>
      </c>
      <c r="K109" s="57" t="s">
        <v>71</v>
      </c>
      <c r="L109" s="53" t="str">
        <f t="shared" si="4"/>
        <v>NÃO</v>
      </c>
      <c r="M109" s="57" t="s">
        <v>72</v>
      </c>
      <c r="N109" s="57" t="s">
        <v>89</v>
      </c>
      <c r="O109" s="57" t="s">
        <v>72</v>
      </c>
      <c r="P109" s="57" t="s">
        <v>72</v>
      </c>
      <c r="Q109" s="57" t="s">
        <v>547</v>
      </c>
      <c r="R109" s="57" t="s">
        <v>548</v>
      </c>
      <c r="S109" s="61" t="str">
        <f t="shared" ca="1" si="5"/>
        <v>EXECUTADA</v>
      </c>
    </row>
    <row r="110" spans="1:19" s="55" customFormat="1" ht="18" x14ac:dyDescent="0.25">
      <c r="A110" s="56" t="s">
        <v>2666</v>
      </c>
      <c r="B110" s="57" t="s">
        <v>30</v>
      </c>
      <c r="C110" s="58"/>
      <c r="D110" s="53" t="s">
        <v>85</v>
      </c>
      <c r="E110" s="57">
        <v>34992679045</v>
      </c>
      <c r="F110" s="59">
        <v>46126</v>
      </c>
      <c r="G110" s="51" t="str">
        <f t="shared" si="3"/>
        <v>Ter</v>
      </c>
      <c r="H110" s="60">
        <v>0.625</v>
      </c>
      <c r="I110" s="57" t="s">
        <v>46</v>
      </c>
      <c r="J110" s="57" t="s">
        <v>549</v>
      </c>
      <c r="K110" s="57" t="s">
        <v>100</v>
      </c>
      <c r="L110" s="53" t="str">
        <f t="shared" si="4"/>
        <v>SIM</v>
      </c>
      <c r="M110" s="57" t="s">
        <v>550</v>
      </c>
      <c r="N110" s="57" t="s">
        <v>79</v>
      </c>
      <c r="O110" s="57" t="s">
        <v>551</v>
      </c>
      <c r="P110" s="57" t="s">
        <v>72</v>
      </c>
      <c r="Q110" s="57" t="s">
        <v>552</v>
      </c>
      <c r="R110" s="57" t="s">
        <v>553</v>
      </c>
      <c r="S110" s="61" t="str">
        <f t="shared" ca="1" si="5"/>
        <v>EXECUTADA</v>
      </c>
    </row>
    <row r="111" spans="1:19" s="81" customFormat="1" ht="18" x14ac:dyDescent="0.25">
      <c r="A111" s="86" t="s">
        <v>2667</v>
      </c>
      <c r="B111" s="38" t="s">
        <v>30</v>
      </c>
      <c r="C111" s="39"/>
      <c r="D111" s="40" t="s">
        <v>554</v>
      </c>
      <c r="E111" s="38">
        <v>31973106587</v>
      </c>
      <c r="F111" s="41">
        <v>46126</v>
      </c>
      <c r="G111" s="42" t="str">
        <f t="shared" si="3"/>
        <v>Ter</v>
      </c>
      <c r="H111" s="43">
        <v>0.625</v>
      </c>
      <c r="I111" s="38" t="s">
        <v>46</v>
      </c>
      <c r="J111" s="38" t="s">
        <v>555</v>
      </c>
      <c r="K111" s="38"/>
      <c r="L111" s="40" t="str">
        <f t="shared" si="4"/>
        <v>SIM</v>
      </c>
      <c r="M111" s="38" t="s">
        <v>556</v>
      </c>
      <c r="N111" s="38"/>
      <c r="O111" s="38" t="s">
        <v>557</v>
      </c>
      <c r="P111" s="38" t="s">
        <v>558</v>
      </c>
      <c r="Q111" s="38" t="s">
        <v>559</v>
      </c>
      <c r="R111" s="38" t="s">
        <v>560</v>
      </c>
      <c r="S111" s="44" t="str">
        <f t="shared" ca="1" si="5"/>
        <v>EXECUTADA</v>
      </c>
    </row>
    <row r="112" spans="1:19" s="55" customFormat="1" ht="18" x14ac:dyDescent="0.25">
      <c r="A112" s="56" t="s">
        <v>2668</v>
      </c>
      <c r="B112" s="57" t="s">
        <v>27</v>
      </c>
      <c r="C112" s="58"/>
      <c r="D112" s="53" t="s">
        <v>561</v>
      </c>
      <c r="E112" s="57">
        <v>34991781076</v>
      </c>
      <c r="F112" s="59">
        <v>46126</v>
      </c>
      <c r="G112" s="51" t="str">
        <f t="shared" si="3"/>
        <v>Ter</v>
      </c>
      <c r="H112" s="60">
        <v>0.70833333333333337</v>
      </c>
      <c r="I112" s="57" t="s">
        <v>42</v>
      </c>
      <c r="J112" s="57" t="s">
        <v>562</v>
      </c>
      <c r="K112" s="115" t="s">
        <v>107</v>
      </c>
      <c r="L112" s="53" t="str">
        <f t="shared" si="4"/>
        <v>NÃO</v>
      </c>
      <c r="M112" s="57" t="s">
        <v>72</v>
      </c>
      <c r="N112" s="57" t="s">
        <v>89</v>
      </c>
      <c r="O112" s="57" t="s">
        <v>72</v>
      </c>
      <c r="P112" s="57" t="s">
        <v>72</v>
      </c>
      <c r="Q112" s="57" t="s">
        <v>563</v>
      </c>
      <c r="R112" s="57" t="s">
        <v>564</v>
      </c>
      <c r="S112" s="61" t="str">
        <f t="shared" ca="1" si="5"/>
        <v>EXECUTADA</v>
      </c>
    </row>
    <row r="113" spans="1:19" s="55" customFormat="1" ht="18" x14ac:dyDescent="0.25">
      <c r="A113" s="56" t="s">
        <v>2669</v>
      </c>
      <c r="B113" s="57" t="s">
        <v>30</v>
      </c>
      <c r="C113" s="58"/>
      <c r="D113" s="53" t="s">
        <v>182</v>
      </c>
      <c r="E113" s="57">
        <v>34991560470</v>
      </c>
      <c r="F113" s="59">
        <v>46126</v>
      </c>
      <c r="G113" s="51" t="str">
        <f t="shared" si="3"/>
        <v>Ter</v>
      </c>
      <c r="H113" s="60">
        <v>0.70833333333333337</v>
      </c>
      <c r="I113" s="57" t="s">
        <v>46</v>
      </c>
      <c r="J113" s="57" t="s">
        <v>565</v>
      </c>
      <c r="K113" s="57" t="s">
        <v>566</v>
      </c>
      <c r="L113" s="53" t="str">
        <f t="shared" si="4"/>
        <v>SIM</v>
      </c>
      <c r="M113" s="57" t="s">
        <v>567</v>
      </c>
      <c r="N113" s="57" t="s">
        <v>89</v>
      </c>
      <c r="O113" s="57" t="s">
        <v>72</v>
      </c>
      <c r="P113" s="57" t="s">
        <v>72</v>
      </c>
      <c r="Q113" s="57" t="s">
        <v>568</v>
      </c>
      <c r="R113" s="57" t="s">
        <v>569</v>
      </c>
      <c r="S113" s="61" t="str">
        <f t="shared" ca="1" si="5"/>
        <v>EXECUTADA</v>
      </c>
    </row>
    <row r="114" spans="1:19" s="55" customFormat="1" ht="18" x14ac:dyDescent="0.25">
      <c r="A114" s="116" t="s">
        <v>674</v>
      </c>
      <c r="B114" s="57" t="s">
        <v>27</v>
      </c>
      <c r="C114" s="58"/>
      <c r="D114" s="53" t="s">
        <v>85</v>
      </c>
      <c r="E114" s="57">
        <v>34991844810</v>
      </c>
      <c r="F114" s="59">
        <v>46126</v>
      </c>
      <c r="G114" s="51" t="str">
        <f t="shared" si="3"/>
        <v>Ter</v>
      </c>
      <c r="H114" s="60">
        <v>0.54166666666666663</v>
      </c>
      <c r="I114" s="57" t="s">
        <v>42</v>
      </c>
      <c r="J114" s="57" t="s">
        <v>546</v>
      </c>
      <c r="K114" s="57" t="s">
        <v>71</v>
      </c>
      <c r="L114" s="53" t="str">
        <f t="shared" si="4"/>
        <v>NÃO</v>
      </c>
      <c r="M114" s="57" t="s">
        <v>72</v>
      </c>
      <c r="N114" s="57" t="s">
        <v>89</v>
      </c>
      <c r="O114" s="57" t="s">
        <v>72</v>
      </c>
      <c r="P114" s="57" t="s">
        <v>72</v>
      </c>
      <c r="Q114" s="57" t="s">
        <v>547</v>
      </c>
      <c r="R114" s="57" t="s">
        <v>548</v>
      </c>
      <c r="S114" s="61" t="str">
        <f t="shared" ca="1" si="5"/>
        <v>EXECUTADA</v>
      </c>
    </row>
    <row r="115" spans="1:19" s="55" customFormat="1" ht="18" x14ac:dyDescent="0.25">
      <c r="A115" s="56" t="s">
        <v>2670</v>
      </c>
      <c r="B115" s="57" t="s">
        <v>27</v>
      </c>
      <c r="C115" s="58"/>
      <c r="D115" s="53" t="s">
        <v>85</v>
      </c>
      <c r="E115" s="57">
        <v>34992700764</v>
      </c>
      <c r="F115" s="59">
        <v>46127</v>
      </c>
      <c r="G115" s="51" t="str">
        <f t="shared" si="3"/>
        <v>Qua</v>
      </c>
      <c r="H115" s="60">
        <v>0.33333333333333331</v>
      </c>
      <c r="I115" s="57" t="s">
        <v>35</v>
      </c>
      <c r="J115" s="57" t="s">
        <v>570</v>
      </c>
      <c r="K115" s="57" t="s">
        <v>87</v>
      </c>
      <c r="L115" s="53" t="str">
        <f t="shared" si="4"/>
        <v>NÃO</v>
      </c>
      <c r="M115" s="57" t="s">
        <v>72</v>
      </c>
      <c r="N115" s="57" t="s">
        <v>89</v>
      </c>
      <c r="O115" s="57" t="s">
        <v>72</v>
      </c>
      <c r="P115" s="57" t="s">
        <v>72</v>
      </c>
      <c r="Q115" s="57" t="s">
        <v>571</v>
      </c>
      <c r="R115" s="57" t="s">
        <v>572</v>
      </c>
      <c r="S115" s="61" t="str">
        <f t="shared" ca="1" si="5"/>
        <v>EXECUTADA</v>
      </c>
    </row>
    <row r="116" spans="1:19" s="83" customFormat="1" ht="18" x14ac:dyDescent="0.25">
      <c r="A116" s="72" t="s">
        <v>573</v>
      </c>
      <c r="B116" s="57" t="s">
        <v>27</v>
      </c>
      <c r="C116" s="58"/>
      <c r="D116" s="53" t="s">
        <v>574</v>
      </c>
      <c r="E116" s="57">
        <v>34991273460</v>
      </c>
      <c r="F116" s="59">
        <v>46127</v>
      </c>
      <c r="G116" s="51" t="str">
        <f t="shared" si="3"/>
        <v>Qua</v>
      </c>
      <c r="H116" s="60">
        <v>0.33333333333333331</v>
      </c>
      <c r="I116" s="57" t="s">
        <v>42</v>
      </c>
      <c r="J116" s="57" t="s">
        <v>575</v>
      </c>
      <c r="K116" s="57" t="s">
        <v>576</v>
      </c>
      <c r="L116" s="53" t="str">
        <f t="shared" si="4"/>
        <v>NÃO</v>
      </c>
      <c r="M116" s="57" t="s">
        <v>72</v>
      </c>
      <c r="N116" s="57" t="s">
        <v>89</v>
      </c>
      <c r="O116" s="57" t="s">
        <v>72</v>
      </c>
      <c r="P116" s="57" t="s">
        <v>72</v>
      </c>
      <c r="Q116" s="57" t="s">
        <v>577</v>
      </c>
      <c r="R116" s="57" t="s">
        <v>578</v>
      </c>
      <c r="S116" s="61" t="str">
        <f t="shared" ca="1" si="5"/>
        <v>EXECUTADA</v>
      </c>
    </row>
    <row r="117" spans="1:19" s="55" customFormat="1" ht="18" x14ac:dyDescent="0.25">
      <c r="A117" s="91" t="s">
        <v>579</v>
      </c>
      <c r="B117" s="74" t="s">
        <v>27</v>
      </c>
      <c r="C117" s="75"/>
      <c r="D117" s="78" t="s">
        <v>580</v>
      </c>
      <c r="E117" s="74">
        <v>34991830058</v>
      </c>
      <c r="F117" s="92">
        <v>46127</v>
      </c>
      <c r="G117" s="93" t="str">
        <f t="shared" si="3"/>
        <v>Qua</v>
      </c>
      <c r="H117" s="77">
        <v>0.33333333333333331</v>
      </c>
      <c r="I117" s="74" t="s">
        <v>35</v>
      </c>
      <c r="J117" s="74" t="s">
        <v>581</v>
      </c>
      <c r="K117" s="74" t="s">
        <v>582</v>
      </c>
      <c r="L117" s="78" t="str">
        <f t="shared" si="4"/>
        <v>NÃO</v>
      </c>
      <c r="M117" s="74" t="s">
        <v>72</v>
      </c>
      <c r="N117" s="74" t="s">
        <v>89</v>
      </c>
      <c r="O117" s="74" t="s">
        <v>72</v>
      </c>
      <c r="P117" s="74" t="s">
        <v>72</v>
      </c>
      <c r="Q117" s="74" t="s">
        <v>583</v>
      </c>
      <c r="R117" s="74" t="s">
        <v>584</v>
      </c>
      <c r="S117" s="79" t="str">
        <f t="shared" ca="1" si="5"/>
        <v>EXECUTADA</v>
      </c>
    </row>
    <row r="118" spans="1:19" s="55" customFormat="1" ht="18" x14ac:dyDescent="0.25">
      <c r="A118" s="56" t="s">
        <v>585</v>
      </c>
      <c r="B118" s="57" t="s">
        <v>30</v>
      </c>
      <c r="C118" s="58"/>
      <c r="D118" s="53" t="s">
        <v>586</v>
      </c>
      <c r="E118" s="57">
        <v>34991047139</v>
      </c>
      <c r="F118" s="59">
        <v>46127</v>
      </c>
      <c r="G118" s="51" t="str">
        <f t="shared" si="3"/>
        <v>Qua</v>
      </c>
      <c r="H118" s="60">
        <v>0.41666666666666669</v>
      </c>
      <c r="I118" s="57" t="s">
        <v>46</v>
      </c>
      <c r="J118" s="57" t="s">
        <v>587</v>
      </c>
      <c r="K118" s="57" t="s">
        <v>71</v>
      </c>
      <c r="L118" s="53" t="str">
        <f t="shared" si="4"/>
        <v>SIM</v>
      </c>
      <c r="M118" s="57" t="s">
        <v>588</v>
      </c>
      <c r="N118" s="57" t="s">
        <v>89</v>
      </c>
      <c r="O118" s="57" t="s">
        <v>72</v>
      </c>
      <c r="P118" s="57" t="s">
        <v>72</v>
      </c>
      <c r="Q118" s="57" t="s">
        <v>589</v>
      </c>
      <c r="R118" s="57" t="s">
        <v>590</v>
      </c>
      <c r="S118" s="61" t="str">
        <f t="shared" ca="1" si="5"/>
        <v>EXECUTADA</v>
      </c>
    </row>
    <row r="119" spans="1:19" s="55" customFormat="1" ht="18" x14ac:dyDescent="0.25">
      <c r="A119" s="72" t="s">
        <v>591</v>
      </c>
      <c r="B119" s="57" t="s">
        <v>27</v>
      </c>
      <c r="C119" s="58"/>
      <c r="D119" s="53" t="s">
        <v>574</v>
      </c>
      <c r="E119" s="57">
        <v>34996403629</v>
      </c>
      <c r="F119" s="59">
        <v>46127</v>
      </c>
      <c r="G119" s="51" t="str">
        <f t="shared" si="3"/>
        <v>Qua</v>
      </c>
      <c r="H119" s="60">
        <v>0.41666666666666669</v>
      </c>
      <c r="I119" s="57" t="s">
        <v>42</v>
      </c>
      <c r="J119" s="57" t="s">
        <v>592</v>
      </c>
      <c r="K119" s="57" t="s">
        <v>593</v>
      </c>
      <c r="L119" s="53" t="str">
        <f t="shared" si="4"/>
        <v>NÃO</v>
      </c>
      <c r="M119" s="57" t="s">
        <v>72</v>
      </c>
      <c r="N119" s="57" t="s">
        <v>89</v>
      </c>
      <c r="O119" s="57" t="s">
        <v>72</v>
      </c>
      <c r="P119" s="57" t="s">
        <v>72</v>
      </c>
      <c r="Q119" s="57" t="s">
        <v>594</v>
      </c>
      <c r="R119" s="57" t="s">
        <v>595</v>
      </c>
      <c r="S119" s="61" t="str">
        <f t="shared" ca="1" si="5"/>
        <v>EXECUTADA</v>
      </c>
    </row>
    <row r="120" spans="1:19" s="55" customFormat="1" ht="18" x14ac:dyDescent="0.25">
      <c r="A120" s="72" t="s">
        <v>596</v>
      </c>
      <c r="B120" s="57" t="s">
        <v>30</v>
      </c>
      <c r="C120" s="58"/>
      <c r="D120" s="53" t="s">
        <v>574</v>
      </c>
      <c r="E120" s="57">
        <v>34998407754</v>
      </c>
      <c r="F120" s="59">
        <v>46127</v>
      </c>
      <c r="G120" s="51" t="str">
        <f t="shared" si="3"/>
        <v>Qua</v>
      </c>
      <c r="H120" s="60">
        <v>0.41666666666666669</v>
      </c>
      <c r="I120" s="57" t="s">
        <v>46</v>
      </c>
      <c r="J120" s="57" t="s">
        <v>597</v>
      </c>
      <c r="K120" s="57" t="s">
        <v>598</v>
      </c>
      <c r="L120" s="53" t="str">
        <f t="shared" si="4"/>
        <v>SIM</v>
      </c>
      <c r="M120" s="57" t="s">
        <v>599</v>
      </c>
      <c r="N120" s="57" t="s">
        <v>79</v>
      </c>
      <c r="O120" s="57" t="s">
        <v>600</v>
      </c>
      <c r="P120" s="57">
        <v>34988226619</v>
      </c>
      <c r="Q120" s="57" t="s">
        <v>601</v>
      </c>
      <c r="R120" s="57"/>
      <c r="S120" s="61" t="str">
        <f t="shared" ca="1" si="5"/>
        <v>EXECUTADA</v>
      </c>
    </row>
    <row r="121" spans="1:19" s="55" customFormat="1" ht="18" x14ac:dyDescent="0.25">
      <c r="A121" s="72" t="s">
        <v>602</v>
      </c>
      <c r="B121" s="57" t="s">
        <v>30</v>
      </c>
      <c r="C121" s="58"/>
      <c r="D121" s="53" t="s">
        <v>574</v>
      </c>
      <c r="E121" s="57">
        <v>34999122535</v>
      </c>
      <c r="F121" s="59">
        <v>46127</v>
      </c>
      <c r="G121" s="51" t="str">
        <f t="shared" si="3"/>
        <v>Qua</v>
      </c>
      <c r="H121" s="60">
        <v>0.54166666666666663</v>
      </c>
      <c r="I121" s="57" t="s">
        <v>46</v>
      </c>
      <c r="J121" s="57" t="s">
        <v>603</v>
      </c>
      <c r="K121" s="57" t="s">
        <v>593</v>
      </c>
      <c r="L121" s="53" t="str">
        <f t="shared" si="4"/>
        <v>SIM</v>
      </c>
      <c r="M121" s="57" t="s">
        <v>604</v>
      </c>
      <c r="N121" s="57" t="s">
        <v>89</v>
      </c>
      <c r="O121" s="57" t="s">
        <v>72</v>
      </c>
      <c r="P121" s="57" t="s">
        <v>72</v>
      </c>
      <c r="Q121" s="57" t="s">
        <v>605</v>
      </c>
      <c r="R121" s="57" t="s">
        <v>606</v>
      </c>
      <c r="S121" s="61" t="str">
        <f t="shared" ca="1" si="5"/>
        <v>EXECUTADA</v>
      </c>
    </row>
    <row r="122" spans="1:19" s="55" customFormat="1" ht="18" x14ac:dyDescent="0.25">
      <c r="A122" s="72" t="s">
        <v>607</v>
      </c>
      <c r="B122" s="57" t="s">
        <v>27</v>
      </c>
      <c r="C122" s="58"/>
      <c r="D122" s="53" t="s">
        <v>608</v>
      </c>
      <c r="E122" s="57">
        <v>34991954490</v>
      </c>
      <c r="F122" s="59">
        <v>46127</v>
      </c>
      <c r="G122" s="51" t="str">
        <f t="shared" si="3"/>
        <v>Qua</v>
      </c>
      <c r="H122" s="60">
        <v>0.54166666666666663</v>
      </c>
      <c r="I122" s="57" t="s">
        <v>42</v>
      </c>
      <c r="J122" s="57" t="s">
        <v>609</v>
      </c>
      <c r="K122" s="57" t="s">
        <v>87</v>
      </c>
      <c r="L122" s="53" t="str">
        <f t="shared" si="4"/>
        <v>NÃO</v>
      </c>
      <c r="M122" s="57" t="s">
        <v>72</v>
      </c>
      <c r="N122" s="57" t="s">
        <v>79</v>
      </c>
      <c r="O122" s="57" t="s">
        <v>610</v>
      </c>
      <c r="P122" s="57">
        <v>34992539828</v>
      </c>
      <c r="Q122" s="57" t="s">
        <v>611</v>
      </c>
      <c r="R122" s="57" t="s">
        <v>612</v>
      </c>
      <c r="S122" s="61" t="str">
        <f t="shared" ca="1" si="5"/>
        <v>EXECUTADA</v>
      </c>
    </row>
    <row r="123" spans="1:19" s="55" customFormat="1" ht="18" x14ac:dyDescent="0.25">
      <c r="A123" s="72" t="s">
        <v>613</v>
      </c>
      <c r="B123" s="57" t="s">
        <v>27</v>
      </c>
      <c r="C123" s="58"/>
      <c r="D123" s="53" t="s">
        <v>608</v>
      </c>
      <c r="E123" s="57">
        <v>34992696829</v>
      </c>
      <c r="F123" s="59">
        <v>46127</v>
      </c>
      <c r="G123" s="51" t="str">
        <f t="shared" si="3"/>
        <v>Qua</v>
      </c>
      <c r="H123" s="60">
        <v>0.54166666666666663</v>
      </c>
      <c r="I123" s="57" t="s">
        <v>35</v>
      </c>
      <c r="J123" s="57" t="s">
        <v>614</v>
      </c>
      <c r="K123" s="57" t="s">
        <v>598</v>
      </c>
      <c r="L123" s="53" t="str">
        <f t="shared" si="4"/>
        <v>NÃO</v>
      </c>
      <c r="M123" s="57" t="s">
        <v>72</v>
      </c>
      <c r="N123" s="57" t="s">
        <v>89</v>
      </c>
      <c r="O123" s="57" t="s">
        <v>72</v>
      </c>
      <c r="P123" s="57" t="s">
        <v>72</v>
      </c>
      <c r="Q123" s="57" t="s">
        <v>615</v>
      </c>
      <c r="R123" s="57" t="s">
        <v>616</v>
      </c>
      <c r="S123" s="61" t="str">
        <f t="shared" ca="1" si="5"/>
        <v>EXECUTADA</v>
      </c>
    </row>
    <row r="124" spans="1:19" s="55" customFormat="1" ht="18" x14ac:dyDescent="0.25">
      <c r="A124" s="72" t="s">
        <v>617</v>
      </c>
      <c r="B124" s="57" t="s">
        <v>27</v>
      </c>
      <c r="C124" s="58"/>
      <c r="D124" s="53" t="s">
        <v>618</v>
      </c>
      <c r="E124" s="57">
        <v>34999649012</v>
      </c>
      <c r="F124" s="59">
        <v>46127</v>
      </c>
      <c r="G124" s="51" t="str">
        <f t="shared" si="3"/>
        <v>Qua</v>
      </c>
      <c r="H124" s="60">
        <v>0.625</v>
      </c>
      <c r="I124" s="57" t="s">
        <v>42</v>
      </c>
      <c r="J124" s="57" t="s">
        <v>619</v>
      </c>
      <c r="K124" s="55" t="s">
        <v>620</v>
      </c>
      <c r="L124" s="53" t="str">
        <f t="shared" si="4"/>
        <v>NÃO</v>
      </c>
      <c r="M124" s="57" t="s">
        <v>72</v>
      </c>
      <c r="N124" s="57" t="s">
        <v>79</v>
      </c>
      <c r="O124" s="57" t="s">
        <v>621</v>
      </c>
      <c r="P124" s="57">
        <v>34996791809</v>
      </c>
      <c r="Q124" s="57"/>
      <c r="R124" s="57"/>
      <c r="S124" s="61" t="str">
        <f t="shared" ca="1" si="5"/>
        <v>EXECUTADA</v>
      </c>
    </row>
    <row r="125" spans="1:19" s="55" customFormat="1" ht="18" x14ac:dyDescent="0.25">
      <c r="A125" s="72" t="s">
        <v>622</v>
      </c>
      <c r="B125" s="57" t="s">
        <v>30</v>
      </c>
      <c r="C125" s="58"/>
      <c r="D125" s="53" t="s">
        <v>608</v>
      </c>
      <c r="E125" s="57">
        <v>34999320228</v>
      </c>
      <c r="F125" s="59">
        <v>46127</v>
      </c>
      <c r="G125" s="51" t="str">
        <f t="shared" si="3"/>
        <v>Qua</v>
      </c>
      <c r="H125" s="60">
        <v>0.625</v>
      </c>
      <c r="I125" s="57" t="s">
        <v>46</v>
      </c>
      <c r="J125" s="57" t="s">
        <v>623</v>
      </c>
      <c r="K125" s="57" t="s">
        <v>87</v>
      </c>
      <c r="L125" s="53" t="str">
        <f t="shared" si="4"/>
        <v>SIM</v>
      </c>
      <c r="M125" s="57" t="s">
        <v>624</v>
      </c>
      <c r="N125" s="57" t="s">
        <v>89</v>
      </c>
      <c r="O125" s="57" t="s">
        <v>72</v>
      </c>
      <c r="P125" s="57" t="s">
        <v>72</v>
      </c>
      <c r="Q125" s="57" t="s">
        <v>625</v>
      </c>
      <c r="R125" s="57" t="s">
        <v>626</v>
      </c>
      <c r="S125" s="61" t="str">
        <f t="shared" ca="1" si="5"/>
        <v>EXECUTADA</v>
      </c>
    </row>
    <row r="126" spans="1:19" s="55" customFormat="1" ht="18" x14ac:dyDescent="0.25">
      <c r="A126" s="56" t="s">
        <v>627</v>
      </c>
      <c r="B126" s="57" t="s">
        <v>27</v>
      </c>
      <c r="C126" s="58"/>
      <c r="D126" s="53" t="s">
        <v>608</v>
      </c>
      <c r="E126" s="57">
        <v>34996684428</v>
      </c>
      <c r="F126" s="59">
        <v>46127</v>
      </c>
      <c r="G126" s="51" t="str">
        <f t="shared" si="3"/>
        <v>Qua</v>
      </c>
      <c r="H126" s="60">
        <v>0.70833333333333337</v>
      </c>
      <c r="I126" s="57" t="s">
        <v>35</v>
      </c>
      <c r="J126" s="57" t="s">
        <v>628</v>
      </c>
      <c r="K126" s="57" t="s">
        <v>132</v>
      </c>
      <c r="L126" s="53" t="str">
        <f t="shared" si="4"/>
        <v>NÃO</v>
      </c>
      <c r="M126" s="57" t="s">
        <v>72</v>
      </c>
      <c r="N126" s="57" t="s">
        <v>89</v>
      </c>
      <c r="O126" s="57" t="s">
        <v>72</v>
      </c>
      <c r="P126" s="57" t="s">
        <v>72</v>
      </c>
      <c r="Q126" s="57" t="s">
        <v>629</v>
      </c>
      <c r="R126" s="57" t="s">
        <v>630</v>
      </c>
      <c r="S126" s="61" t="str">
        <f t="shared" ca="1" si="5"/>
        <v>EXECUTADA</v>
      </c>
    </row>
    <row r="127" spans="1:19" s="55" customFormat="1" ht="18" x14ac:dyDescent="0.25">
      <c r="A127" s="56" t="s">
        <v>631</v>
      </c>
      <c r="B127" s="57" t="s">
        <v>27</v>
      </c>
      <c r="C127" s="58"/>
      <c r="D127" s="53" t="s">
        <v>632</v>
      </c>
      <c r="E127" s="57">
        <v>34996574525</v>
      </c>
      <c r="F127" s="59">
        <v>46127</v>
      </c>
      <c r="G127" s="51" t="str">
        <f t="shared" si="3"/>
        <v>Qua</v>
      </c>
      <c r="H127" s="60">
        <v>0.70833333333333337</v>
      </c>
      <c r="I127" s="57" t="s">
        <v>42</v>
      </c>
      <c r="J127" s="57" t="s">
        <v>633</v>
      </c>
      <c r="K127" s="57" t="s">
        <v>146</v>
      </c>
      <c r="L127" s="53" t="str">
        <f t="shared" si="4"/>
        <v>NÃO</v>
      </c>
      <c r="M127" s="57" t="s">
        <v>72</v>
      </c>
      <c r="N127" s="57" t="s">
        <v>89</v>
      </c>
      <c r="O127" s="57" t="s">
        <v>72</v>
      </c>
      <c r="P127" s="57" t="s">
        <v>72</v>
      </c>
      <c r="Q127" s="57" t="s">
        <v>634</v>
      </c>
      <c r="R127" s="57" t="s">
        <v>635</v>
      </c>
      <c r="S127" s="61" t="str">
        <f t="shared" ca="1" si="5"/>
        <v>EXECUTADA</v>
      </c>
    </row>
    <row r="128" spans="1:19" s="55" customFormat="1" ht="18" x14ac:dyDescent="0.25">
      <c r="A128" s="72" t="s">
        <v>636</v>
      </c>
      <c r="B128" s="57" t="s">
        <v>30</v>
      </c>
      <c r="C128" s="58"/>
      <c r="D128" s="53" t="s">
        <v>637</v>
      </c>
      <c r="E128" s="57">
        <v>34997745140</v>
      </c>
      <c r="F128" s="59">
        <v>46128</v>
      </c>
      <c r="G128" s="51" t="str">
        <f t="shared" si="3"/>
        <v>Qui</v>
      </c>
      <c r="H128" s="60">
        <v>0.33333333333333331</v>
      </c>
      <c r="I128" s="57" t="s">
        <v>46</v>
      </c>
      <c r="J128" s="57" t="s">
        <v>638</v>
      </c>
      <c r="K128" s="57" t="s">
        <v>598</v>
      </c>
      <c r="L128" s="53" t="str">
        <f t="shared" si="4"/>
        <v>SIM</v>
      </c>
      <c r="M128" s="57" t="s">
        <v>197</v>
      </c>
      <c r="N128" s="57" t="s">
        <v>338</v>
      </c>
      <c r="O128" s="57" t="s">
        <v>72</v>
      </c>
      <c r="P128" s="57" t="s">
        <v>72</v>
      </c>
      <c r="Q128" s="57" t="s">
        <v>639</v>
      </c>
      <c r="R128" s="57" t="s">
        <v>640</v>
      </c>
      <c r="S128" s="61" t="str">
        <f t="shared" ca="1" si="5"/>
        <v>EXECUTADA</v>
      </c>
    </row>
    <row r="129" spans="1:26" s="55" customFormat="1" ht="18" x14ac:dyDescent="0.25">
      <c r="A129" s="56" t="s">
        <v>2662</v>
      </c>
      <c r="B129" s="57" t="s">
        <v>27</v>
      </c>
      <c r="C129" s="58"/>
      <c r="D129" s="53" t="s">
        <v>641</v>
      </c>
      <c r="E129" s="57">
        <v>34999446071</v>
      </c>
      <c r="F129" s="59">
        <v>46128</v>
      </c>
      <c r="G129" s="51" t="str">
        <f t="shared" si="3"/>
        <v>Qui</v>
      </c>
      <c r="H129" s="60">
        <v>0.33333333333333331</v>
      </c>
      <c r="I129" s="57" t="s">
        <v>42</v>
      </c>
      <c r="J129" s="57" t="s">
        <v>526</v>
      </c>
      <c r="K129" s="57" t="s">
        <v>146</v>
      </c>
      <c r="L129" s="53" t="str">
        <f t="shared" si="4"/>
        <v>NÃO</v>
      </c>
      <c r="M129" s="57" t="s">
        <v>72</v>
      </c>
      <c r="N129" s="57" t="s">
        <v>89</v>
      </c>
      <c r="O129" s="57" t="s">
        <v>72</v>
      </c>
      <c r="P129" s="57" t="s">
        <v>72</v>
      </c>
      <c r="Q129" s="57" t="s">
        <v>527</v>
      </c>
      <c r="R129" s="57" t="s">
        <v>528</v>
      </c>
      <c r="S129" s="61" t="str">
        <f t="shared" ca="1" si="5"/>
        <v>EXECUTADA</v>
      </c>
    </row>
    <row r="130" spans="1:26" s="55" customFormat="1" ht="18" x14ac:dyDescent="0.25">
      <c r="A130" s="72" t="s">
        <v>642</v>
      </c>
      <c r="B130" s="57" t="s">
        <v>27</v>
      </c>
      <c r="C130" s="58"/>
      <c r="D130" s="53" t="s">
        <v>643</v>
      </c>
      <c r="E130" s="57">
        <v>34998132160</v>
      </c>
      <c r="F130" s="59">
        <v>46128</v>
      </c>
      <c r="G130" s="51" t="str">
        <f t="shared" ref="G130:G193" si="6">PROPER(TEXT(F130,"DDD"))</f>
        <v>Qui</v>
      </c>
      <c r="H130" s="60">
        <v>0.41666666666666669</v>
      </c>
      <c r="I130" s="57" t="s">
        <v>42</v>
      </c>
      <c r="J130" s="57" t="s">
        <v>644</v>
      </c>
      <c r="K130" s="57" t="s">
        <v>71</v>
      </c>
      <c r="L130" s="53" t="str">
        <f t="shared" ref="L130:L193" si="7">IF(B130="MUD END","NÃO","SIM")</f>
        <v>NÃO</v>
      </c>
      <c r="M130" s="57" t="s">
        <v>72</v>
      </c>
      <c r="N130" s="57" t="s">
        <v>89</v>
      </c>
      <c r="O130" s="57" t="s">
        <v>72</v>
      </c>
      <c r="P130" s="57" t="s">
        <v>72</v>
      </c>
      <c r="Q130" s="57" t="s">
        <v>645</v>
      </c>
      <c r="R130" s="57" t="s">
        <v>646</v>
      </c>
      <c r="S130" s="61" t="str">
        <f t="shared" ref="S130:S193" ca="1" si="8">IF(F130&lt;TODAY(),"EXECUTADA",IF(F130=TODAY(),"EM EXECUÇÃO",IF(F130=TODAY()+1,"VALIDAR HOJE",IF(F130&gt;TODAY()+1,"VALIDAR DEPOIS","-"))))</f>
        <v>EXECUTADA</v>
      </c>
    </row>
    <row r="131" spans="1:26" s="55" customFormat="1" ht="18" x14ac:dyDescent="0.25">
      <c r="A131" s="117" t="s">
        <v>647</v>
      </c>
      <c r="B131" s="57" t="s">
        <v>30</v>
      </c>
      <c r="C131" s="58"/>
      <c r="D131" s="53" t="s">
        <v>637</v>
      </c>
      <c r="E131" s="57">
        <v>34996842040</v>
      </c>
      <c r="F131" s="59">
        <v>46128</v>
      </c>
      <c r="G131" s="51" t="str">
        <f t="shared" si="6"/>
        <v>Qui</v>
      </c>
      <c r="H131" s="60">
        <v>0.41666666666666669</v>
      </c>
      <c r="I131" s="57" t="s">
        <v>46</v>
      </c>
      <c r="J131" s="57" t="s">
        <v>648</v>
      </c>
      <c r="K131" s="57" t="s">
        <v>94</v>
      </c>
      <c r="L131" s="53" t="str">
        <f t="shared" si="7"/>
        <v>SIM</v>
      </c>
      <c r="M131" s="57" t="s">
        <v>649</v>
      </c>
      <c r="N131" s="57" t="s">
        <v>79</v>
      </c>
      <c r="O131" s="57" t="s">
        <v>650</v>
      </c>
      <c r="P131" s="57">
        <v>34996970544</v>
      </c>
      <c r="Q131" s="57" t="s">
        <v>651</v>
      </c>
      <c r="R131" s="57" t="s">
        <v>652</v>
      </c>
      <c r="S131" s="61" t="str">
        <f t="shared" ca="1" si="8"/>
        <v>EXECUTADA</v>
      </c>
    </row>
    <row r="132" spans="1:26" s="55" customFormat="1" ht="18" x14ac:dyDescent="0.25">
      <c r="A132" s="56" t="s">
        <v>653</v>
      </c>
      <c r="B132" s="57" t="s">
        <v>30</v>
      </c>
      <c r="C132" s="58"/>
      <c r="D132" s="53" t="s">
        <v>608</v>
      </c>
      <c r="E132" s="57">
        <v>62992818287</v>
      </c>
      <c r="F132" s="59">
        <v>46128</v>
      </c>
      <c r="G132" s="51" t="str">
        <f t="shared" si="6"/>
        <v>Qui</v>
      </c>
      <c r="H132" s="60">
        <v>0.54166666666666663</v>
      </c>
      <c r="I132" s="57" t="s">
        <v>46</v>
      </c>
      <c r="J132" s="57" t="s">
        <v>654</v>
      </c>
      <c r="K132" s="57" t="s">
        <v>146</v>
      </c>
      <c r="L132" s="53" t="str">
        <f t="shared" si="7"/>
        <v>SIM</v>
      </c>
      <c r="M132" s="57" t="s">
        <v>655</v>
      </c>
      <c r="N132" s="57" t="s">
        <v>89</v>
      </c>
      <c r="O132" s="57" t="s">
        <v>72</v>
      </c>
      <c r="P132" s="57" t="s">
        <v>72</v>
      </c>
      <c r="Q132" s="57" t="s">
        <v>656</v>
      </c>
      <c r="R132" s="57" t="s">
        <v>657</v>
      </c>
      <c r="S132" s="61" t="str">
        <f t="shared" ca="1" si="8"/>
        <v>EXECUTADA</v>
      </c>
    </row>
    <row r="133" spans="1:26" s="55" customFormat="1" ht="18" x14ac:dyDescent="0.25">
      <c r="A133" s="70" t="s">
        <v>658</v>
      </c>
      <c r="B133" s="57" t="s">
        <v>30</v>
      </c>
      <c r="C133" s="58"/>
      <c r="D133" s="53" t="s">
        <v>659</v>
      </c>
      <c r="E133" s="57">
        <v>34984129667</v>
      </c>
      <c r="F133" s="59">
        <v>46128</v>
      </c>
      <c r="G133" s="51" t="str">
        <f t="shared" si="6"/>
        <v>Qui</v>
      </c>
      <c r="H133" s="60">
        <v>0.625</v>
      </c>
      <c r="I133" s="57" t="s">
        <v>46</v>
      </c>
      <c r="J133" s="57" t="s">
        <v>660</v>
      </c>
      <c r="K133" s="57" t="s">
        <v>139</v>
      </c>
      <c r="L133" s="53" t="str">
        <f t="shared" si="7"/>
        <v>SIM</v>
      </c>
      <c r="M133" s="57" t="s">
        <v>661</v>
      </c>
      <c r="N133" s="57" t="s">
        <v>89</v>
      </c>
      <c r="O133" s="57" t="s">
        <v>72</v>
      </c>
      <c r="P133" s="57" t="s">
        <v>72</v>
      </c>
      <c r="Q133" s="57" t="s">
        <v>662</v>
      </c>
      <c r="R133" s="57" t="s">
        <v>663</v>
      </c>
      <c r="S133" s="61" t="str">
        <f t="shared" ca="1" si="8"/>
        <v>EXECUTADA</v>
      </c>
    </row>
    <row r="134" spans="1:26" s="55" customFormat="1" ht="18" x14ac:dyDescent="0.25">
      <c r="A134" s="56" t="s">
        <v>664</v>
      </c>
      <c r="B134" s="57" t="s">
        <v>30</v>
      </c>
      <c r="C134" s="58"/>
      <c r="D134" s="53" t="s">
        <v>665</v>
      </c>
      <c r="E134" s="57">
        <v>34998971090</v>
      </c>
      <c r="F134" s="59">
        <v>46128</v>
      </c>
      <c r="G134" s="51" t="str">
        <f t="shared" si="6"/>
        <v>Qui</v>
      </c>
      <c r="H134" s="60">
        <v>0.70833333333333337</v>
      </c>
      <c r="I134" s="57" t="s">
        <v>46</v>
      </c>
      <c r="J134" s="57" t="s">
        <v>666</v>
      </c>
      <c r="K134" s="57" t="s">
        <v>139</v>
      </c>
      <c r="L134" s="53" t="str">
        <f t="shared" si="7"/>
        <v>SIM</v>
      </c>
      <c r="M134" s="57" t="s">
        <v>667</v>
      </c>
      <c r="N134" s="57" t="s">
        <v>89</v>
      </c>
      <c r="O134" s="57" t="s">
        <v>72</v>
      </c>
      <c r="P134" s="57" t="s">
        <v>72</v>
      </c>
      <c r="Q134" s="57" t="s">
        <v>668</v>
      </c>
      <c r="R134" s="57" t="s">
        <v>669</v>
      </c>
      <c r="S134" s="61" t="str">
        <f t="shared" ca="1" si="8"/>
        <v>EXECUTADA</v>
      </c>
    </row>
    <row r="135" spans="1:26" s="55" customFormat="1" ht="18" x14ac:dyDescent="0.25">
      <c r="A135" s="118" t="s">
        <v>670</v>
      </c>
      <c r="B135" s="57" t="s">
        <v>30</v>
      </c>
      <c r="C135" s="58"/>
      <c r="D135" s="53" t="s">
        <v>665</v>
      </c>
      <c r="E135" s="57">
        <v>34999724174</v>
      </c>
      <c r="F135" s="59">
        <v>46128</v>
      </c>
      <c r="G135" s="51" t="str">
        <f t="shared" si="6"/>
        <v>Qui</v>
      </c>
      <c r="H135" s="60">
        <v>0.70833333333333337</v>
      </c>
      <c r="I135" s="57" t="s">
        <v>46</v>
      </c>
      <c r="J135" s="57" t="s">
        <v>671</v>
      </c>
      <c r="K135" s="57" t="s">
        <v>139</v>
      </c>
      <c r="L135" s="53" t="str">
        <f t="shared" si="7"/>
        <v>SIM</v>
      </c>
      <c r="M135" s="57" t="s">
        <v>302</v>
      </c>
      <c r="N135" s="57" t="s">
        <v>89</v>
      </c>
      <c r="O135" s="57" t="s">
        <v>72</v>
      </c>
      <c r="P135" s="57" t="s">
        <v>72</v>
      </c>
      <c r="Q135" s="57" t="s">
        <v>672</v>
      </c>
      <c r="R135" s="57" t="s">
        <v>673</v>
      </c>
      <c r="S135" s="61" t="str">
        <f t="shared" ca="1" si="8"/>
        <v>EXECUTADA</v>
      </c>
      <c r="T135" s="45"/>
      <c r="U135" s="45"/>
      <c r="V135" s="45"/>
      <c r="W135" s="45"/>
      <c r="X135" s="45"/>
      <c r="Y135" s="45"/>
      <c r="Z135" s="45"/>
    </row>
    <row r="136" spans="1:26" s="55" customFormat="1" ht="18" x14ac:dyDescent="0.25">
      <c r="A136" s="56" t="s">
        <v>675</v>
      </c>
      <c r="B136" s="57" t="s">
        <v>30</v>
      </c>
      <c r="C136" s="58"/>
      <c r="D136" s="53" t="s">
        <v>85</v>
      </c>
      <c r="E136" s="57">
        <v>34999684184</v>
      </c>
      <c r="F136" s="59">
        <v>46128</v>
      </c>
      <c r="G136" s="51" t="str">
        <f t="shared" si="6"/>
        <v>Qui</v>
      </c>
      <c r="H136" s="60">
        <v>0.625</v>
      </c>
      <c r="I136" s="57" t="s">
        <v>46</v>
      </c>
      <c r="J136" s="57" t="s">
        <v>676</v>
      </c>
      <c r="K136" s="57" t="s">
        <v>132</v>
      </c>
      <c r="L136" s="53" t="str">
        <f t="shared" si="7"/>
        <v>SIM</v>
      </c>
      <c r="M136" s="57" t="s">
        <v>677</v>
      </c>
      <c r="N136" s="57" t="s">
        <v>89</v>
      </c>
      <c r="O136" s="57" t="s">
        <v>678</v>
      </c>
      <c r="P136" s="57">
        <v>34998595824</v>
      </c>
      <c r="Q136" s="57" t="s">
        <v>679</v>
      </c>
      <c r="R136" s="57" t="s">
        <v>680</v>
      </c>
      <c r="S136" s="61" t="str">
        <f t="shared" ca="1" si="8"/>
        <v>EXECUTADA</v>
      </c>
    </row>
    <row r="137" spans="1:26" s="55" customFormat="1" ht="18" x14ac:dyDescent="0.25">
      <c r="A137" s="100" t="s">
        <v>2671</v>
      </c>
      <c r="B137" s="57" t="s">
        <v>30</v>
      </c>
      <c r="C137" s="58"/>
      <c r="D137" s="53" t="s">
        <v>681</v>
      </c>
      <c r="E137" s="57">
        <v>34998613955</v>
      </c>
      <c r="F137" s="59">
        <v>46129</v>
      </c>
      <c r="G137" s="30" t="str">
        <f t="shared" si="6"/>
        <v>Sex</v>
      </c>
      <c r="H137" s="60">
        <v>0.33333333333333331</v>
      </c>
      <c r="I137" s="57" t="s">
        <v>46</v>
      </c>
      <c r="J137" s="57" t="s">
        <v>244</v>
      </c>
      <c r="K137" s="57" t="s">
        <v>146</v>
      </c>
      <c r="L137" s="53" t="str">
        <f t="shared" si="7"/>
        <v>SIM</v>
      </c>
      <c r="M137" s="57" t="s">
        <v>245</v>
      </c>
      <c r="N137" s="57" t="s">
        <v>89</v>
      </c>
      <c r="O137" s="57" t="s">
        <v>72</v>
      </c>
      <c r="P137" s="57" t="s">
        <v>72</v>
      </c>
      <c r="Q137" s="55" t="s">
        <v>246</v>
      </c>
      <c r="R137" s="57" t="s">
        <v>247</v>
      </c>
      <c r="S137" s="61" t="str">
        <f t="shared" ca="1" si="8"/>
        <v>EXECUTADA</v>
      </c>
    </row>
    <row r="138" spans="1:26" s="83" customFormat="1" ht="18" x14ac:dyDescent="0.25">
      <c r="A138" s="119" t="s">
        <v>2672</v>
      </c>
      <c r="B138" s="74" t="s">
        <v>30</v>
      </c>
      <c r="C138" s="75"/>
      <c r="D138" s="78" t="s">
        <v>682</v>
      </c>
      <c r="E138" s="74">
        <v>34999026932</v>
      </c>
      <c r="F138" s="92">
        <v>46129</v>
      </c>
      <c r="G138" s="93" t="str">
        <f t="shared" si="6"/>
        <v>Sex</v>
      </c>
      <c r="H138" s="77">
        <v>0.33333333333333331</v>
      </c>
      <c r="I138" s="74" t="s">
        <v>46</v>
      </c>
      <c r="J138" s="74" t="s">
        <v>683</v>
      </c>
      <c r="K138" s="74" t="s">
        <v>87</v>
      </c>
      <c r="L138" s="78" t="str">
        <f t="shared" si="7"/>
        <v>SIM</v>
      </c>
      <c r="M138" s="74" t="s">
        <v>684</v>
      </c>
      <c r="N138" s="74" t="s">
        <v>89</v>
      </c>
      <c r="O138" s="74" t="s">
        <v>72</v>
      </c>
      <c r="P138" s="74" t="s">
        <v>72</v>
      </c>
      <c r="Q138" s="74" t="s">
        <v>685</v>
      </c>
      <c r="R138" s="74" t="s">
        <v>686</v>
      </c>
      <c r="S138" s="79" t="str">
        <f t="shared" ca="1" si="8"/>
        <v>EXECUTADA</v>
      </c>
    </row>
    <row r="139" spans="1:26" s="55" customFormat="1" ht="18" x14ac:dyDescent="0.25">
      <c r="A139" s="120" t="s">
        <v>687</v>
      </c>
      <c r="B139" s="57" t="s">
        <v>30</v>
      </c>
      <c r="C139" s="58"/>
      <c r="D139" s="53" t="s">
        <v>688</v>
      </c>
      <c r="E139" s="57">
        <v>31988155405</v>
      </c>
      <c r="F139" s="59">
        <v>46129</v>
      </c>
      <c r="G139" s="51" t="str">
        <f t="shared" si="6"/>
        <v>Sex</v>
      </c>
      <c r="H139" s="60">
        <v>0.33333333333333331</v>
      </c>
      <c r="I139" s="57" t="s">
        <v>46</v>
      </c>
      <c r="J139" s="57" t="s">
        <v>689</v>
      </c>
      <c r="K139" s="57" t="s">
        <v>87</v>
      </c>
      <c r="L139" s="53" t="str">
        <f t="shared" si="7"/>
        <v>SIM</v>
      </c>
      <c r="M139" s="57" t="s">
        <v>690</v>
      </c>
      <c r="N139" s="57" t="s">
        <v>89</v>
      </c>
      <c r="O139" s="57" t="s">
        <v>72</v>
      </c>
      <c r="P139" s="57" t="s">
        <v>72</v>
      </c>
      <c r="Q139" s="57" t="s">
        <v>691</v>
      </c>
      <c r="R139" s="57" t="s">
        <v>692</v>
      </c>
      <c r="S139" s="61" t="str">
        <f t="shared" ca="1" si="8"/>
        <v>EXECUTADA</v>
      </c>
    </row>
    <row r="140" spans="1:26" s="55" customFormat="1" ht="18" x14ac:dyDescent="0.25">
      <c r="A140" s="56" t="s">
        <v>2673</v>
      </c>
      <c r="B140" s="57" t="s">
        <v>30</v>
      </c>
      <c r="C140" s="58"/>
      <c r="D140" s="53" t="s">
        <v>693</v>
      </c>
      <c r="E140" s="57" t="s">
        <v>694</v>
      </c>
      <c r="F140" s="59">
        <v>46129</v>
      </c>
      <c r="G140" s="51" t="str">
        <f t="shared" si="6"/>
        <v>Sex</v>
      </c>
      <c r="H140" s="60">
        <v>0.41666666666666669</v>
      </c>
      <c r="I140" s="57" t="s">
        <v>46</v>
      </c>
      <c r="J140" s="57" t="s">
        <v>695</v>
      </c>
      <c r="K140" s="57" t="s">
        <v>146</v>
      </c>
      <c r="L140" s="53" t="str">
        <f t="shared" si="7"/>
        <v>SIM</v>
      </c>
      <c r="M140" s="57" t="s">
        <v>696</v>
      </c>
      <c r="N140" s="57" t="s">
        <v>79</v>
      </c>
      <c r="O140" s="57" t="s">
        <v>697</v>
      </c>
      <c r="P140" s="57">
        <v>3484183511</v>
      </c>
      <c r="Q140" s="57" t="s">
        <v>698</v>
      </c>
      <c r="R140" s="57" t="s">
        <v>699</v>
      </c>
      <c r="S140" s="61" t="str">
        <f t="shared" ca="1" si="8"/>
        <v>EXECUTADA</v>
      </c>
    </row>
    <row r="141" spans="1:26" s="55" customFormat="1" ht="18" x14ac:dyDescent="0.25">
      <c r="A141" s="56" t="s">
        <v>700</v>
      </c>
      <c r="B141" s="57" t="s">
        <v>27</v>
      </c>
      <c r="C141" s="58"/>
      <c r="D141" s="53" t="s">
        <v>693</v>
      </c>
      <c r="E141" s="57">
        <v>34992537163</v>
      </c>
      <c r="F141" s="59">
        <v>46129</v>
      </c>
      <c r="G141" s="51" t="str">
        <f t="shared" si="6"/>
        <v>Sex</v>
      </c>
      <c r="H141" s="60">
        <v>0.41666666666666669</v>
      </c>
      <c r="I141" s="57" t="s">
        <v>42</v>
      </c>
      <c r="J141" s="57" t="s">
        <v>701</v>
      </c>
      <c r="K141" s="57" t="s">
        <v>702</v>
      </c>
      <c r="L141" s="53" t="str">
        <f t="shared" si="7"/>
        <v>NÃO</v>
      </c>
      <c r="M141" s="57" t="s">
        <v>72</v>
      </c>
      <c r="N141" s="57" t="s">
        <v>338</v>
      </c>
      <c r="O141" s="57" t="s">
        <v>72</v>
      </c>
      <c r="P141" s="57" t="s">
        <v>72</v>
      </c>
      <c r="Q141" s="57" t="s">
        <v>703</v>
      </c>
      <c r="R141" s="57" t="s">
        <v>704</v>
      </c>
      <c r="S141" s="61" t="str">
        <f t="shared" ca="1" si="8"/>
        <v>EXECUTADA</v>
      </c>
    </row>
    <row r="142" spans="1:26" s="55" customFormat="1" ht="18" x14ac:dyDescent="0.25">
      <c r="A142" s="56" t="s">
        <v>705</v>
      </c>
      <c r="B142" s="57" t="s">
        <v>27</v>
      </c>
      <c r="C142" s="58"/>
      <c r="D142" s="53" t="s">
        <v>706</v>
      </c>
      <c r="E142" s="57">
        <v>77959614542</v>
      </c>
      <c r="F142" s="59">
        <v>46129</v>
      </c>
      <c r="G142" s="51" t="str">
        <f t="shared" si="6"/>
        <v>Sex</v>
      </c>
      <c r="H142" s="60">
        <v>0.54166666666666663</v>
      </c>
      <c r="I142" s="57" t="s">
        <v>38</v>
      </c>
      <c r="J142" s="57" t="s">
        <v>707</v>
      </c>
      <c r="K142" s="57" t="s">
        <v>87</v>
      </c>
      <c r="L142" s="53" t="str">
        <f t="shared" si="7"/>
        <v>NÃO</v>
      </c>
      <c r="M142" s="57" t="s">
        <v>72</v>
      </c>
      <c r="N142" s="57" t="s">
        <v>708</v>
      </c>
      <c r="O142" s="57" t="s">
        <v>709</v>
      </c>
      <c r="P142" s="57" t="s">
        <v>710</v>
      </c>
      <c r="Q142" s="57" t="s">
        <v>711</v>
      </c>
      <c r="R142" s="57" t="s">
        <v>712</v>
      </c>
      <c r="S142" s="61" t="str">
        <f t="shared" ca="1" si="8"/>
        <v>EXECUTADA</v>
      </c>
    </row>
    <row r="143" spans="1:26" s="55" customFormat="1" ht="18" x14ac:dyDescent="0.25">
      <c r="A143" s="56" t="s">
        <v>713</v>
      </c>
      <c r="B143" s="57" t="s">
        <v>27</v>
      </c>
      <c r="C143" s="58"/>
      <c r="D143" s="53" t="s">
        <v>714</v>
      </c>
      <c r="E143" s="57">
        <v>17981907445</v>
      </c>
      <c r="F143" s="59">
        <v>46129</v>
      </c>
      <c r="G143" s="51" t="str">
        <f t="shared" si="6"/>
        <v>Sex</v>
      </c>
      <c r="H143" s="60">
        <v>0.54166666666666663</v>
      </c>
      <c r="I143" s="57" t="s">
        <v>35</v>
      </c>
      <c r="J143" s="57" t="s">
        <v>715</v>
      </c>
      <c r="K143" s="57" t="s">
        <v>71</v>
      </c>
      <c r="L143" s="53" t="str">
        <f t="shared" si="7"/>
        <v>NÃO</v>
      </c>
      <c r="M143" s="57" t="s">
        <v>72</v>
      </c>
      <c r="N143" s="57" t="s">
        <v>72</v>
      </c>
      <c r="O143" s="57" t="s">
        <v>72</v>
      </c>
      <c r="P143" s="57" t="s">
        <v>72</v>
      </c>
      <c r="Q143" s="57" t="s">
        <v>716</v>
      </c>
      <c r="R143" s="57" t="s">
        <v>717</v>
      </c>
      <c r="S143" s="61" t="str">
        <f t="shared" ca="1" si="8"/>
        <v>EXECUTADA</v>
      </c>
    </row>
    <row r="144" spans="1:26" s="55" customFormat="1" ht="18" x14ac:dyDescent="0.25">
      <c r="A144" s="56" t="s">
        <v>2674</v>
      </c>
      <c r="B144" s="57" t="s">
        <v>27</v>
      </c>
      <c r="C144" s="58"/>
      <c r="D144" s="53" t="s">
        <v>693</v>
      </c>
      <c r="E144" s="57">
        <v>34999912308</v>
      </c>
      <c r="F144" s="59">
        <v>46129</v>
      </c>
      <c r="G144" s="51" t="str">
        <f t="shared" si="6"/>
        <v>Sex</v>
      </c>
      <c r="H144" s="60">
        <v>0.625</v>
      </c>
      <c r="I144" s="57" t="s">
        <v>42</v>
      </c>
      <c r="J144" s="57" t="s">
        <v>718</v>
      </c>
      <c r="K144" s="57" t="s">
        <v>87</v>
      </c>
      <c r="L144" s="53" t="str">
        <f t="shared" si="7"/>
        <v>NÃO</v>
      </c>
      <c r="M144" s="57" t="s">
        <v>72</v>
      </c>
      <c r="N144" s="57" t="s">
        <v>72</v>
      </c>
      <c r="O144" s="57" t="s">
        <v>72</v>
      </c>
      <c r="P144" s="57" t="s">
        <v>72</v>
      </c>
      <c r="Q144" s="57" t="s">
        <v>719</v>
      </c>
      <c r="R144" s="57" t="s">
        <v>720</v>
      </c>
      <c r="S144" s="61" t="str">
        <f t="shared" ca="1" si="8"/>
        <v>EXECUTADA</v>
      </c>
    </row>
    <row r="145" spans="1:19" s="83" customFormat="1" ht="18" x14ac:dyDescent="0.25">
      <c r="A145" s="85" t="s">
        <v>721</v>
      </c>
      <c r="B145" s="74" t="s">
        <v>27</v>
      </c>
      <c r="C145" s="75"/>
      <c r="D145" s="78" t="s">
        <v>722</v>
      </c>
      <c r="E145" s="74">
        <v>34991281144</v>
      </c>
      <c r="F145" s="92">
        <v>46129</v>
      </c>
      <c r="G145" s="93" t="str">
        <f t="shared" si="6"/>
        <v>Sex</v>
      </c>
      <c r="H145" s="77">
        <v>0.625</v>
      </c>
      <c r="I145" s="74" t="s">
        <v>35</v>
      </c>
      <c r="J145" s="74" t="s">
        <v>723</v>
      </c>
      <c r="K145" s="74" t="s">
        <v>132</v>
      </c>
      <c r="L145" s="78" t="str">
        <f t="shared" si="7"/>
        <v>NÃO</v>
      </c>
      <c r="M145" s="74"/>
      <c r="N145" s="74"/>
      <c r="O145" s="74"/>
      <c r="P145" s="74"/>
      <c r="Q145" s="74"/>
      <c r="R145" s="74"/>
      <c r="S145" s="79" t="str">
        <f t="shared" ca="1" si="8"/>
        <v>EXECUTADA</v>
      </c>
    </row>
    <row r="146" spans="1:19" s="55" customFormat="1" ht="18" x14ac:dyDescent="0.25">
      <c r="A146" s="56" t="s">
        <v>2675</v>
      </c>
      <c r="B146" s="57" t="s">
        <v>30</v>
      </c>
      <c r="C146" s="58"/>
      <c r="D146" s="53" t="s">
        <v>724</v>
      </c>
      <c r="E146" s="57">
        <v>34984444439</v>
      </c>
      <c r="F146" s="59">
        <v>46129</v>
      </c>
      <c r="G146" s="51" t="str">
        <f t="shared" si="6"/>
        <v>Sex</v>
      </c>
      <c r="H146" s="60">
        <v>0.70833333333333337</v>
      </c>
      <c r="I146" s="57" t="s">
        <v>46</v>
      </c>
      <c r="J146" s="57" t="s">
        <v>725</v>
      </c>
      <c r="K146" s="57" t="s">
        <v>107</v>
      </c>
      <c r="L146" s="53" t="str">
        <f t="shared" si="7"/>
        <v>SIM</v>
      </c>
      <c r="M146" s="57" t="s">
        <v>726</v>
      </c>
      <c r="N146" s="57" t="s">
        <v>79</v>
      </c>
      <c r="O146" s="57" t="s">
        <v>727</v>
      </c>
      <c r="P146" s="57">
        <v>34984286934</v>
      </c>
      <c r="Q146" s="57"/>
      <c r="R146" s="57"/>
      <c r="S146" s="61" t="str">
        <f t="shared" ca="1" si="8"/>
        <v>EXECUTADA</v>
      </c>
    </row>
    <row r="147" spans="1:19" s="55" customFormat="1" ht="18" x14ac:dyDescent="0.25">
      <c r="A147" s="56" t="s">
        <v>728</v>
      </c>
      <c r="B147" s="57" t="s">
        <v>27</v>
      </c>
      <c r="C147" s="58"/>
      <c r="D147" s="53" t="s">
        <v>693</v>
      </c>
      <c r="E147" s="57">
        <v>34999893554</v>
      </c>
      <c r="F147" s="59">
        <v>46129</v>
      </c>
      <c r="G147" s="51" t="str">
        <f t="shared" si="6"/>
        <v>Sex</v>
      </c>
      <c r="H147" s="60">
        <v>0.70833333333333337</v>
      </c>
      <c r="I147" s="57" t="s">
        <v>729</v>
      </c>
      <c r="J147" s="57" t="s">
        <v>730</v>
      </c>
      <c r="K147" s="57" t="s">
        <v>87</v>
      </c>
      <c r="L147" s="53" t="str">
        <f t="shared" si="7"/>
        <v>NÃO</v>
      </c>
      <c r="M147" s="57" t="s">
        <v>72</v>
      </c>
      <c r="N147" s="57" t="s">
        <v>338</v>
      </c>
      <c r="O147" s="57" t="s">
        <v>72</v>
      </c>
      <c r="P147" s="57" t="s">
        <v>72</v>
      </c>
      <c r="Q147" s="57" t="s">
        <v>731</v>
      </c>
      <c r="R147" s="57" t="s">
        <v>732</v>
      </c>
      <c r="S147" s="61" t="str">
        <f t="shared" ca="1" si="8"/>
        <v>EXECUTADA</v>
      </c>
    </row>
    <row r="148" spans="1:19" s="55" customFormat="1" ht="18" x14ac:dyDescent="0.25">
      <c r="A148" s="120" t="s">
        <v>733</v>
      </c>
      <c r="B148" s="57" t="s">
        <v>27</v>
      </c>
      <c r="C148" s="58"/>
      <c r="D148" s="53" t="s">
        <v>693</v>
      </c>
      <c r="E148" s="57">
        <v>34998423947</v>
      </c>
      <c r="F148" s="59">
        <v>46130</v>
      </c>
      <c r="G148" s="51" t="str">
        <f t="shared" si="6"/>
        <v>Sáb</v>
      </c>
      <c r="H148" s="60">
        <v>0.33333333333333331</v>
      </c>
      <c r="I148" s="57" t="s">
        <v>729</v>
      </c>
      <c r="J148" s="57" t="s">
        <v>734</v>
      </c>
      <c r="K148" s="57" t="s">
        <v>71</v>
      </c>
      <c r="L148" s="53" t="str">
        <f t="shared" si="7"/>
        <v>NÃO</v>
      </c>
      <c r="M148" s="57" t="s">
        <v>72</v>
      </c>
      <c r="N148" s="57" t="s">
        <v>338</v>
      </c>
      <c r="O148" s="57" t="s">
        <v>72</v>
      </c>
      <c r="P148" s="57" t="s">
        <v>72</v>
      </c>
      <c r="Q148" s="57" t="s">
        <v>735</v>
      </c>
      <c r="R148" s="57" t="s">
        <v>736</v>
      </c>
      <c r="S148" s="61" t="str">
        <f t="shared" ca="1" si="8"/>
        <v>EXECUTADA</v>
      </c>
    </row>
    <row r="149" spans="1:19" s="55" customFormat="1" ht="18" x14ac:dyDescent="0.25">
      <c r="A149" s="100" t="s">
        <v>2676</v>
      </c>
      <c r="B149" s="57" t="s">
        <v>30</v>
      </c>
      <c r="C149" s="58"/>
      <c r="D149" s="53" t="s">
        <v>693</v>
      </c>
      <c r="E149" s="57">
        <v>34999994457</v>
      </c>
      <c r="F149" s="59">
        <v>46130</v>
      </c>
      <c r="G149" s="51" t="str">
        <f t="shared" si="6"/>
        <v>Sáb</v>
      </c>
      <c r="H149" s="60">
        <v>0.33333333333333331</v>
      </c>
      <c r="I149" s="57" t="s">
        <v>46</v>
      </c>
      <c r="J149" s="57" t="s">
        <v>737</v>
      </c>
      <c r="K149" s="57" t="s">
        <v>146</v>
      </c>
      <c r="L149" s="53" t="str">
        <f t="shared" si="7"/>
        <v>SIM</v>
      </c>
      <c r="M149" s="57" t="s">
        <v>738</v>
      </c>
      <c r="N149" s="57" t="s">
        <v>338</v>
      </c>
      <c r="O149" s="57" t="s">
        <v>72</v>
      </c>
      <c r="P149" s="57" t="s">
        <v>72</v>
      </c>
      <c r="Q149" s="57" t="s">
        <v>739</v>
      </c>
      <c r="R149" s="57" t="s">
        <v>740</v>
      </c>
      <c r="S149" s="61" t="str">
        <f t="shared" ca="1" si="8"/>
        <v>EXECUTADA</v>
      </c>
    </row>
    <row r="150" spans="1:19" s="55" customFormat="1" ht="18" x14ac:dyDescent="0.25">
      <c r="A150" s="56" t="s">
        <v>741</v>
      </c>
      <c r="B150" s="57" t="s">
        <v>27</v>
      </c>
      <c r="C150" s="58"/>
      <c r="D150" s="53" t="s">
        <v>693</v>
      </c>
      <c r="E150" s="57">
        <v>34996545289</v>
      </c>
      <c r="F150" s="59">
        <v>46130</v>
      </c>
      <c r="G150" s="51" t="str">
        <f t="shared" si="6"/>
        <v>Sáb</v>
      </c>
      <c r="H150" s="60">
        <v>0.41666666666666669</v>
      </c>
      <c r="I150" s="57" t="s">
        <v>742</v>
      </c>
      <c r="J150" s="57" t="s">
        <v>743</v>
      </c>
      <c r="K150" s="57" t="s">
        <v>71</v>
      </c>
      <c r="L150" s="53" t="str">
        <f t="shared" si="7"/>
        <v>NÃO</v>
      </c>
      <c r="M150" s="57" t="s">
        <v>72</v>
      </c>
      <c r="N150" s="57" t="s">
        <v>72</v>
      </c>
      <c r="O150" s="57" t="s">
        <v>72</v>
      </c>
      <c r="P150" s="57" t="s">
        <v>72</v>
      </c>
      <c r="Q150" s="57" t="s">
        <v>744</v>
      </c>
      <c r="R150" s="57" t="s">
        <v>745</v>
      </c>
      <c r="S150" s="61" t="str">
        <f t="shared" ca="1" si="8"/>
        <v>EXECUTADA</v>
      </c>
    </row>
    <row r="151" spans="1:19" s="55" customFormat="1" ht="18" x14ac:dyDescent="0.25">
      <c r="A151" s="56" t="s">
        <v>2677</v>
      </c>
      <c r="B151" s="57" t="s">
        <v>27</v>
      </c>
      <c r="C151" s="58"/>
      <c r="D151" s="53" t="s">
        <v>693</v>
      </c>
      <c r="E151" s="57">
        <v>34999633140</v>
      </c>
      <c r="F151" s="59">
        <v>46130</v>
      </c>
      <c r="G151" s="51" t="str">
        <f t="shared" si="6"/>
        <v>Sáb</v>
      </c>
      <c r="H151" s="60">
        <v>0.41666666666666669</v>
      </c>
      <c r="I151" s="57" t="s">
        <v>742</v>
      </c>
      <c r="J151" s="57" t="s">
        <v>746</v>
      </c>
      <c r="K151" s="57" t="s">
        <v>87</v>
      </c>
      <c r="L151" s="53" t="str">
        <f t="shared" si="7"/>
        <v>NÃO</v>
      </c>
      <c r="M151" s="57" t="s">
        <v>72</v>
      </c>
      <c r="N151" s="57" t="s">
        <v>79</v>
      </c>
      <c r="O151" s="57" t="s">
        <v>747</v>
      </c>
      <c r="P151" s="55" t="s">
        <v>748</v>
      </c>
      <c r="Q151" s="57" t="s">
        <v>749</v>
      </c>
      <c r="R151" s="57" t="s">
        <v>750</v>
      </c>
      <c r="S151" s="61" t="str">
        <f t="shared" ca="1" si="8"/>
        <v>EXECUTADA</v>
      </c>
    </row>
    <row r="152" spans="1:19" s="55" customFormat="1" ht="18" x14ac:dyDescent="0.25">
      <c r="A152" s="56" t="s">
        <v>751</v>
      </c>
      <c r="B152" s="57" t="s">
        <v>30</v>
      </c>
      <c r="C152" s="58"/>
      <c r="D152" s="53" t="s">
        <v>693</v>
      </c>
      <c r="E152" s="57">
        <v>34984043481</v>
      </c>
      <c r="F152" s="59">
        <v>46130</v>
      </c>
      <c r="G152" s="51" t="str">
        <f t="shared" si="6"/>
        <v>Sáb</v>
      </c>
      <c r="H152" s="60" t="s">
        <v>183</v>
      </c>
      <c r="I152" s="57" t="s">
        <v>752</v>
      </c>
      <c r="J152" s="57" t="s">
        <v>753</v>
      </c>
      <c r="K152" s="57" t="s">
        <v>100</v>
      </c>
      <c r="L152" s="53" t="str">
        <f t="shared" si="7"/>
        <v>SIM</v>
      </c>
      <c r="M152" s="57" t="s">
        <v>754</v>
      </c>
      <c r="N152" s="57" t="s">
        <v>72</v>
      </c>
      <c r="O152" s="57" t="s">
        <v>72</v>
      </c>
      <c r="P152" s="57" t="s">
        <v>72</v>
      </c>
      <c r="Q152" s="57" t="s">
        <v>755</v>
      </c>
      <c r="R152" s="57" t="s">
        <v>756</v>
      </c>
      <c r="S152" s="61" t="str">
        <f t="shared" ca="1" si="8"/>
        <v>EXECUTADA</v>
      </c>
    </row>
    <row r="153" spans="1:19" s="55" customFormat="1" ht="18" x14ac:dyDescent="0.25">
      <c r="A153" s="56" t="s">
        <v>2678</v>
      </c>
      <c r="B153" s="57" t="s">
        <v>27</v>
      </c>
      <c r="C153" s="58"/>
      <c r="D153" s="53" t="s">
        <v>693</v>
      </c>
      <c r="E153" s="57">
        <v>34999159851</v>
      </c>
      <c r="F153" s="59">
        <v>46130</v>
      </c>
      <c r="G153" s="51" t="str">
        <f t="shared" si="6"/>
        <v>Sáb</v>
      </c>
      <c r="H153" s="60" t="s">
        <v>183</v>
      </c>
      <c r="I153" s="57" t="s">
        <v>757</v>
      </c>
      <c r="J153" s="57" t="s">
        <v>758</v>
      </c>
      <c r="K153" s="57" t="s">
        <v>132</v>
      </c>
      <c r="L153" s="53" t="str">
        <f t="shared" si="7"/>
        <v>NÃO</v>
      </c>
      <c r="M153" s="57" t="s">
        <v>72</v>
      </c>
      <c r="N153" s="57" t="s">
        <v>72</v>
      </c>
      <c r="O153" s="57" t="s">
        <v>72</v>
      </c>
      <c r="P153" s="57" t="s">
        <v>72</v>
      </c>
      <c r="Q153" s="57" t="s">
        <v>759</v>
      </c>
      <c r="R153" s="57"/>
      <c r="S153" s="61" t="str">
        <f t="shared" ca="1" si="8"/>
        <v>EXECUTADA</v>
      </c>
    </row>
    <row r="154" spans="1:19" s="55" customFormat="1" ht="18" x14ac:dyDescent="0.25">
      <c r="A154" s="72" t="s">
        <v>760</v>
      </c>
      <c r="B154" s="57" t="s">
        <v>30</v>
      </c>
      <c r="C154" s="58"/>
      <c r="D154" s="53" t="s">
        <v>693</v>
      </c>
      <c r="E154" s="57">
        <v>34991196693</v>
      </c>
      <c r="F154" s="59">
        <v>46132</v>
      </c>
      <c r="G154" s="51" t="str">
        <f t="shared" si="6"/>
        <v>Seg</v>
      </c>
      <c r="H154" s="60">
        <v>0.33333333333333331</v>
      </c>
      <c r="I154" s="57" t="s">
        <v>42</v>
      </c>
      <c r="J154" s="57" t="s">
        <v>761</v>
      </c>
      <c r="K154" s="57" t="s">
        <v>762</v>
      </c>
      <c r="L154" s="53" t="str">
        <f t="shared" si="7"/>
        <v>SIM</v>
      </c>
      <c r="M154" s="57" t="s">
        <v>763</v>
      </c>
      <c r="N154" s="57" t="s">
        <v>89</v>
      </c>
      <c r="O154" s="57" t="s">
        <v>72</v>
      </c>
      <c r="P154" s="57" t="s">
        <v>72</v>
      </c>
      <c r="Q154" s="57" t="s">
        <v>764</v>
      </c>
      <c r="R154" s="57" t="s">
        <v>765</v>
      </c>
      <c r="S154" s="61" t="str">
        <f t="shared" ca="1" si="8"/>
        <v>EXECUTADA</v>
      </c>
    </row>
    <row r="155" spans="1:19" s="55" customFormat="1" ht="18" x14ac:dyDescent="0.25">
      <c r="A155" s="72" t="s">
        <v>766</v>
      </c>
      <c r="B155" s="57" t="s">
        <v>30</v>
      </c>
      <c r="C155" s="58"/>
      <c r="D155" s="53" t="s">
        <v>693</v>
      </c>
      <c r="E155" s="57">
        <v>34998433248</v>
      </c>
      <c r="F155" s="59">
        <v>46132</v>
      </c>
      <c r="G155" s="51" t="str">
        <f t="shared" si="6"/>
        <v>Seg</v>
      </c>
      <c r="H155" s="60">
        <v>0.33333333333333331</v>
      </c>
      <c r="I155" s="57" t="s">
        <v>46</v>
      </c>
      <c r="J155" s="57" t="s">
        <v>767</v>
      </c>
      <c r="K155" s="57" t="s">
        <v>146</v>
      </c>
      <c r="L155" s="53" t="str">
        <f t="shared" si="7"/>
        <v>SIM</v>
      </c>
      <c r="M155" s="57" t="s">
        <v>768</v>
      </c>
      <c r="N155" s="57" t="s">
        <v>89</v>
      </c>
      <c r="O155" s="57" t="s">
        <v>72</v>
      </c>
      <c r="P155" s="57" t="s">
        <v>72</v>
      </c>
      <c r="Q155" s="57" t="s">
        <v>769</v>
      </c>
      <c r="R155" s="57" t="s">
        <v>770</v>
      </c>
      <c r="S155" s="61" t="str">
        <f t="shared" ca="1" si="8"/>
        <v>EXECUTADA</v>
      </c>
    </row>
    <row r="156" spans="1:19" s="55" customFormat="1" ht="18" x14ac:dyDescent="0.25">
      <c r="A156" s="72" t="s">
        <v>771</v>
      </c>
      <c r="B156" s="57" t="s">
        <v>27</v>
      </c>
      <c r="C156" s="58"/>
      <c r="D156" s="53" t="s">
        <v>693</v>
      </c>
      <c r="E156" s="57">
        <v>34991920987</v>
      </c>
      <c r="F156" s="59">
        <v>46132</v>
      </c>
      <c r="G156" s="51" t="str">
        <f t="shared" si="6"/>
        <v>Seg</v>
      </c>
      <c r="H156" s="60">
        <v>0.41666666666666669</v>
      </c>
      <c r="I156" s="57" t="s">
        <v>772</v>
      </c>
      <c r="J156" s="57" t="s">
        <v>773</v>
      </c>
      <c r="K156" s="57" t="s">
        <v>107</v>
      </c>
      <c r="L156" s="53" t="str">
        <f t="shared" si="7"/>
        <v>NÃO</v>
      </c>
      <c r="M156" s="57" t="s">
        <v>72</v>
      </c>
      <c r="N156" s="57" t="s">
        <v>89</v>
      </c>
      <c r="O156" s="57" t="s">
        <v>72</v>
      </c>
      <c r="P156" s="57" t="s">
        <v>72</v>
      </c>
      <c r="Q156" s="57" t="s">
        <v>774</v>
      </c>
      <c r="R156" s="57" t="s">
        <v>775</v>
      </c>
      <c r="S156" s="61" t="str">
        <f t="shared" ca="1" si="8"/>
        <v>EXECUTADA</v>
      </c>
    </row>
    <row r="157" spans="1:19" s="55" customFormat="1" ht="18" x14ac:dyDescent="0.25">
      <c r="A157" s="72" t="s">
        <v>776</v>
      </c>
      <c r="B157" s="57" t="s">
        <v>27</v>
      </c>
      <c r="C157" s="58"/>
      <c r="D157" s="53" t="s">
        <v>693</v>
      </c>
      <c r="E157" s="57">
        <v>34991830058</v>
      </c>
      <c r="F157" s="59">
        <v>46132</v>
      </c>
      <c r="G157" s="51" t="str">
        <f t="shared" si="6"/>
        <v>Seg</v>
      </c>
      <c r="H157" s="60">
        <v>0.41666666666666669</v>
      </c>
      <c r="I157" s="57" t="s">
        <v>35</v>
      </c>
      <c r="J157" s="57" t="s">
        <v>581</v>
      </c>
      <c r="K157" s="57" t="s">
        <v>71</v>
      </c>
      <c r="L157" s="53" t="str">
        <f t="shared" si="7"/>
        <v>NÃO</v>
      </c>
      <c r="M157" s="57" t="s">
        <v>72</v>
      </c>
      <c r="N157" s="57" t="s">
        <v>79</v>
      </c>
      <c r="O157" s="57" t="s">
        <v>777</v>
      </c>
      <c r="P157" s="57">
        <v>34991253807</v>
      </c>
      <c r="Q157" s="57" t="s">
        <v>583</v>
      </c>
      <c r="R157" s="57" t="s">
        <v>778</v>
      </c>
      <c r="S157" s="61" t="str">
        <f t="shared" ca="1" si="8"/>
        <v>EXECUTADA</v>
      </c>
    </row>
    <row r="158" spans="1:19" s="55" customFormat="1" ht="18" x14ac:dyDescent="0.25">
      <c r="A158" s="72" t="s">
        <v>779</v>
      </c>
      <c r="B158" s="57" t="s">
        <v>30</v>
      </c>
      <c r="C158" s="58"/>
      <c r="D158" s="53" t="s">
        <v>693</v>
      </c>
      <c r="E158" s="57">
        <v>34988016036</v>
      </c>
      <c r="F158" s="59">
        <v>46132</v>
      </c>
      <c r="G158" s="51" t="str">
        <f t="shared" si="6"/>
        <v>Seg</v>
      </c>
      <c r="H158" s="60">
        <v>0.54166666666666663</v>
      </c>
      <c r="I158" s="57" t="s">
        <v>46</v>
      </c>
      <c r="J158" s="57" t="s">
        <v>780</v>
      </c>
      <c r="K158" s="57" t="s">
        <v>781</v>
      </c>
      <c r="L158" s="53" t="str">
        <f t="shared" si="7"/>
        <v>SIM</v>
      </c>
      <c r="M158" s="57" t="s">
        <v>782</v>
      </c>
      <c r="N158" s="57" t="s">
        <v>338</v>
      </c>
      <c r="O158" s="57" t="s">
        <v>72</v>
      </c>
      <c r="P158" s="57" t="s">
        <v>72</v>
      </c>
      <c r="Q158" s="57" t="s">
        <v>783</v>
      </c>
      <c r="R158" s="57" t="s">
        <v>784</v>
      </c>
      <c r="S158" s="61" t="str">
        <f t="shared" ca="1" si="8"/>
        <v>EXECUTADA</v>
      </c>
    </row>
    <row r="159" spans="1:19" s="55" customFormat="1" ht="18" x14ac:dyDescent="0.25">
      <c r="A159" s="56" t="s">
        <v>785</v>
      </c>
      <c r="B159" s="57" t="s">
        <v>30</v>
      </c>
      <c r="C159" s="58"/>
      <c r="D159" s="53" t="s">
        <v>693</v>
      </c>
      <c r="E159" s="57">
        <v>34999858363</v>
      </c>
      <c r="F159" s="59">
        <v>46132</v>
      </c>
      <c r="G159" s="51" t="str">
        <f t="shared" si="6"/>
        <v>Seg</v>
      </c>
      <c r="H159" s="60">
        <v>0.54166666666666663</v>
      </c>
      <c r="I159" s="57" t="s">
        <v>46</v>
      </c>
      <c r="J159" s="57" t="s">
        <v>786</v>
      </c>
      <c r="K159" s="57" t="s">
        <v>781</v>
      </c>
      <c r="L159" s="53" t="str">
        <f t="shared" si="7"/>
        <v>SIM</v>
      </c>
      <c r="M159" s="57" t="s">
        <v>787</v>
      </c>
      <c r="N159" s="57" t="s">
        <v>338</v>
      </c>
      <c r="O159" s="57" t="s">
        <v>72</v>
      </c>
      <c r="P159" s="57" t="s">
        <v>72</v>
      </c>
      <c r="Q159" s="57" t="s">
        <v>788</v>
      </c>
      <c r="R159" s="57" t="s">
        <v>789</v>
      </c>
      <c r="S159" s="61" t="str">
        <f t="shared" ca="1" si="8"/>
        <v>EXECUTADA</v>
      </c>
    </row>
    <row r="160" spans="1:19" s="55" customFormat="1" ht="18" x14ac:dyDescent="0.25">
      <c r="A160" s="72" t="s">
        <v>790</v>
      </c>
      <c r="B160" s="57" t="s">
        <v>27</v>
      </c>
      <c r="C160" s="58"/>
      <c r="D160" s="53" t="s">
        <v>693</v>
      </c>
      <c r="E160" s="57">
        <v>34988092452</v>
      </c>
      <c r="F160" s="59">
        <v>46132</v>
      </c>
      <c r="G160" s="51" t="str">
        <f t="shared" si="6"/>
        <v>Seg</v>
      </c>
      <c r="H160" s="60">
        <v>0.625</v>
      </c>
      <c r="I160" s="57" t="s">
        <v>35</v>
      </c>
      <c r="J160" s="57" t="s">
        <v>791</v>
      </c>
      <c r="K160" s="57" t="s">
        <v>132</v>
      </c>
      <c r="L160" s="53" t="str">
        <f t="shared" si="7"/>
        <v>NÃO</v>
      </c>
      <c r="M160" s="57" t="s">
        <v>72</v>
      </c>
      <c r="N160" s="57" t="s">
        <v>79</v>
      </c>
      <c r="O160" s="57" t="s">
        <v>792</v>
      </c>
      <c r="P160" s="57" t="s">
        <v>793</v>
      </c>
      <c r="Q160" s="57" t="s">
        <v>794</v>
      </c>
      <c r="R160" s="57" t="s">
        <v>795</v>
      </c>
      <c r="S160" s="61" t="str">
        <f t="shared" ca="1" si="8"/>
        <v>EXECUTADA</v>
      </c>
    </row>
    <row r="161" spans="1:19" s="55" customFormat="1" ht="18" x14ac:dyDescent="0.25">
      <c r="A161" s="67" t="s">
        <v>796</v>
      </c>
      <c r="B161" s="57" t="s">
        <v>27</v>
      </c>
      <c r="C161" s="58"/>
      <c r="D161" s="53" t="s">
        <v>693</v>
      </c>
      <c r="E161" s="57">
        <v>34991116537</v>
      </c>
      <c r="F161" s="59">
        <v>46132</v>
      </c>
      <c r="G161" s="51" t="str">
        <f t="shared" si="6"/>
        <v>Seg</v>
      </c>
      <c r="H161" s="60">
        <v>0.625</v>
      </c>
      <c r="I161" s="57" t="s">
        <v>772</v>
      </c>
      <c r="J161" s="57" t="s">
        <v>797</v>
      </c>
      <c r="K161" s="57" t="s">
        <v>87</v>
      </c>
      <c r="L161" s="53" t="str">
        <f t="shared" si="7"/>
        <v>NÃO</v>
      </c>
      <c r="M161" s="57" t="s">
        <v>72</v>
      </c>
      <c r="N161" s="57" t="s">
        <v>72</v>
      </c>
      <c r="O161" s="57" t="s">
        <v>72</v>
      </c>
      <c r="P161" s="57" t="s">
        <v>72</v>
      </c>
      <c r="Q161" s="57" t="s">
        <v>798</v>
      </c>
      <c r="R161" s="57" t="s">
        <v>799</v>
      </c>
      <c r="S161" s="61" t="str">
        <f t="shared" ca="1" si="8"/>
        <v>EXECUTADA</v>
      </c>
    </row>
    <row r="162" spans="1:19" s="55" customFormat="1" ht="18" x14ac:dyDescent="0.25">
      <c r="A162" s="72" t="s">
        <v>800</v>
      </c>
      <c r="B162" s="57" t="s">
        <v>30</v>
      </c>
      <c r="C162" s="58"/>
      <c r="D162" s="53" t="s">
        <v>2679</v>
      </c>
      <c r="E162" s="57" t="s">
        <v>801</v>
      </c>
      <c r="F162" s="59">
        <v>46132</v>
      </c>
      <c r="G162" s="51" t="str">
        <f t="shared" si="6"/>
        <v>Seg</v>
      </c>
      <c r="H162" s="60">
        <v>0.70833333333333337</v>
      </c>
      <c r="I162" s="57" t="s">
        <v>46</v>
      </c>
      <c r="J162" s="57" t="s">
        <v>802</v>
      </c>
      <c r="K162" s="57" t="s">
        <v>781</v>
      </c>
      <c r="L162" s="53" t="str">
        <f t="shared" si="7"/>
        <v>SIM</v>
      </c>
      <c r="M162" s="57" t="s">
        <v>803</v>
      </c>
      <c r="N162" s="57" t="s">
        <v>79</v>
      </c>
      <c r="O162" s="57" t="s">
        <v>804</v>
      </c>
      <c r="P162" s="57">
        <v>34992365485</v>
      </c>
      <c r="Q162" s="57" t="s">
        <v>805</v>
      </c>
      <c r="R162" s="57" t="s">
        <v>806</v>
      </c>
      <c r="S162" s="61" t="str">
        <f t="shared" ca="1" si="8"/>
        <v>EXECUTADA</v>
      </c>
    </row>
    <row r="163" spans="1:19" s="55" customFormat="1" ht="18" x14ac:dyDescent="0.25">
      <c r="A163" s="56" t="s">
        <v>807</v>
      </c>
      <c r="B163" s="57" t="s">
        <v>30</v>
      </c>
      <c r="C163" s="58"/>
      <c r="D163" s="53" t="s">
        <v>693</v>
      </c>
      <c r="E163" s="57">
        <v>34996355080</v>
      </c>
      <c r="F163" s="59">
        <v>46132</v>
      </c>
      <c r="G163" s="51" t="str">
        <f t="shared" si="6"/>
        <v>Seg</v>
      </c>
      <c r="H163" s="60">
        <v>0.70833333333333337</v>
      </c>
      <c r="I163" s="57" t="s">
        <v>46</v>
      </c>
      <c r="J163" s="57" t="s">
        <v>808</v>
      </c>
      <c r="K163" s="57" t="s">
        <v>100</v>
      </c>
      <c r="L163" s="53" t="str">
        <f t="shared" si="7"/>
        <v>SIM</v>
      </c>
      <c r="M163" s="57" t="s">
        <v>809</v>
      </c>
      <c r="N163" s="57" t="s">
        <v>89</v>
      </c>
      <c r="O163" s="57" t="s">
        <v>810</v>
      </c>
      <c r="P163" s="57">
        <v>34996693594</v>
      </c>
      <c r="Q163" s="57" t="s">
        <v>811</v>
      </c>
      <c r="R163" s="57" t="s">
        <v>812</v>
      </c>
      <c r="S163" s="61" t="str">
        <f t="shared" ca="1" si="8"/>
        <v>EXECUTADA</v>
      </c>
    </row>
    <row r="164" spans="1:19" s="81" customFormat="1" ht="18" x14ac:dyDescent="0.25">
      <c r="A164" s="37" t="s">
        <v>813</v>
      </c>
      <c r="B164" s="38" t="s">
        <v>27</v>
      </c>
      <c r="C164" s="39"/>
      <c r="D164" s="40" t="s">
        <v>814</v>
      </c>
      <c r="E164" s="38">
        <v>34988651335</v>
      </c>
      <c r="F164" s="41">
        <v>46132</v>
      </c>
      <c r="G164" s="42" t="str">
        <f t="shared" si="6"/>
        <v>Seg</v>
      </c>
      <c r="H164" s="43">
        <v>0.70833333333333337</v>
      </c>
      <c r="I164" s="38" t="s">
        <v>42</v>
      </c>
      <c r="J164" s="38" t="s">
        <v>815</v>
      </c>
      <c r="K164" s="38"/>
      <c r="L164" s="40" t="str">
        <f t="shared" si="7"/>
        <v>NÃO</v>
      </c>
      <c r="M164" s="38"/>
      <c r="N164" s="38"/>
      <c r="O164" s="38"/>
      <c r="P164" s="38"/>
      <c r="Q164" s="38"/>
      <c r="R164" s="38"/>
      <c r="S164" s="44" t="str">
        <f t="shared" ca="1" si="8"/>
        <v>EXECUTADA</v>
      </c>
    </row>
    <row r="165" spans="1:19" s="81" customFormat="1" ht="18" x14ac:dyDescent="0.25">
      <c r="A165" s="56" t="s">
        <v>874</v>
      </c>
      <c r="B165" s="57" t="s">
        <v>27</v>
      </c>
      <c r="C165" s="58"/>
      <c r="D165" s="53" t="s">
        <v>868</v>
      </c>
      <c r="E165" s="57">
        <v>34991750330</v>
      </c>
      <c r="F165" s="59">
        <v>46132</v>
      </c>
      <c r="G165" s="51" t="str">
        <f t="shared" si="6"/>
        <v>Seg</v>
      </c>
      <c r="H165" s="60">
        <v>0.33333333333333331</v>
      </c>
      <c r="I165" s="57" t="s">
        <v>42</v>
      </c>
      <c r="J165" s="57" t="s">
        <v>875</v>
      </c>
      <c r="K165" s="57" t="s">
        <v>87</v>
      </c>
      <c r="L165" s="53" t="str">
        <f t="shared" si="7"/>
        <v>NÃO</v>
      </c>
      <c r="M165" s="57" t="s">
        <v>72</v>
      </c>
      <c r="N165" s="57" t="s">
        <v>89</v>
      </c>
      <c r="O165" s="57" t="s">
        <v>72</v>
      </c>
      <c r="P165" s="57" t="s">
        <v>72</v>
      </c>
      <c r="Q165" s="57" t="s">
        <v>876</v>
      </c>
      <c r="R165" s="57" t="s">
        <v>877</v>
      </c>
      <c r="S165" s="61" t="str">
        <f t="shared" ca="1" si="8"/>
        <v>EXECUTADA</v>
      </c>
    </row>
    <row r="166" spans="1:19" s="55" customFormat="1" ht="18" x14ac:dyDescent="0.25">
      <c r="A166" s="37" t="s">
        <v>816</v>
      </c>
      <c r="B166" s="38" t="s">
        <v>27</v>
      </c>
      <c r="C166" s="39"/>
      <c r="D166" s="40" t="s">
        <v>817</v>
      </c>
      <c r="E166" s="38">
        <v>34984479701</v>
      </c>
      <c r="F166" s="41">
        <v>46133</v>
      </c>
      <c r="G166" s="42" t="str">
        <f t="shared" si="6"/>
        <v>Ter</v>
      </c>
      <c r="H166" s="43">
        <v>0.33333333333333331</v>
      </c>
      <c r="I166" s="38" t="s">
        <v>42</v>
      </c>
      <c r="J166" s="38" t="s">
        <v>322</v>
      </c>
      <c r="K166" s="38" t="s">
        <v>71</v>
      </c>
      <c r="L166" s="40" t="str">
        <f t="shared" si="7"/>
        <v>NÃO</v>
      </c>
      <c r="M166" s="38" t="s">
        <v>72</v>
      </c>
      <c r="N166" s="38" t="s">
        <v>72</v>
      </c>
      <c r="O166" s="38" t="s">
        <v>72</v>
      </c>
      <c r="P166" s="38" t="s">
        <v>72</v>
      </c>
      <c r="Q166" s="38" t="s">
        <v>323</v>
      </c>
      <c r="R166" s="38" t="s">
        <v>324</v>
      </c>
      <c r="S166" s="44" t="str">
        <f t="shared" ca="1" si="8"/>
        <v>EXECUTADA</v>
      </c>
    </row>
    <row r="167" spans="1:19" s="55" customFormat="1" ht="18" x14ac:dyDescent="0.25">
      <c r="A167" s="72" t="s">
        <v>818</v>
      </c>
      <c r="B167" s="57" t="s">
        <v>27</v>
      </c>
      <c r="C167" s="58"/>
      <c r="D167" s="53" t="s">
        <v>693</v>
      </c>
      <c r="E167" s="57">
        <v>34996530058</v>
      </c>
      <c r="F167" s="59">
        <v>46133</v>
      </c>
      <c r="G167" s="51" t="str">
        <f t="shared" si="6"/>
        <v>Ter</v>
      </c>
      <c r="H167" s="60">
        <v>0.33333333333333331</v>
      </c>
      <c r="I167" s="57" t="s">
        <v>42</v>
      </c>
      <c r="J167" s="57" t="s">
        <v>819</v>
      </c>
      <c r="K167" s="57" t="s">
        <v>146</v>
      </c>
      <c r="L167" s="53" t="str">
        <f t="shared" si="7"/>
        <v>NÃO</v>
      </c>
      <c r="M167" s="57" t="s">
        <v>72</v>
      </c>
      <c r="N167" s="57" t="s">
        <v>89</v>
      </c>
      <c r="O167" s="57" t="s">
        <v>72</v>
      </c>
      <c r="P167" s="57" t="s">
        <v>72</v>
      </c>
      <c r="Q167" s="57" t="s">
        <v>820</v>
      </c>
      <c r="R167" s="57" t="s">
        <v>821</v>
      </c>
      <c r="S167" s="61" t="str">
        <f t="shared" ca="1" si="8"/>
        <v>EXECUTADA</v>
      </c>
    </row>
    <row r="168" spans="1:19" s="55" customFormat="1" ht="18" x14ac:dyDescent="0.25">
      <c r="A168" s="72" t="s">
        <v>822</v>
      </c>
      <c r="B168" s="57" t="s">
        <v>30</v>
      </c>
      <c r="C168" s="58"/>
      <c r="D168" s="53" t="s">
        <v>693</v>
      </c>
      <c r="E168" s="57">
        <v>34991620326</v>
      </c>
      <c r="F168" s="59">
        <v>46133</v>
      </c>
      <c r="G168" s="51" t="str">
        <f t="shared" si="6"/>
        <v>Ter</v>
      </c>
      <c r="H168" s="60">
        <v>0.33333333333333331</v>
      </c>
      <c r="I168" s="57" t="s">
        <v>46</v>
      </c>
      <c r="J168" s="57" t="s">
        <v>823</v>
      </c>
      <c r="K168" s="57" t="s">
        <v>71</v>
      </c>
      <c r="L168" s="53" t="str">
        <f t="shared" si="7"/>
        <v>SIM</v>
      </c>
      <c r="M168" s="57" t="s">
        <v>824</v>
      </c>
      <c r="N168" s="57" t="s">
        <v>79</v>
      </c>
      <c r="O168" s="57" t="s">
        <v>825</v>
      </c>
      <c r="P168" s="57" t="s">
        <v>826</v>
      </c>
      <c r="Q168" s="57" t="s">
        <v>827</v>
      </c>
      <c r="R168" s="57" t="s">
        <v>828</v>
      </c>
      <c r="S168" s="61" t="str">
        <f t="shared" ca="1" si="8"/>
        <v>EXECUTADA</v>
      </c>
    </row>
    <row r="169" spans="1:19" s="55" customFormat="1" ht="18" x14ac:dyDescent="0.25">
      <c r="A169" s="72" t="s">
        <v>829</v>
      </c>
      <c r="B169" s="57" t="s">
        <v>27</v>
      </c>
      <c r="C169" s="58"/>
      <c r="D169" s="53" t="s">
        <v>693</v>
      </c>
      <c r="E169" s="57">
        <v>82999359160</v>
      </c>
      <c r="F169" s="59">
        <v>46133</v>
      </c>
      <c r="G169" s="51" t="str">
        <f t="shared" si="6"/>
        <v>Ter</v>
      </c>
      <c r="H169" s="60">
        <v>0.41666666666666669</v>
      </c>
      <c r="I169" s="57" t="s">
        <v>35</v>
      </c>
      <c r="J169" s="57" t="s">
        <v>830</v>
      </c>
      <c r="K169" s="57" t="s">
        <v>71</v>
      </c>
      <c r="L169" s="53" t="str">
        <f t="shared" si="7"/>
        <v>NÃO</v>
      </c>
      <c r="M169" s="57" t="s">
        <v>72</v>
      </c>
      <c r="N169" s="57" t="s">
        <v>89</v>
      </c>
      <c r="O169" s="57" t="s">
        <v>72</v>
      </c>
      <c r="P169" s="57" t="s">
        <v>72</v>
      </c>
      <c r="Q169" s="57" t="s">
        <v>831</v>
      </c>
      <c r="R169" s="57" t="s">
        <v>832</v>
      </c>
      <c r="S169" s="61" t="str">
        <f t="shared" ca="1" si="8"/>
        <v>EXECUTADA</v>
      </c>
    </row>
    <row r="170" spans="1:19" s="55" customFormat="1" ht="18" x14ac:dyDescent="0.25">
      <c r="A170" s="100" t="s">
        <v>2680</v>
      </c>
      <c r="B170" s="57" t="s">
        <v>27</v>
      </c>
      <c r="C170" s="58"/>
      <c r="D170" s="53" t="s">
        <v>833</v>
      </c>
      <c r="E170" s="57">
        <v>34988791492</v>
      </c>
      <c r="F170" s="59">
        <v>46134</v>
      </c>
      <c r="G170" s="51" t="str">
        <f t="shared" si="6"/>
        <v>Qua</v>
      </c>
      <c r="H170" s="60">
        <v>0.33333333333333331</v>
      </c>
      <c r="I170" s="57" t="s">
        <v>35</v>
      </c>
      <c r="J170" s="57" t="s">
        <v>834</v>
      </c>
      <c r="K170" s="57" t="s">
        <v>71</v>
      </c>
      <c r="L170" s="53" t="str">
        <f t="shared" si="7"/>
        <v>NÃO</v>
      </c>
      <c r="M170" s="57" t="s">
        <v>72</v>
      </c>
      <c r="N170" s="57" t="s">
        <v>79</v>
      </c>
      <c r="O170" s="57" t="s">
        <v>835</v>
      </c>
      <c r="P170" s="57" t="s">
        <v>836</v>
      </c>
      <c r="Q170" s="57" t="s">
        <v>837</v>
      </c>
      <c r="R170" s="57" t="s">
        <v>838</v>
      </c>
      <c r="S170" s="61" t="str">
        <f t="shared" ca="1" si="8"/>
        <v>EXECUTADA</v>
      </c>
    </row>
    <row r="171" spans="1:19" s="55" customFormat="1" ht="18" x14ac:dyDescent="0.25">
      <c r="A171" s="100" t="s">
        <v>839</v>
      </c>
      <c r="B171" s="57" t="s">
        <v>27</v>
      </c>
      <c r="C171" s="58"/>
      <c r="D171" s="53" t="s">
        <v>833</v>
      </c>
      <c r="E171" s="57">
        <v>34991438018</v>
      </c>
      <c r="F171" s="59">
        <v>46134</v>
      </c>
      <c r="G171" s="51" t="str">
        <f t="shared" si="6"/>
        <v>Qua</v>
      </c>
      <c r="H171" s="60">
        <v>0.33333333333333331</v>
      </c>
      <c r="I171" s="57" t="s">
        <v>42</v>
      </c>
      <c r="J171" s="57" t="s">
        <v>840</v>
      </c>
      <c r="K171" s="57" t="s">
        <v>71</v>
      </c>
      <c r="L171" s="53" t="str">
        <f t="shared" si="7"/>
        <v>NÃO</v>
      </c>
      <c r="M171" s="57" t="s">
        <v>72</v>
      </c>
      <c r="N171" s="57" t="s">
        <v>89</v>
      </c>
      <c r="O171" s="57" t="s">
        <v>72</v>
      </c>
      <c r="P171" s="57" t="s">
        <v>72</v>
      </c>
      <c r="Q171" s="57" t="s">
        <v>841</v>
      </c>
      <c r="R171" s="57" t="s">
        <v>842</v>
      </c>
      <c r="S171" s="61" t="str">
        <f t="shared" ca="1" si="8"/>
        <v>EXECUTADA</v>
      </c>
    </row>
    <row r="172" spans="1:19" s="55" customFormat="1" ht="18" x14ac:dyDescent="0.25">
      <c r="A172" s="56" t="s">
        <v>2681</v>
      </c>
      <c r="B172" s="57" t="s">
        <v>27</v>
      </c>
      <c r="C172" s="58"/>
      <c r="D172" s="53" t="s">
        <v>833</v>
      </c>
      <c r="E172" s="57">
        <v>34991168003</v>
      </c>
      <c r="F172" s="59">
        <v>46134</v>
      </c>
      <c r="G172" s="51" t="str">
        <f t="shared" si="6"/>
        <v>Qua</v>
      </c>
      <c r="H172" s="60">
        <v>0.41666666666666669</v>
      </c>
      <c r="I172" s="57" t="s">
        <v>35</v>
      </c>
      <c r="J172" s="57" t="s">
        <v>843</v>
      </c>
      <c r="K172" s="57" t="s">
        <v>132</v>
      </c>
      <c r="L172" s="53" t="str">
        <f t="shared" si="7"/>
        <v>NÃO</v>
      </c>
      <c r="M172" s="57" t="s">
        <v>72</v>
      </c>
      <c r="N172" s="57" t="s">
        <v>79</v>
      </c>
      <c r="O172" s="57" t="s">
        <v>844</v>
      </c>
      <c r="P172" s="57">
        <v>34999595983</v>
      </c>
      <c r="Q172" s="57" t="s">
        <v>845</v>
      </c>
      <c r="R172" s="57" t="s">
        <v>2682</v>
      </c>
      <c r="S172" s="61" t="str">
        <f t="shared" ca="1" si="8"/>
        <v>EXECUTADA</v>
      </c>
    </row>
    <row r="173" spans="1:19" s="55" customFormat="1" ht="18" x14ac:dyDescent="0.25">
      <c r="A173" s="56" t="s">
        <v>2683</v>
      </c>
      <c r="B173" s="57" t="s">
        <v>27</v>
      </c>
      <c r="C173" s="58"/>
      <c r="D173" s="53" t="s">
        <v>833</v>
      </c>
      <c r="E173" s="57">
        <v>34997740745</v>
      </c>
      <c r="F173" s="59">
        <v>46134</v>
      </c>
      <c r="G173" s="51" t="str">
        <f t="shared" si="6"/>
        <v>Qua</v>
      </c>
      <c r="H173" s="60">
        <v>0.41666666666666669</v>
      </c>
      <c r="I173" s="57" t="s">
        <v>42</v>
      </c>
      <c r="J173" s="57" t="s">
        <v>846</v>
      </c>
      <c r="K173" s="57" t="s">
        <v>87</v>
      </c>
      <c r="L173" s="53" t="str">
        <f t="shared" si="7"/>
        <v>NÃO</v>
      </c>
      <c r="M173" s="57" t="s">
        <v>72</v>
      </c>
      <c r="N173" s="57" t="s">
        <v>89</v>
      </c>
      <c r="O173" s="57" t="s">
        <v>72</v>
      </c>
      <c r="P173" s="57" t="s">
        <v>72</v>
      </c>
      <c r="Q173" s="57" t="s">
        <v>847</v>
      </c>
      <c r="R173" s="57" t="s">
        <v>848</v>
      </c>
      <c r="S173" s="61" t="str">
        <f t="shared" ca="1" si="8"/>
        <v>EXECUTADA</v>
      </c>
    </row>
    <row r="174" spans="1:19" s="55" customFormat="1" ht="18" x14ac:dyDescent="0.25">
      <c r="A174" s="56" t="s">
        <v>849</v>
      </c>
      <c r="B174" s="57" t="s">
        <v>27</v>
      </c>
      <c r="C174" s="58"/>
      <c r="D174" s="53" t="s">
        <v>833</v>
      </c>
      <c r="E174" s="57">
        <v>34992579986</v>
      </c>
      <c r="F174" s="59">
        <v>46134</v>
      </c>
      <c r="G174" s="51" t="str">
        <f t="shared" si="6"/>
        <v>Qua</v>
      </c>
      <c r="H174" s="60">
        <v>0.54166666666666663</v>
      </c>
      <c r="I174" s="57" t="s">
        <v>42</v>
      </c>
      <c r="J174" s="57" t="s">
        <v>850</v>
      </c>
      <c r="K174" s="57" t="s">
        <v>146</v>
      </c>
      <c r="L174" s="53" t="str">
        <f t="shared" si="7"/>
        <v>NÃO</v>
      </c>
      <c r="M174" s="57" t="s">
        <v>72</v>
      </c>
      <c r="N174" s="57" t="s">
        <v>79</v>
      </c>
      <c r="O174" s="57" t="s">
        <v>851</v>
      </c>
      <c r="P174" s="57">
        <v>61996546683</v>
      </c>
      <c r="Q174" s="57" t="s">
        <v>852</v>
      </c>
      <c r="R174" s="57" t="s">
        <v>853</v>
      </c>
      <c r="S174" s="61" t="str">
        <f t="shared" ca="1" si="8"/>
        <v>EXECUTADA</v>
      </c>
    </row>
    <row r="175" spans="1:19" s="55" customFormat="1" ht="18" x14ac:dyDescent="0.25">
      <c r="A175" s="56" t="s">
        <v>2684</v>
      </c>
      <c r="B175" s="57" t="s">
        <v>27</v>
      </c>
      <c r="C175" s="58"/>
      <c r="D175" s="53" t="s">
        <v>833</v>
      </c>
      <c r="E175" s="57">
        <v>34998437003</v>
      </c>
      <c r="F175" s="59">
        <v>46134</v>
      </c>
      <c r="G175" s="51" t="str">
        <f t="shared" si="6"/>
        <v>Qua</v>
      </c>
      <c r="H175" s="60">
        <v>0.54166666666666663</v>
      </c>
      <c r="I175" s="57" t="s">
        <v>42</v>
      </c>
      <c r="J175" s="57" t="s">
        <v>854</v>
      </c>
      <c r="K175" s="57" t="s">
        <v>71</v>
      </c>
      <c r="L175" s="53" t="str">
        <f t="shared" si="7"/>
        <v>NÃO</v>
      </c>
      <c r="M175" s="57" t="s">
        <v>72</v>
      </c>
      <c r="N175" s="57" t="s">
        <v>89</v>
      </c>
      <c r="O175" s="57" t="s">
        <v>72</v>
      </c>
      <c r="P175" s="57" t="s">
        <v>72</v>
      </c>
      <c r="Q175" s="57" t="s">
        <v>855</v>
      </c>
      <c r="R175" s="57" t="s">
        <v>856</v>
      </c>
      <c r="S175" s="61" t="str">
        <f t="shared" ca="1" si="8"/>
        <v>EXECUTADA</v>
      </c>
    </row>
    <row r="176" spans="1:19" s="81" customFormat="1" ht="18" x14ac:dyDescent="0.25">
      <c r="A176" s="56" t="s">
        <v>857</v>
      </c>
      <c r="B176" s="57" t="s">
        <v>27</v>
      </c>
      <c r="C176" s="58"/>
      <c r="D176" s="53" t="s">
        <v>833</v>
      </c>
      <c r="E176" s="57">
        <v>34991071598</v>
      </c>
      <c r="F176" s="59">
        <v>46134</v>
      </c>
      <c r="G176" s="51" t="str">
        <f t="shared" si="6"/>
        <v>Qua</v>
      </c>
      <c r="H176" s="60">
        <v>0.625</v>
      </c>
      <c r="I176" s="57" t="s">
        <v>42</v>
      </c>
      <c r="J176" s="57" t="s">
        <v>858</v>
      </c>
      <c r="K176" s="57" t="s">
        <v>71</v>
      </c>
      <c r="L176" s="53" t="str">
        <f t="shared" si="7"/>
        <v>NÃO</v>
      </c>
      <c r="M176" s="57" t="s">
        <v>72</v>
      </c>
      <c r="N176" s="57" t="s">
        <v>89</v>
      </c>
      <c r="O176" s="57" t="s">
        <v>72</v>
      </c>
      <c r="P176" s="57" t="s">
        <v>72</v>
      </c>
      <c r="Q176" s="57" t="s">
        <v>859</v>
      </c>
      <c r="R176" s="57" t="s">
        <v>860</v>
      </c>
      <c r="S176" s="61" t="str">
        <f t="shared" ca="1" si="8"/>
        <v>EXECUTADA</v>
      </c>
    </row>
    <row r="177" spans="1:19" s="55" customFormat="1" ht="18" x14ac:dyDescent="0.25">
      <c r="A177" s="86" t="s">
        <v>2685</v>
      </c>
      <c r="B177" s="38" t="s">
        <v>27</v>
      </c>
      <c r="C177" s="39"/>
      <c r="D177" s="40" t="s">
        <v>861</v>
      </c>
      <c r="E177" s="38">
        <v>34984282491</v>
      </c>
      <c r="F177" s="41">
        <v>46134</v>
      </c>
      <c r="G177" s="42" t="str">
        <f t="shared" si="6"/>
        <v>Qua</v>
      </c>
      <c r="H177" s="43">
        <v>0.625</v>
      </c>
      <c r="I177" s="38" t="s">
        <v>42</v>
      </c>
      <c r="J177" s="38" t="s">
        <v>862</v>
      </c>
      <c r="K177" s="38" t="s">
        <v>87</v>
      </c>
      <c r="L177" s="40" t="str">
        <f t="shared" si="7"/>
        <v>NÃO</v>
      </c>
      <c r="M177" s="38" t="s">
        <v>72</v>
      </c>
      <c r="N177" s="38" t="s">
        <v>89</v>
      </c>
      <c r="O177" s="38" t="s">
        <v>72</v>
      </c>
      <c r="P177" s="38" t="s">
        <v>72</v>
      </c>
      <c r="Q177" s="38" t="s">
        <v>208</v>
      </c>
      <c r="R177" s="38"/>
      <c r="S177" s="44" t="str">
        <f t="shared" ca="1" si="8"/>
        <v>EXECUTADA</v>
      </c>
    </row>
    <row r="178" spans="1:19" s="55" customFormat="1" ht="18" x14ac:dyDescent="0.25">
      <c r="A178" s="56" t="s">
        <v>863</v>
      </c>
      <c r="B178" s="57" t="s">
        <v>27</v>
      </c>
      <c r="C178" s="58"/>
      <c r="D178" s="53" t="s">
        <v>833</v>
      </c>
      <c r="E178" s="57">
        <v>34991761867</v>
      </c>
      <c r="F178" s="59">
        <v>46134</v>
      </c>
      <c r="G178" s="51" t="str">
        <f t="shared" si="6"/>
        <v>Qua</v>
      </c>
      <c r="H178" s="60">
        <v>0.70833333333333337</v>
      </c>
      <c r="I178" s="57" t="s">
        <v>42</v>
      </c>
      <c r="J178" s="57" t="s">
        <v>864</v>
      </c>
      <c r="K178" s="57" t="s">
        <v>71</v>
      </c>
      <c r="L178" s="53" t="str">
        <f t="shared" si="7"/>
        <v>NÃO</v>
      </c>
      <c r="M178" s="57" t="s">
        <v>72</v>
      </c>
      <c r="N178" s="57" t="s">
        <v>89</v>
      </c>
      <c r="O178" s="57" t="s">
        <v>72</v>
      </c>
      <c r="P178" s="57" t="s">
        <v>72</v>
      </c>
      <c r="Q178" s="57" t="s">
        <v>865</v>
      </c>
      <c r="R178" s="57" t="s">
        <v>866</v>
      </c>
      <c r="S178" s="61" t="str">
        <f t="shared" ca="1" si="8"/>
        <v>EXECUTADA</v>
      </c>
    </row>
    <row r="179" spans="1:19" s="55" customFormat="1" ht="18" x14ac:dyDescent="0.25">
      <c r="A179" s="56" t="s">
        <v>867</v>
      </c>
      <c r="B179" s="57" t="s">
        <v>27</v>
      </c>
      <c r="C179" s="58"/>
      <c r="D179" s="53" t="s">
        <v>868</v>
      </c>
      <c r="E179" s="57">
        <v>34993193177</v>
      </c>
      <c r="F179" s="59">
        <v>46134</v>
      </c>
      <c r="G179" s="51" t="str">
        <f t="shared" si="6"/>
        <v>Qua</v>
      </c>
      <c r="H179" s="60">
        <v>0.70833333333333337</v>
      </c>
      <c r="I179" s="57" t="s">
        <v>42</v>
      </c>
      <c r="J179" s="57" t="s">
        <v>869</v>
      </c>
      <c r="K179" s="57" t="s">
        <v>107</v>
      </c>
      <c r="L179" s="53" t="str">
        <f t="shared" si="7"/>
        <v>NÃO</v>
      </c>
      <c r="M179" s="57" t="s">
        <v>72</v>
      </c>
      <c r="N179" s="57" t="s">
        <v>79</v>
      </c>
      <c r="O179" s="57" t="s">
        <v>870</v>
      </c>
      <c r="P179" s="57" t="s">
        <v>871</v>
      </c>
      <c r="Q179" s="57" t="s">
        <v>872</v>
      </c>
      <c r="R179" s="57" t="s">
        <v>873</v>
      </c>
      <c r="S179" s="61" t="str">
        <f t="shared" ca="1" si="8"/>
        <v>EXECUTADA</v>
      </c>
    </row>
    <row r="180" spans="1:19" s="55" customFormat="1" ht="18" x14ac:dyDescent="0.25">
      <c r="A180" s="100" t="s">
        <v>878</v>
      </c>
      <c r="B180" s="57" t="s">
        <v>27</v>
      </c>
      <c r="C180" s="58"/>
      <c r="D180" s="53" t="s">
        <v>868</v>
      </c>
      <c r="E180" s="57">
        <v>34998617574</v>
      </c>
      <c r="F180" s="59">
        <v>46135</v>
      </c>
      <c r="G180" s="51" t="str">
        <f t="shared" si="6"/>
        <v>Qui</v>
      </c>
      <c r="H180" s="60">
        <v>0.33333333333333331</v>
      </c>
      <c r="I180" s="57" t="s">
        <v>42</v>
      </c>
      <c r="J180" s="57" t="s">
        <v>879</v>
      </c>
      <c r="K180" s="57" t="s">
        <v>71</v>
      </c>
      <c r="L180" s="53" t="str">
        <f t="shared" si="7"/>
        <v>NÃO</v>
      </c>
      <c r="M180" s="57" t="s">
        <v>72</v>
      </c>
      <c r="N180" s="57" t="s">
        <v>89</v>
      </c>
      <c r="O180" s="57" t="s">
        <v>72</v>
      </c>
      <c r="P180" s="57" t="s">
        <v>72</v>
      </c>
      <c r="Q180" s="57" t="s">
        <v>880</v>
      </c>
      <c r="R180" s="57" t="s">
        <v>881</v>
      </c>
      <c r="S180" s="61" t="str">
        <f t="shared" ca="1" si="8"/>
        <v>EXECUTADA</v>
      </c>
    </row>
    <row r="181" spans="1:19" s="55" customFormat="1" ht="18" x14ac:dyDescent="0.25">
      <c r="A181" s="100" t="s">
        <v>882</v>
      </c>
      <c r="B181" s="57" t="s">
        <v>27</v>
      </c>
      <c r="C181" s="58"/>
      <c r="D181" s="53" t="s">
        <v>868</v>
      </c>
      <c r="E181" s="57">
        <v>38998964704</v>
      </c>
      <c r="F181" s="59">
        <v>46135</v>
      </c>
      <c r="G181" s="51" t="str">
        <f t="shared" si="6"/>
        <v>Qui</v>
      </c>
      <c r="H181" s="60">
        <v>0.33333333333333331</v>
      </c>
      <c r="I181" s="57" t="s">
        <v>38</v>
      </c>
      <c r="J181" s="57" t="s">
        <v>883</v>
      </c>
      <c r="K181" s="57" t="s">
        <v>71</v>
      </c>
      <c r="L181" s="53" t="str">
        <f t="shared" si="7"/>
        <v>NÃO</v>
      </c>
      <c r="M181" s="57" t="s">
        <v>72</v>
      </c>
      <c r="N181" s="57" t="s">
        <v>89</v>
      </c>
      <c r="O181" s="57" t="s">
        <v>72</v>
      </c>
      <c r="P181" s="57" t="s">
        <v>72</v>
      </c>
      <c r="Q181" s="57" t="s">
        <v>884</v>
      </c>
      <c r="R181" s="57" t="s">
        <v>885</v>
      </c>
      <c r="S181" s="61" t="str">
        <f t="shared" ca="1" si="8"/>
        <v>EXECUTADA</v>
      </c>
    </row>
    <row r="182" spans="1:19" s="55" customFormat="1" ht="18" x14ac:dyDescent="0.25">
      <c r="A182" s="56" t="s">
        <v>886</v>
      </c>
      <c r="B182" s="57" t="s">
        <v>27</v>
      </c>
      <c r="C182" s="58"/>
      <c r="D182" s="53" t="s">
        <v>868</v>
      </c>
      <c r="E182" s="57">
        <v>34997721785</v>
      </c>
      <c r="F182" s="59">
        <v>46135</v>
      </c>
      <c r="G182" s="51" t="str">
        <f t="shared" si="6"/>
        <v>Qui</v>
      </c>
      <c r="H182" s="60">
        <v>0.41666666666666669</v>
      </c>
      <c r="I182" s="57" t="s">
        <v>35</v>
      </c>
      <c r="J182" s="57" t="s">
        <v>887</v>
      </c>
      <c r="K182" s="57" t="s">
        <v>107</v>
      </c>
      <c r="L182" s="53" t="str">
        <f t="shared" si="7"/>
        <v>NÃO</v>
      </c>
      <c r="M182" s="57" t="s">
        <v>72</v>
      </c>
      <c r="N182" s="57" t="s">
        <v>89</v>
      </c>
      <c r="O182" s="57" t="s">
        <v>72</v>
      </c>
      <c r="P182" s="57" t="s">
        <v>72</v>
      </c>
      <c r="Q182" s="57" t="s">
        <v>888</v>
      </c>
      <c r="R182" s="57" t="s">
        <v>889</v>
      </c>
      <c r="S182" s="61" t="str">
        <f t="shared" ca="1" si="8"/>
        <v>EXECUTADA</v>
      </c>
    </row>
    <row r="183" spans="1:19" s="55" customFormat="1" ht="18" x14ac:dyDescent="0.25">
      <c r="A183" s="56" t="s">
        <v>890</v>
      </c>
      <c r="B183" s="57" t="s">
        <v>30</v>
      </c>
      <c r="C183" s="58"/>
      <c r="D183" s="53" t="s">
        <v>891</v>
      </c>
      <c r="E183" s="57">
        <v>34998961053</v>
      </c>
      <c r="F183" s="59">
        <v>46135</v>
      </c>
      <c r="G183" s="51" t="str">
        <f t="shared" si="6"/>
        <v>Qui</v>
      </c>
      <c r="H183" s="60">
        <v>0.41666666666666669</v>
      </c>
      <c r="I183" s="57" t="s">
        <v>46</v>
      </c>
      <c r="J183" s="57" t="s">
        <v>892</v>
      </c>
      <c r="K183" s="57" t="s">
        <v>87</v>
      </c>
      <c r="L183" s="53" t="str">
        <f t="shared" si="7"/>
        <v>SIM</v>
      </c>
      <c r="M183" s="57" t="s">
        <v>893</v>
      </c>
      <c r="N183" s="57" t="s">
        <v>89</v>
      </c>
      <c r="O183" s="57" t="s">
        <v>72</v>
      </c>
      <c r="P183" s="57" t="s">
        <v>72</v>
      </c>
      <c r="Q183" s="57" t="s">
        <v>894</v>
      </c>
      <c r="R183" s="57" t="s">
        <v>895</v>
      </c>
      <c r="S183" s="61" t="str">
        <f t="shared" ca="1" si="8"/>
        <v>EXECUTADA</v>
      </c>
    </row>
    <row r="184" spans="1:19" s="55" customFormat="1" ht="18" x14ac:dyDescent="0.25">
      <c r="A184" s="56" t="s">
        <v>896</v>
      </c>
      <c r="B184" s="57" t="s">
        <v>30</v>
      </c>
      <c r="C184" s="58"/>
      <c r="D184" s="53" t="s">
        <v>897</v>
      </c>
      <c r="E184" s="57" t="s">
        <v>898</v>
      </c>
      <c r="F184" s="59">
        <v>46135</v>
      </c>
      <c r="G184" s="51" t="str">
        <f t="shared" si="6"/>
        <v>Qui</v>
      </c>
      <c r="H184" s="60">
        <v>0.54166666666666663</v>
      </c>
      <c r="I184" s="57" t="s">
        <v>42</v>
      </c>
      <c r="J184" s="57" t="s">
        <v>899</v>
      </c>
      <c r="K184" s="57" t="s">
        <v>87</v>
      </c>
      <c r="L184" s="53" t="str">
        <f t="shared" si="7"/>
        <v>SIM</v>
      </c>
      <c r="M184" s="57" t="s">
        <v>900</v>
      </c>
      <c r="N184" s="57" t="s">
        <v>89</v>
      </c>
      <c r="O184" s="57" t="s">
        <v>72</v>
      </c>
      <c r="P184" s="57" t="s">
        <v>72</v>
      </c>
      <c r="Q184" s="57" t="s">
        <v>901</v>
      </c>
      <c r="R184" s="57" t="s">
        <v>902</v>
      </c>
      <c r="S184" s="61" t="str">
        <f t="shared" ca="1" si="8"/>
        <v>EXECUTADA</v>
      </c>
    </row>
    <row r="185" spans="1:19" s="55" customFormat="1" ht="20.25" x14ac:dyDescent="0.25">
      <c r="A185" s="56" t="s">
        <v>2686</v>
      </c>
      <c r="B185" s="57" t="s">
        <v>30</v>
      </c>
      <c r="C185" s="58"/>
      <c r="D185" s="53" t="s">
        <v>903</v>
      </c>
      <c r="E185" s="57">
        <v>34999006475</v>
      </c>
      <c r="F185" s="59">
        <v>46135</v>
      </c>
      <c r="G185" s="51" t="str">
        <f t="shared" si="6"/>
        <v>Qui</v>
      </c>
      <c r="H185" s="60">
        <v>0.54166666666666663</v>
      </c>
      <c r="I185" s="57" t="s">
        <v>46</v>
      </c>
      <c r="J185" s="57" t="s">
        <v>904</v>
      </c>
      <c r="K185" s="57" t="s">
        <v>71</v>
      </c>
      <c r="L185" s="53" t="str">
        <f t="shared" si="7"/>
        <v>SIM</v>
      </c>
      <c r="M185" s="57" t="s">
        <v>421</v>
      </c>
      <c r="N185" s="57" t="s">
        <v>89</v>
      </c>
      <c r="O185" s="57" t="s">
        <v>72</v>
      </c>
      <c r="P185" s="57" t="s">
        <v>72</v>
      </c>
      <c r="Q185" s="57" t="s">
        <v>905</v>
      </c>
      <c r="R185" s="95" t="s">
        <v>2687</v>
      </c>
      <c r="S185" s="61" t="str">
        <f t="shared" ca="1" si="8"/>
        <v>EXECUTADA</v>
      </c>
    </row>
    <row r="186" spans="1:19" s="55" customFormat="1" ht="18" x14ac:dyDescent="0.25">
      <c r="A186" s="72" t="s">
        <v>906</v>
      </c>
      <c r="B186" s="57" t="s">
        <v>30</v>
      </c>
      <c r="C186" s="58"/>
      <c r="D186" s="53" t="s">
        <v>868</v>
      </c>
      <c r="E186" s="57">
        <v>34998831993</v>
      </c>
      <c r="F186" s="59">
        <v>46135</v>
      </c>
      <c r="G186" s="51" t="str">
        <f t="shared" si="6"/>
        <v>Qui</v>
      </c>
      <c r="H186" s="60">
        <v>0.625</v>
      </c>
      <c r="I186" s="57" t="s">
        <v>907</v>
      </c>
      <c r="J186" s="57" t="s">
        <v>908</v>
      </c>
      <c r="K186" s="57" t="s">
        <v>107</v>
      </c>
      <c r="L186" s="53" t="str">
        <f t="shared" si="7"/>
        <v>SIM</v>
      </c>
      <c r="M186" s="57" t="s">
        <v>909</v>
      </c>
      <c r="N186" s="57" t="s">
        <v>89</v>
      </c>
      <c r="O186" s="57" t="s">
        <v>72</v>
      </c>
      <c r="P186" s="57" t="s">
        <v>72</v>
      </c>
      <c r="Q186" s="57" t="s">
        <v>910</v>
      </c>
      <c r="R186" s="57" t="s">
        <v>911</v>
      </c>
      <c r="S186" s="61" t="str">
        <f t="shared" ca="1" si="8"/>
        <v>EXECUTADA</v>
      </c>
    </row>
    <row r="187" spans="1:19" s="55" customFormat="1" ht="18" x14ac:dyDescent="0.25">
      <c r="A187" s="56" t="s">
        <v>912</v>
      </c>
      <c r="B187" s="57" t="s">
        <v>27</v>
      </c>
      <c r="C187" s="58"/>
      <c r="D187" s="53" t="s">
        <v>897</v>
      </c>
      <c r="E187" s="57">
        <v>34991250302</v>
      </c>
      <c r="F187" s="59">
        <v>46135</v>
      </c>
      <c r="G187" s="51" t="str">
        <f t="shared" si="6"/>
        <v>Qui</v>
      </c>
      <c r="H187" s="60">
        <v>0.625</v>
      </c>
      <c r="I187" s="57" t="s">
        <v>42</v>
      </c>
      <c r="J187" s="57" t="s">
        <v>913</v>
      </c>
      <c r="K187" s="57" t="s">
        <v>87</v>
      </c>
      <c r="L187" s="53" t="str">
        <f t="shared" si="7"/>
        <v>NÃO</v>
      </c>
      <c r="M187" s="57"/>
      <c r="N187" s="57" t="s">
        <v>89</v>
      </c>
      <c r="O187" s="57" t="s">
        <v>72</v>
      </c>
      <c r="P187" s="57" t="s">
        <v>72</v>
      </c>
      <c r="Q187" s="57" t="s">
        <v>914</v>
      </c>
      <c r="R187" s="57" t="s">
        <v>915</v>
      </c>
      <c r="S187" s="61" t="str">
        <f t="shared" ca="1" si="8"/>
        <v>EXECUTADA</v>
      </c>
    </row>
    <row r="188" spans="1:19" s="55" customFormat="1" ht="18" x14ac:dyDescent="0.25">
      <c r="A188" s="56" t="s">
        <v>2688</v>
      </c>
      <c r="B188" s="57" t="s">
        <v>30</v>
      </c>
      <c r="C188" s="58"/>
      <c r="D188" s="53" t="s">
        <v>897</v>
      </c>
      <c r="E188" s="57" t="s">
        <v>801</v>
      </c>
      <c r="F188" s="59">
        <v>46135</v>
      </c>
      <c r="G188" s="51" t="str">
        <f t="shared" si="6"/>
        <v>Qui</v>
      </c>
      <c r="H188" s="60">
        <v>0.625</v>
      </c>
      <c r="I188" s="57" t="s">
        <v>46</v>
      </c>
      <c r="J188" s="57" t="s">
        <v>802</v>
      </c>
      <c r="K188" s="57" t="s">
        <v>146</v>
      </c>
      <c r="L188" s="53" t="str">
        <f t="shared" si="7"/>
        <v>SIM</v>
      </c>
      <c r="M188" s="57" t="s">
        <v>916</v>
      </c>
      <c r="N188" s="57" t="s">
        <v>79</v>
      </c>
      <c r="O188" s="57" t="s">
        <v>917</v>
      </c>
      <c r="P188" s="57">
        <v>34992365485</v>
      </c>
      <c r="Q188" s="57" t="s">
        <v>805</v>
      </c>
      <c r="R188" s="57" t="s">
        <v>806</v>
      </c>
      <c r="S188" s="61" t="str">
        <f t="shared" ca="1" si="8"/>
        <v>EXECUTADA</v>
      </c>
    </row>
    <row r="189" spans="1:19" s="55" customFormat="1" ht="18" x14ac:dyDescent="0.25">
      <c r="A189" s="56" t="s">
        <v>918</v>
      </c>
      <c r="B189" s="57" t="s">
        <v>30</v>
      </c>
      <c r="C189" s="58"/>
      <c r="D189" s="53" t="s">
        <v>919</v>
      </c>
      <c r="E189" s="57" t="s">
        <v>920</v>
      </c>
      <c r="F189" s="59">
        <v>46135</v>
      </c>
      <c r="G189" s="51" t="str">
        <f t="shared" si="6"/>
        <v>Qui</v>
      </c>
      <c r="H189" s="60">
        <v>0.70833333333333337</v>
      </c>
      <c r="I189" s="57" t="s">
        <v>46</v>
      </c>
      <c r="J189" s="57" t="s">
        <v>921</v>
      </c>
      <c r="K189" s="57" t="s">
        <v>87</v>
      </c>
      <c r="L189" s="53" t="str">
        <f t="shared" si="7"/>
        <v>SIM</v>
      </c>
      <c r="M189" s="57" t="s">
        <v>922</v>
      </c>
      <c r="N189" s="57" t="s">
        <v>89</v>
      </c>
      <c r="O189" s="57" t="s">
        <v>923</v>
      </c>
      <c r="P189" s="57">
        <v>34997708794</v>
      </c>
      <c r="Q189" s="57" t="s">
        <v>924</v>
      </c>
      <c r="R189" s="57" t="s">
        <v>2689</v>
      </c>
      <c r="S189" s="61" t="str">
        <f t="shared" ca="1" si="8"/>
        <v>EXECUTADA</v>
      </c>
    </row>
    <row r="190" spans="1:19" s="55" customFormat="1" ht="18" x14ac:dyDescent="0.25">
      <c r="A190" s="56" t="s">
        <v>925</v>
      </c>
      <c r="B190" s="57" t="s">
        <v>27</v>
      </c>
      <c r="C190" s="58"/>
      <c r="D190" s="53" t="s">
        <v>919</v>
      </c>
      <c r="E190" s="57">
        <v>34992325106</v>
      </c>
      <c r="F190" s="59">
        <v>46135</v>
      </c>
      <c r="G190" s="51" t="str">
        <f t="shared" si="6"/>
        <v>Qui</v>
      </c>
      <c r="H190" s="60">
        <v>0.70833333333333337</v>
      </c>
      <c r="I190" s="57" t="s">
        <v>35</v>
      </c>
      <c r="J190" s="57" t="s">
        <v>926</v>
      </c>
      <c r="K190" s="57" t="s">
        <v>87</v>
      </c>
      <c r="L190" s="53" t="str">
        <f t="shared" si="7"/>
        <v>NÃO</v>
      </c>
      <c r="M190" s="57" t="s">
        <v>72</v>
      </c>
      <c r="N190" s="57" t="s">
        <v>89</v>
      </c>
      <c r="O190" s="57" t="s">
        <v>72</v>
      </c>
      <c r="P190" s="57" t="s">
        <v>72</v>
      </c>
      <c r="Q190" s="57" t="s">
        <v>927</v>
      </c>
      <c r="R190" s="57" t="s">
        <v>928</v>
      </c>
      <c r="S190" s="61" t="str">
        <f t="shared" ca="1" si="8"/>
        <v>EXECUTADA</v>
      </c>
    </row>
    <row r="191" spans="1:19" s="55" customFormat="1" ht="18" x14ac:dyDescent="0.25">
      <c r="A191" s="56" t="s">
        <v>929</v>
      </c>
      <c r="B191" s="57" t="s">
        <v>27</v>
      </c>
      <c r="C191" s="58"/>
      <c r="D191" s="53" t="s">
        <v>868</v>
      </c>
      <c r="E191" s="57">
        <v>34991300649</v>
      </c>
      <c r="F191" s="59">
        <v>46136</v>
      </c>
      <c r="G191" s="51" t="str">
        <f t="shared" si="6"/>
        <v>Sex</v>
      </c>
      <c r="H191" s="60">
        <v>0.33333333333333331</v>
      </c>
      <c r="I191" s="57" t="s">
        <v>35</v>
      </c>
      <c r="J191" s="57" t="s">
        <v>930</v>
      </c>
      <c r="K191" s="57" t="s">
        <v>87</v>
      </c>
      <c r="L191" s="53" t="str">
        <f t="shared" si="7"/>
        <v>NÃO</v>
      </c>
      <c r="M191" s="57" t="s">
        <v>72</v>
      </c>
      <c r="N191" s="57" t="s">
        <v>79</v>
      </c>
      <c r="O191" s="57" t="s">
        <v>931</v>
      </c>
      <c r="P191" s="57" t="s">
        <v>932</v>
      </c>
      <c r="Q191" s="57" t="s">
        <v>933</v>
      </c>
      <c r="R191" s="57" t="s">
        <v>934</v>
      </c>
      <c r="S191" s="61" t="str">
        <f t="shared" ca="1" si="8"/>
        <v>EXECUTADA</v>
      </c>
    </row>
    <row r="192" spans="1:19" s="128" customFormat="1" ht="18" x14ac:dyDescent="0.25">
      <c r="A192" s="121" t="s">
        <v>935</v>
      </c>
      <c r="B192" s="122" t="s">
        <v>27</v>
      </c>
      <c r="C192" s="123"/>
      <c r="D192" s="115" t="s">
        <v>868</v>
      </c>
      <c r="E192" s="122">
        <v>37988010219</v>
      </c>
      <c r="F192" s="124">
        <v>46136</v>
      </c>
      <c r="G192" s="125" t="str">
        <f t="shared" si="6"/>
        <v>Sex</v>
      </c>
      <c r="H192" s="126">
        <v>0.33333333333333331</v>
      </c>
      <c r="I192" s="122" t="s">
        <v>35</v>
      </c>
      <c r="J192" s="122" t="s">
        <v>936</v>
      </c>
      <c r="K192" s="122" t="s">
        <v>87</v>
      </c>
      <c r="L192" s="115" t="str">
        <f t="shared" si="7"/>
        <v>NÃO</v>
      </c>
      <c r="M192" s="122" t="s">
        <v>72</v>
      </c>
      <c r="N192" s="122" t="s">
        <v>89</v>
      </c>
      <c r="O192" s="122" t="s">
        <v>72</v>
      </c>
      <c r="P192" s="122" t="s">
        <v>72</v>
      </c>
      <c r="Q192" s="122" t="s">
        <v>937</v>
      </c>
      <c r="R192" s="122" t="s">
        <v>938</v>
      </c>
      <c r="S192" s="127" t="str">
        <f t="shared" ca="1" si="8"/>
        <v>EXECUTADA</v>
      </c>
    </row>
    <row r="193" spans="1:19" s="137" customFormat="1" ht="18" x14ac:dyDescent="0.25">
      <c r="A193" s="129" t="s">
        <v>2690</v>
      </c>
      <c r="B193" s="130" t="s">
        <v>27</v>
      </c>
      <c r="C193" s="131"/>
      <c r="D193" s="132" t="s">
        <v>939</v>
      </c>
      <c r="E193" s="130"/>
      <c r="F193" s="133">
        <v>46136</v>
      </c>
      <c r="G193" s="134" t="str">
        <f t="shared" si="6"/>
        <v>Sex</v>
      </c>
      <c r="H193" s="135">
        <v>0.33333333333333331</v>
      </c>
      <c r="I193" s="130" t="s">
        <v>42</v>
      </c>
      <c r="J193" s="130" t="s">
        <v>940</v>
      </c>
      <c r="K193" s="130"/>
      <c r="L193" s="132" t="str">
        <f t="shared" si="7"/>
        <v>NÃO</v>
      </c>
      <c r="M193" s="130"/>
      <c r="N193" s="130"/>
      <c r="O193" s="130" t="s">
        <v>941</v>
      </c>
      <c r="P193" s="130">
        <v>34991421682</v>
      </c>
      <c r="Q193" s="130" t="s">
        <v>942</v>
      </c>
      <c r="R193" s="130" t="s">
        <v>943</v>
      </c>
      <c r="S193" s="136" t="str">
        <f t="shared" ca="1" si="8"/>
        <v>EXECUTADA</v>
      </c>
    </row>
    <row r="194" spans="1:19" s="55" customFormat="1" ht="18" x14ac:dyDescent="0.25">
      <c r="A194" s="56" t="s">
        <v>944</v>
      </c>
      <c r="B194" s="57" t="s">
        <v>30</v>
      </c>
      <c r="C194" s="58"/>
      <c r="D194" s="53" t="s">
        <v>868</v>
      </c>
      <c r="E194" s="57">
        <v>34997714067</v>
      </c>
      <c r="F194" s="59">
        <v>46136</v>
      </c>
      <c r="G194" s="51" t="str">
        <f t="shared" ref="G194:G257" si="9">PROPER(TEXT(F194,"DDD"))</f>
        <v>Sex</v>
      </c>
      <c r="H194" s="60">
        <v>0.41666666666666669</v>
      </c>
      <c r="I194" s="57" t="s">
        <v>46</v>
      </c>
      <c r="J194" s="57" t="s">
        <v>945</v>
      </c>
      <c r="K194" s="57" t="s">
        <v>107</v>
      </c>
      <c r="L194" s="53" t="str">
        <f t="shared" ref="L194:L252" si="10">IF(B194="MUD END","NÃO","SIM")</f>
        <v>SIM</v>
      </c>
      <c r="M194" s="57" t="s">
        <v>946</v>
      </c>
      <c r="N194" s="57" t="s">
        <v>89</v>
      </c>
      <c r="O194" s="57" t="s">
        <v>72</v>
      </c>
      <c r="P194" s="57" t="s">
        <v>72</v>
      </c>
      <c r="Q194" s="57" t="s">
        <v>947</v>
      </c>
      <c r="R194" s="57" t="s">
        <v>948</v>
      </c>
      <c r="S194" s="61" t="str">
        <f t="shared" ref="S194:S257" ca="1" si="11">IF(F194&lt;TODAY(),"EXECUTADA",IF(F194=TODAY(),"EM EXECUÇÃO",IF(F194=TODAY()+1,"VALIDAR HOJE",IF(F194&gt;TODAY()+1,"VALIDAR DEPOIS","-"))))</f>
        <v>EXECUTADA</v>
      </c>
    </row>
    <row r="195" spans="1:19" s="55" customFormat="1" ht="18" x14ac:dyDescent="0.25">
      <c r="A195" s="56" t="s">
        <v>949</v>
      </c>
      <c r="B195" s="57" t="s">
        <v>27</v>
      </c>
      <c r="C195" s="58"/>
      <c r="D195" s="53" t="s">
        <v>868</v>
      </c>
      <c r="E195" s="57">
        <v>34996859522</v>
      </c>
      <c r="F195" s="59">
        <v>46136</v>
      </c>
      <c r="G195" s="51" t="str">
        <f t="shared" si="9"/>
        <v>Sex</v>
      </c>
      <c r="H195" s="60">
        <v>0.41666666666666669</v>
      </c>
      <c r="I195" s="57" t="s">
        <v>38</v>
      </c>
      <c r="J195" s="57" t="s">
        <v>950</v>
      </c>
      <c r="K195" s="57" t="s">
        <v>71</v>
      </c>
      <c r="L195" s="53" t="str">
        <f t="shared" si="10"/>
        <v>NÃO</v>
      </c>
      <c r="M195" s="57" t="s">
        <v>72</v>
      </c>
      <c r="N195" s="57" t="s">
        <v>79</v>
      </c>
      <c r="O195" s="57" t="s">
        <v>951</v>
      </c>
      <c r="P195" s="57">
        <v>34996849522</v>
      </c>
      <c r="Q195" s="57" t="s">
        <v>952</v>
      </c>
      <c r="R195" s="57" t="s">
        <v>953</v>
      </c>
      <c r="S195" s="61" t="str">
        <f t="shared" ca="1" si="11"/>
        <v>EXECUTADA</v>
      </c>
    </row>
    <row r="196" spans="1:19" s="55" customFormat="1" ht="18" x14ac:dyDescent="0.25">
      <c r="A196" s="56" t="s">
        <v>954</v>
      </c>
      <c r="B196" s="57" t="s">
        <v>30</v>
      </c>
      <c r="C196" s="58"/>
      <c r="D196" s="53" t="s">
        <v>868</v>
      </c>
      <c r="E196" s="57">
        <v>34998768845</v>
      </c>
      <c r="F196" s="59">
        <v>46136</v>
      </c>
      <c r="G196" s="51" t="str">
        <f t="shared" si="9"/>
        <v>Sex</v>
      </c>
      <c r="H196" s="60">
        <v>0.54166666666666663</v>
      </c>
      <c r="I196" s="57" t="s">
        <v>46</v>
      </c>
      <c r="J196" s="57" t="s">
        <v>955</v>
      </c>
      <c r="K196" s="57" t="s">
        <v>87</v>
      </c>
      <c r="L196" s="53" t="str">
        <f t="shared" si="10"/>
        <v>SIM</v>
      </c>
      <c r="M196" s="57" t="s">
        <v>956</v>
      </c>
      <c r="N196" s="57" t="s">
        <v>89</v>
      </c>
      <c r="O196" s="57" t="s">
        <v>72</v>
      </c>
      <c r="P196" s="57" t="s">
        <v>72</v>
      </c>
      <c r="Q196" s="57" t="s">
        <v>957</v>
      </c>
      <c r="R196" s="57" t="s">
        <v>958</v>
      </c>
      <c r="S196" s="61" t="str">
        <f t="shared" ca="1" si="11"/>
        <v>EXECUTADA</v>
      </c>
    </row>
    <row r="197" spans="1:19" s="55" customFormat="1" ht="18" x14ac:dyDescent="0.25">
      <c r="A197" s="56" t="s">
        <v>959</v>
      </c>
      <c r="B197" s="57" t="s">
        <v>27</v>
      </c>
      <c r="C197" s="58"/>
      <c r="D197" s="53" t="s">
        <v>868</v>
      </c>
      <c r="E197" s="57">
        <v>34998828500</v>
      </c>
      <c r="F197" s="59">
        <v>46136</v>
      </c>
      <c r="G197" s="51" t="str">
        <f t="shared" si="9"/>
        <v>Sex</v>
      </c>
      <c r="H197" s="138">
        <v>0.54166666666666663</v>
      </c>
      <c r="I197" s="139" t="s">
        <v>38</v>
      </c>
      <c r="J197" s="139" t="s">
        <v>960</v>
      </c>
      <c r="K197" s="139" t="s">
        <v>71</v>
      </c>
      <c r="L197" s="53" t="str">
        <f t="shared" si="10"/>
        <v>NÃO</v>
      </c>
      <c r="M197" s="57" t="s">
        <v>72</v>
      </c>
      <c r="N197" s="57" t="s">
        <v>89</v>
      </c>
      <c r="O197" s="57" t="s">
        <v>72</v>
      </c>
      <c r="P197" s="139" t="s">
        <v>72</v>
      </c>
      <c r="Q197" s="139" t="s">
        <v>961</v>
      </c>
      <c r="R197" s="139" t="s">
        <v>962</v>
      </c>
      <c r="S197" s="61" t="str">
        <f t="shared" ca="1" si="11"/>
        <v>EXECUTADA</v>
      </c>
    </row>
    <row r="198" spans="1:19" s="55" customFormat="1" ht="18" x14ac:dyDescent="0.25">
      <c r="A198" s="62" t="s">
        <v>963</v>
      </c>
      <c r="B198" s="57" t="s">
        <v>30</v>
      </c>
      <c r="C198" s="58"/>
      <c r="D198" s="53" t="s">
        <v>868</v>
      </c>
      <c r="E198" s="57">
        <v>34991236270</v>
      </c>
      <c r="F198" s="59">
        <v>46136</v>
      </c>
      <c r="G198" s="140" t="str">
        <f t="shared" si="9"/>
        <v>Sex</v>
      </c>
      <c r="H198" s="60">
        <v>0.625</v>
      </c>
      <c r="I198" s="57" t="s">
        <v>46</v>
      </c>
      <c r="J198" s="57" t="s">
        <v>964</v>
      </c>
      <c r="K198" s="57" t="s">
        <v>132</v>
      </c>
      <c r="L198" s="141" t="str">
        <f t="shared" si="10"/>
        <v>SIM</v>
      </c>
      <c r="M198" s="57" t="s">
        <v>965</v>
      </c>
      <c r="N198" s="57" t="s">
        <v>89</v>
      </c>
      <c r="O198" s="142" t="s">
        <v>72</v>
      </c>
      <c r="P198" s="57" t="s">
        <v>72</v>
      </c>
      <c r="Q198" s="57" t="s">
        <v>966</v>
      </c>
      <c r="R198" s="57" t="s">
        <v>2691</v>
      </c>
      <c r="S198" s="143" t="str">
        <f t="shared" ca="1" si="11"/>
        <v>EXECUTADA</v>
      </c>
    </row>
    <row r="199" spans="1:19" s="55" customFormat="1" ht="18" x14ac:dyDescent="0.25">
      <c r="A199" s="56" t="s">
        <v>967</v>
      </c>
      <c r="B199" s="57" t="s">
        <v>30</v>
      </c>
      <c r="C199" s="58"/>
      <c r="D199" s="53" t="s">
        <v>868</v>
      </c>
      <c r="E199" s="57">
        <v>34998167585</v>
      </c>
      <c r="F199" s="59">
        <v>46136</v>
      </c>
      <c r="G199" s="140" t="str">
        <f t="shared" si="9"/>
        <v>Sex</v>
      </c>
      <c r="H199" s="60">
        <v>0.625</v>
      </c>
      <c r="I199" s="57" t="s">
        <v>46</v>
      </c>
      <c r="J199" s="57" t="s">
        <v>968</v>
      </c>
      <c r="K199" s="57" t="s">
        <v>94</v>
      </c>
      <c r="L199" s="141" t="str">
        <f t="shared" si="10"/>
        <v>SIM</v>
      </c>
      <c r="M199" s="57" t="s">
        <v>649</v>
      </c>
      <c r="N199" s="57" t="s">
        <v>79</v>
      </c>
      <c r="O199" s="142" t="s">
        <v>969</v>
      </c>
      <c r="P199" s="57">
        <v>34992176494</v>
      </c>
      <c r="Q199" s="57" t="s">
        <v>970</v>
      </c>
      <c r="R199" s="57" t="s">
        <v>971</v>
      </c>
      <c r="S199" s="143" t="str">
        <f t="shared" ca="1" si="11"/>
        <v>EXECUTADA</v>
      </c>
    </row>
    <row r="200" spans="1:19" s="55" customFormat="1" ht="18" x14ac:dyDescent="0.25">
      <c r="A200" s="64" t="s">
        <v>972</v>
      </c>
      <c r="B200" s="57" t="s">
        <v>27</v>
      </c>
      <c r="C200" s="58"/>
      <c r="D200" s="53" t="s">
        <v>868</v>
      </c>
      <c r="E200" s="57">
        <v>34998141005</v>
      </c>
      <c r="F200" s="59">
        <v>46136</v>
      </c>
      <c r="G200" s="51" t="str">
        <f t="shared" si="9"/>
        <v>Sex</v>
      </c>
      <c r="H200" s="144">
        <v>0.70833333333333337</v>
      </c>
      <c r="I200" s="61" t="s">
        <v>42</v>
      </c>
      <c r="J200" s="61" t="s">
        <v>973</v>
      </c>
      <c r="K200" s="61" t="s">
        <v>71</v>
      </c>
      <c r="L200" s="53" t="str">
        <f t="shared" si="10"/>
        <v>NÃO</v>
      </c>
      <c r="M200" s="57" t="s">
        <v>72</v>
      </c>
      <c r="N200" s="57" t="s">
        <v>89</v>
      </c>
      <c r="O200" s="142" t="s">
        <v>72</v>
      </c>
      <c r="P200" s="57" t="s">
        <v>72</v>
      </c>
      <c r="Q200" s="57" t="s">
        <v>974</v>
      </c>
      <c r="R200" s="57" t="s">
        <v>975</v>
      </c>
      <c r="S200" s="143" t="str">
        <f t="shared" ca="1" si="11"/>
        <v>EXECUTADA</v>
      </c>
    </row>
    <row r="201" spans="1:19" s="55" customFormat="1" ht="18" x14ac:dyDescent="0.25">
      <c r="A201" s="87" t="s">
        <v>976</v>
      </c>
      <c r="B201" s="57" t="s">
        <v>27</v>
      </c>
      <c r="C201" s="58"/>
      <c r="D201" s="53" t="s">
        <v>868</v>
      </c>
      <c r="E201" s="57">
        <v>34991295849</v>
      </c>
      <c r="F201" s="59">
        <v>46136</v>
      </c>
      <c r="G201" s="51" t="str">
        <f t="shared" si="9"/>
        <v>Sex</v>
      </c>
      <c r="H201" s="60">
        <v>0.70833333333333337</v>
      </c>
      <c r="I201" s="57" t="s">
        <v>42</v>
      </c>
      <c r="J201" s="57" t="s">
        <v>977</v>
      </c>
      <c r="K201" s="57" t="s">
        <v>87</v>
      </c>
      <c r="L201" s="53" t="str">
        <f t="shared" si="10"/>
        <v>NÃO</v>
      </c>
      <c r="M201" s="57" t="s">
        <v>72</v>
      </c>
      <c r="N201" s="57" t="s">
        <v>89</v>
      </c>
      <c r="O201" s="57" t="s">
        <v>72</v>
      </c>
      <c r="P201" s="61" t="s">
        <v>72</v>
      </c>
      <c r="Q201" s="61" t="s">
        <v>978</v>
      </c>
      <c r="R201" s="61" t="s">
        <v>979</v>
      </c>
      <c r="S201" s="61" t="str">
        <f t="shared" ca="1" si="11"/>
        <v>EXECUTADA</v>
      </c>
    </row>
    <row r="202" spans="1:19" s="55" customFormat="1" ht="18" x14ac:dyDescent="0.25">
      <c r="A202" s="100" t="s">
        <v>980</v>
      </c>
      <c r="B202" s="57" t="s">
        <v>30</v>
      </c>
      <c r="C202" s="58"/>
      <c r="D202" s="53" t="s">
        <v>981</v>
      </c>
      <c r="E202" s="57">
        <v>34992555277</v>
      </c>
      <c r="F202" s="59">
        <v>46137</v>
      </c>
      <c r="G202" s="51" t="str">
        <f t="shared" si="9"/>
        <v>Sáb</v>
      </c>
      <c r="H202" s="60">
        <v>0.33333333333333331</v>
      </c>
      <c r="I202" s="57" t="s">
        <v>42</v>
      </c>
      <c r="J202" s="57" t="s">
        <v>982</v>
      </c>
      <c r="K202" s="57" t="s">
        <v>107</v>
      </c>
      <c r="L202" s="53" t="str">
        <f t="shared" si="10"/>
        <v>SIM</v>
      </c>
      <c r="M202" s="57" t="s">
        <v>197</v>
      </c>
      <c r="N202" s="57" t="s">
        <v>79</v>
      </c>
      <c r="O202" s="57" t="s">
        <v>983</v>
      </c>
      <c r="P202" s="57" t="s">
        <v>984</v>
      </c>
      <c r="Q202" s="57" t="s">
        <v>985</v>
      </c>
      <c r="R202" s="57" t="s">
        <v>986</v>
      </c>
      <c r="S202" s="61" t="str">
        <f t="shared" ca="1" si="11"/>
        <v>EXECUTADA</v>
      </c>
    </row>
    <row r="203" spans="1:19" s="55" customFormat="1" ht="18" x14ac:dyDescent="0.25">
      <c r="A203" s="100" t="s">
        <v>987</v>
      </c>
      <c r="B203" s="57" t="s">
        <v>30</v>
      </c>
      <c r="C203" s="58"/>
      <c r="D203" s="53" t="s">
        <v>988</v>
      </c>
      <c r="E203" s="57">
        <v>34998731430</v>
      </c>
      <c r="F203" s="59">
        <v>46137</v>
      </c>
      <c r="G203" s="51" t="str">
        <f t="shared" si="9"/>
        <v>Sáb</v>
      </c>
      <c r="H203" s="60">
        <v>0.33333333333333331</v>
      </c>
      <c r="I203" s="57" t="s">
        <v>46</v>
      </c>
      <c r="J203" s="57" t="s">
        <v>989</v>
      </c>
      <c r="K203" s="57" t="s">
        <v>146</v>
      </c>
      <c r="L203" s="53" t="str">
        <f t="shared" si="10"/>
        <v>SIM</v>
      </c>
      <c r="M203" s="57" t="s">
        <v>990</v>
      </c>
      <c r="N203" s="57" t="s">
        <v>79</v>
      </c>
      <c r="O203" s="57" t="s">
        <v>991</v>
      </c>
      <c r="P203" s="57">
        <v>34998731430</v>
      </c>
      <c r="Q203" s="57" t="s">
        <v>992</v>
      </c>
      <c r="R203" s="57" t="s">
        <v>993</v>
      </c>
      <c r="S203" s="61" t="str">
        <f t="shared" ca="1" si="11"/>
        <v>EXECUTADA</v>
      </c>
    </row>
    <row r="204" spans="1:19" s="55" customFormat="1" ht="18" x14ac:dyDescent="0.25">
      <c r="A204" s="56" t="s">
        <v>2692</v>
      </c>
      <c r="B204" s="57" t="s">
        <v>27</v>
      </c>
      <c r="C204" s="58"/>
      <c r="D204" s="53" t="s">
        <v>868</v>
      </c>
      <c r="E204" s="57">
        <v>34997653361</v>
      </c>
      <c r="F204" s="59">
        <v>46137</v>
      </c>
      <c r="G204" s="51" t="str">
        <f t="shared" si="9"/>
        <v>Sáb</v>
      </c>
      <c r="H204" s="60">
        <v>0.41666666666666669</v>
      </c>
      <c r="I204" s="57" t="s">
        <v>42</v>
      </c>
      <c r="J204" s="57" t="s">
        <v>994</v>
      </c>
      <c r="K204" s="57" t="s">
        <v>107</v>
      </c>
      <c r="L204" s="53" t="str">
        <f t="shared" si="10"/>
        <v>NÃO</v>
      </c>
      <c r="M204" s="57" t="s">
        <v>72</v>
      </c>
      <c r="N204" s="57" t="s">
        <v>89</v>
      </c>
      <c r="O204" s="57" t="s">
        <v>72</v>
      </c>
      <c r="P204" s="57" t="s">
        <v>72</v>
      </c>
      <c r="Q204" s="57" t="s">
        <v>995</v>
      </c>
      <c r="R204" s="57" t="s">
        <v>996</v>
      </c>
      <c r="S204" s="61" t="str">
        <f t="shared" ca="1" si="11"/>
        <v>EXECUTADA</v>
      </c>
    </row>
    <row r="205" spans="1:19" s="55" customFormat="1" ht="18" x14ac:dyDescent="0.25">
      <c r="A205" s="56" t="s">
        <v>997</v>
      </c>
      <c r="B205" s="57" t="s">
        <v>30</v>
      </c>
      <c r="C205" s="58"/>
      <c r="D205" s="53" t="s">
        <v>868</v>
      </c>
      <c r="E205" s="57">
        <v>34996486238</v>
      </c>
      <c r="F205" s="59">
        <v>46137</v>
      </c>
      <c r="G205" s="51" t="str">
        <f t="shared" si="9"/>
        <v>Sáb</v>
      </c>
      <c r="H205" s="60" t="s">
        <v>183</v>
      </c>
      <c r="I205" s="57" t="s">
        <v>46</v>
      </c>
      <c r="J205" s="57" t="s">
        <v>998</v>
      </c>
      <c r="K205" s="57" t="s">
        <v>107</v>
      </c>
      <c r="L205" s="53" t="str">
        <f t="shared" si="10"/>
        <v>SIM</v>
      </c>
      <c r="M205" s="57" t="s">
        <v>401</v>
      </c>
      <c r="N205" s="57" t="s">
        <v>89</v>
      </c>
      <c r="O205" s="57" t="s">
        <v>72</v>
      </c>
      <c r="P205" s="57" t="s">
        <v>72</v>
      </c>
      <c r="Q205" s="57" t="s">
        <v>999</v>
      </c>
      <c r="R205" s="57" t="s">
        <v>1000</v>
      </c>
      <c r="S205" s="61" t="str">
        <f t="shared" ca="1" si="11"/>
        <v>EXECUTADA</v>
      </c>
    </row>
    <row r="206" spans="1:19" s="55" customFormat="1" ht="18" x14ac:dyDescent="0.25">
      <c r="A206" s="72" t="s">
        <v>1001</v>
      </c>
      <c r="B206" s="57" t="s">
        <v>30</v>
      </c>
      <c r="C206" s="58"/>
      <c r="D206" s="53" t="s">
        <v>868</v>
      </c>
      <c r="E206" s="57">
        <v>34998975997</v>
      </c>
      <c r="F206" s="59">
        <v>46139</v>
      </c>
      <c r="G206" s="51" t="str">
        <f t="shared" si="9"/>
        <v>Seg</v>
      </c>
      <c r="H206" s="60">
        <v>0.33333333333333331</v>
      </c>
      <c r="I206" s="57" t="s">
        <v>46</v>
      </c>
      <c r="J206" s="57" t="s">
        <v>1002</v>
      </c>
      <c r="K206" s="57" t="s">
        <v>139</v>
      </c>
      <c r="L206" s="53" t="str">
        <f t="shared" si="10"/>
        <v>SIM</v>
      </c>
      <c r="M206" s="57" t="s">
        <v>1003</v>
      </c>
      <c r="N206" s="57" t="s">
        <v>89</v>
      </c>
      <c r="O206" s="57" t="s">
        <v>72</v>
      </c>
      <c r="P206" s="57" t="s">
        <v>72</v>
      </c>
      <c r="Q206" s="57" t="s">
        <v>1004</v>
      </c>
      <c r="R206" s="57" t="s">
        <v>1005</v>
      </c>
      <c r="S206" s="61" t="str">
        <f t="shared" ca="1" si="11"/>
        <v>EXECUTADA</v>
      </c>
    </row>
    <row r="207" spans="1:19" s="55" customFormat="1" ht="18" x14ac:dyDescent="0.25">
      <c r="A207" s="100" t="s">
        <v>1006</v>
      </c>
      <c r="B207" s="57" t="s">
        <v>27</v>
      </c>
      <c r="C207" s="58"/>
      <c r="D207" s="53" t="s">
        <v>868</v>
      </c>
      <c r="E207" s="57">
        <v>34993002692</v>
      </c>
      <c r="F207" s="59">
        <v>46139</v>
      </c>
      <c r="G207" s="51" t="str">
        <f t="shared" si="9"/>
        <v>Seg</v>
      </c>
      <c r="H207" s="60">
        <v>0.41666666666666669</v>
      </c>
      <c r="I207" s="57" t="s">
        <v>35</v>
      </c>
      <c r="J207" s="57" t="s">
        <v>1007</v>
      </c>
      <c r="K207" s="57" t="s">
        <v>107</v>
      </c>
      <c r="L207" s="53" t="str">
        <f t="shared" si="10"/>
        <v>NÃO</v>
      </c>
      <c r="M207" s="57" t="s">
        <v>72</v>
      </c>
      <c r="N207" s="57" t="s">
        <v>89</v>
      </c>
      <c r="O207" s="57" t="s">
        <v>72</v>
      </c>
      <c r="P207" s="57" t="s">
        <v>72</v>
      </c>
      <c r="Q207" s="57" t="s">
        <v>1008</v>
      </c>
      <c r="R207" s="57" t="s">
        <v>1009</v>
      </c>
      <c r="S207" s="61" t="str">
        <f t="shared" ca="1" si="11"/>
        <v>EXECUTADA</v>
      </c>
    </row>
    <row r="208" spans="1:19" s="55" customFormat="1" ht="18" x14ac:dyDescent="0.25">
      <c r="A208" s="56" t="s">
        <v>1010</v>
      </c>
      <c r="B208" s="57" t="s">
        <v>30</v>
      </c>
      <c r="C208" s="58"/>
      <c r="D208" s="53" t="s">
        <v>868</v>
      </c>
      <c r="E208" s="57">
        <v>34998801576</v>
      </c>
      <c r="F208" s="59">
        <v>46139</v>
      </c>
      <c r="G208" s="51" t="str">
        <f t="shared" si="9"/>
        <v>Seg</v>
      </c>
      <c r="H208" s="60">
        <v>0.41666666666666669</v>
      </c>
      <c r="I208" s="57" t="s">
        <v>46</v>
      </c>
      <c r="J208" s="57" t="s">
        <v>1011</v>
      </c>
      <c r="K208" s="57" t="s">
        <v>139</v>
      </c>
      <c r="L208" s="53" t="str">
        <f t="shared" si="10"/>
        <v>SIM</v>
      </c>
      <c r="M208" s="57" t="s">
        <v>1012</v>
      </c>
      <c r="N208" s="57" t="s">
        <v>79</v>
      </c>
      <c r="O208" s="57" t="s">
        <v>536</v>
      </c>
      <c r="P208" s="57" t="s">
        <v>537</v>
      </c>
      <c r="Q208" s="57" t="s">
        <v>1013</v>
      </c>
      <c r="R208" s="57" t="s">
        <v>1014</v>
      </c>
      <c r="S208" s="61" t="str">
        <f t="shared" ca="1" si="11"/>
        <v>EXECUTADA</v>
      </c>
    </row>
    <row r="209" spans="1:19" s="55" customFormat="1" ht="18" x14ac:dyDescent="0.25">
      <c r="A209" s="56" t="s">
        <v>1015</v>
      </c>
      <c r="B209" s="57" t="s">
        <v>27</v>
      </c>
      <c r="C209" s="58"/>
      <c r="D209" s="53" t="s">
        <v>868</v>
      </c>
      <c r="E209" s="57">
        <v>34997762802</v>
      </c>
      <c r="F209" s="59">
        <v>46139</v>
      </c>
      <c r="G209" s="51" t="str">
        <f t="shared" si="9"/>
        <v>Seg</v>
      </c>
      <c r="H209" s="60">
        <v>0.54166666666666663</v>
      </c>
      <c r="I209" s="57" t="s">
        <v>35</v>
      </c>
      <c r="J209" s="57" t="s">
        <v>1016</v>
      </c>
      <c r="K209" s="57" t="s">
        <v>87</v>
      </c>
      <c r="L209" s="53" t="str">
        <f t="shared" si="10"/>
        <v>NÃO</v>
      </c>
      <c r="M209" s="57" t="s">
        <v>72</v>
      </c>
      <c r="N209" s="57" t="s">
        <v>89</v>
      </c>
      <c r="O209" s="57" t="s">
        <v>72</v>
      </c>
      <c r="P209" s="57" t="s">
        <v>72</v>
      </c>
      <c r="Q209" s="57" t="s">
        <v>1017</v>
      </c>
      <c r="R209" s="57" t="s">
        <v>1018</v>
      </c>
      <c r="S209" s="61" t="str">
        <f t="shared" ca="1" si="11"/>
        <v>EXECUTADA</v>
      </c>
    </row>
    <row r="210" spans="1:19" s="55" customFormat="1" ht="18" x14ac:dyDescent="0.25">
      <c r="A210" s="56" t="s">
        <v>2693</v>
      </c>
      <c r="B210" s="57" t="s">
        <v>30</v>
      </c>
      <c r="C210" s="58"/>
      <c r="D210" s="53" t="s">
        <v>868</v>
      </c>
      <c r="E210" s="57">
        <v>34996507517</v>
      </c>
      <c r="F210" s="59">
        <v>46139</v>
      </c>
      <c r="G210" s="51" t="str">
        <f t="shared" si="9"/>
        <v>Seg</v>
      </c>
      <c r="H210" s="60">
        <v>0.54166666666666663</v>
      </c>
      <c r="I210" s="57" t="s">
        <v>46</v>
      </c>
      <c r="J210" s="57" t="s">
        <v>1019</v>
      </c>
      <c r="K210" s="57" t="s">
        <v>146</v>
      </c>
      <c r="L210" s="53" t="str">
        <f t="shared" si="10"/>
        <v>SIM</v>
      </c>
      <c r="M210" s="57" t="s">
        <v>1020</v>
      </c>
      <c r="N210" s="57" t="s">
        <v>89</v>
      </c>
      <c r="O210" s="57" t="s">
        <v>72</v>
      </c>
      <c r="P210" s="57" t="s">
        <v>72</v>
      </c>
      <c r="Q210" s="57" t="s">
        <v>1021</v>
      </c>
      <c r="R210" s="57" t="s">
        <v>1022</v>
      </c>
      <c r="S210" s="61" t="str">
        <f t="shared" ca="1" si="11"/>
        <v>EXECUTADA</v>
      </c>
    </row>
    <row r="211" spans="1:19" s="55" customFormat="1" ht="18" x14ac:dyDescent="0.25">
      <c r="A211" s="145" t="s">
        <v>2694</v>
      </c>
      <c r="B211" s="57" t="s">
        <v>27</v>
      </c>
      <c r="C211" s="58"/>
      <c r="D211" s="53" t="s">
        <v>868</v>
      </c>
      <c r="E211" s="57">
        <v>34991676218</v>
      </c>
      <c r="F211" s="59">
        <v>46139</v>
      </c>
      <c r="G211" s="51" t="str">
        <f t="shared" si="9"/>
        <v>Seg</v>
      </c>
      <c r="H211" s="60">
        <v>0.625</v>
      </c>
      <c r="I211" s="57" t="s">
        <v>35</v>
      </c>
      <c r="J211" s="57" t="s">
        <v>1023</v>
      </c>
      <c r="K211" s="57" t="s">
        <v>146</v>
      </c>
      <c r="L211" s="53" t="str">
        <f t="shared" si="10"/>
        <v>NÃO</v>
      </c>
      <c r="M211" s="57" t="s">
        <v>72</v>
      </c>
      <c r="N211" s="57" t="s">
        <v>89</v>
      </c>
      <c r="O211" s="57" t="s">
        <v>72</v>
      </c>
      <c r="P211" s="57" t="s">
        <v>72</v>
      </c>
      <c r="Q211" s="57" t="s">
        <v>1024</v>
      </c>
      <c r="R211" s="57" t="s">
        <v>1025</v>
      </c>
      <c r="S211" s="61" t="str">
        <f t="shared" ca="1" si="11"/>
        <v>EXECUTADA</v>
      </c>
    </row>
    <row r="212" spans="1:19" s="55" customFormat="1" ht="18" x14ac:dyDescent="0.25">
      <c r="A212" s="56" t="s">
        <v>2695</v>
      </c>
      <c r="B212" s="57" t="s">
        <v>27</v>
      </c>
      <c r="C212" s="58"/>
      <c r="D212" s="53" t="s">
        <v>868</v>
      </c>
      <c r="E212" s="57">
        <v>34996881257</v>
      </c>
      <c r="F212" s="59">
        <v>46139</v>
      </c>
      <c r="G212" s="51" t="str">
        <f t="shared" si="9"/>
        <v>Seg</v>
      </c>
      <c r="H212" s="60">
        <v>0.625</v>
      </c>
      <c r="I212" s="57" t="s">
        <v>38</v>
      </c>
      <c r="J212" s="57" t="s">
        <v>1026</v>
      </c>
      <c r="K212" s="57" t="s">
        <v>132</v>
      </c>
      <c r="L212" s="53" t="str">
        <f t="shared" si="10"/>
        <v>NÃO</v>
      </c>
      <c r="M212" s="57" t="s">
        <v>72</v>
      </c>
      <c r="N212" s="57" t="s">
        <v>89</v>
      </c>
      <c r="O212" s="57" t="s">
        <v>72</v>
      </c>
      <c r="P212" s="57" t="s">
        <v>72</v>
      </c>
      <c r="Q212" s="57" t="s">
        <v>1027</v>
      </c>
      <c r="R212" s="57" t="s">
        <v>1028</v>
      </c>
      <c r="S212" s="61" t="str">
        <f t="shared" ca="1" si="11"/>
        <v>EXECUTADA</v>
      </c>
    </row>
    <row r="213" spans="1:19" s="55" customFormat="1" ht="18" x14ac:dyDescent="0.25">
      <c r="A213" s="67" t="s">
        <v>1029</v>
      </c>
      <c r="B213" s="57" t="s">
        <v>27</v>
      </c>
      <c r="C213" s="58"/>
      <c r="D213" s="53" t="s">
        <v>868</v>
      </c>
      <c r="E213" s="57">
        <v>34974008922</v>
      </c>
      <c r="F213" s="59">
        <v>46139</v>
      </c>
      <c r="G213" s="51" t="str">
        <f t="shared" si="9"/>
        <v>Seg</v>
      </c>
      <c r="H213" s="60">
        <v>0.70833333333333337</v>
      </c>
      <c r="I213" s="57" t="s">
        <v>42</v>
      </c>
      <c r="J213" s="57" t="s">
        <v>1030</v>
      </c>
      <c r="K213" s="57" t="s">
        <v>107</v>
      </c>
      <c r="L213" s="53" t="str">
        <f t="shared" si="10"/>
        <v>NÃO</v>
      </c>
      <c r="M213" s="57" t="s">
        <v>72</v>
      </c>
      <c r="N213" s="57" t="s">
        <v>79</v>
      </c>
      <c r="O213" s="57" t="s">
        <v>1031</v>
      </c>
      <c r="P213" s="57" t="s">
        <v>1032</v>
      </c>
      <c r="Q213" s="57" t="s">
        <v>1033</v>
      </c>
      <c r="R213" s="57" t="s">
        <v>1034</v>
      </c>
      <c r="S213" s="61" t="str">
        <f t="shared" ca="1" si="11"/>
        <v>EXECUTADA</v>
      </c>
    </row>
    <row r="214" spans="1:19" s="55" customFormat="1" ht="18" x14ac:dyDescent="0.25">
      <c r="A214" s="100" t="s">
        <v>1035</v>
      </c>
      <c r="B214" s="57" t="s">
        <v>27</v>
      </c>
      <c r="C214" s="58"/>
      <c r="D214" s="53" t="s">
        <v>868</v>
      </c>
      <c r="E214" s="57">
        <v>62981611907</v>
      </c>
      <c r="F214" s="59">
        <v>46139</v>
      </c>
      <c r="G214" s="51" t="str">
        <f t="shared" si="9"/>
        <v>Seg</v>
      </c>
      <c r="H214" s="60">
        <v>0.70833333333333337</v>
      </c>
      <c r="I214" s="57" t="s">
        <v>35</v>
      </c>
      <c r="J214" s="57" t="s">
        <v>1036</v>
      </c>
      <c r="K214" s="57" t="s">
        <v>71</v>
      </c>
      <c r="L214" s="53" t="str">
        <f t="shared" si="10"/>
        <v>NÃO</v>
      </c>
      <c r="M214" s="57" t="s">
        <v>72</v>
      </c>
      <c r="N214" s="57" t="s">
        <v>79</v>
      </c>
      <c r="O214" s="57" t="s">
        <v>1037</v>
      </c>
      <c r="P214" s="57" t="s">
        <v>1038</v>
      </c>
      <c r="Q214" s="57" t="s">
        <v>1039</v>
      </c>
      <c r="R214" s="57" t="s">
        <v>1040</v>
      </c>
      <c r="S214" s="61" t="str">
        <f t="shared" ca="1" si="11"/>
        <v>EXECUTADA</v>
      </c>
    </row>
    <row r="215" spans="1:19" s="55" customFormat="1" ht="18" x14ac:dyDescent="0.25">
      <c r="A215" s="146" t="s">
        <v>1041</v>
      </c>
      <c r="B215" s="57" t="s">
        <v>30</v>
      </c>
      <c r="C215" s="58"/>
      <c r="D215" s="53" t="s">
        <v>868</v>
      </c>
      <c r="E215" s="57">
        <v>64992356006</v>
      </c>
      <c r="F215" s="59">
        <v>46140</v>
      </c>
      <c r="G215" s="51" t="str">
        <f t="shared" si="9"/>
        <v>Ter</v>
      </c>
      <c r="H215" s="60">
        <v>0.33333333333333331</v>
      </c>
      <c r="I215" s="57" t="s">
        <v>46</v>
      </c>
      <c r="J215" s="57" t="s">
        <v>1042</v>
      </c>
      <c r="K215" s="57" t="s">
        <v>132</v>
      </c>
      <c r="L215" s="53" t="str">
        <f t="shared" si="10"/>
        <v>SIM</v>
      </c>
      <c r="M215" s="57" t="s">
        <v>1043</v>
      </c>
      <c r="N215" s="57" t="s">
        <v>89</v>
      </c>
      <c r="O215" s="57" t="s">
        <v>72</v>
      </c>
      <c r="P215" s="57" t="s">
        <v>72</v>
      </c>
      <c r="Q215" s="57" t="s">
        <v>1044</v>
      </c>
      <c r="R215" s="57" t="s">
        <v>1045</v>
      </c>
      <c r="S215" s="61" t="str">
        <f t="shared" ca="1" si="11"/>
        <v>EXECUTADA</v>
      </c>
    </row>
    <row r="216" spans="1:19" s="55" customFormat="1" ht="18" x14ac:dyDescent="0.25">
      <c r="A216" s="64" t="s">
        <v>1046</v>
      </c>
      <c r="B216" s="57" t="s">
        <v>27</v>
      </c>
      <c r="C216" s="58"/>
      <c r="D216" s="53" t="s">
        <v>868</v>
      </c>
      <c r="E216" s="57">
        <v>34999280551</v>
      </c>
      <c r="F216" s="59">
        <v>46140</v>
      </c>
      <c r="G216" s="51" t="str">
        <f t="shared" si="9"/>
        <v>Ter</v>
      </c>
      <c r="H216" s="60">
        <v>0.33333333333333331</v>
      </c>
      <c r="I216" s="57" t="s">
        <v>35</v>
      </c>
      <c r="J216" s="57" t="s">
        <v>1047</v>
      </c>
      <c r="K216" s="57" t="s">
        <v>146</v>
      </c>
      <c r="L216" s="53" t="str">
        <f t="shared" si="10"/>
        <v>NÃO</v>
      </c>
      <c r="M216" s="57" t="s">
        <v>72</v>
      </c>
      <c r="N216" s="57" t="s">
        <v>89</v>
      </c>
      <c r="O216" s="57" t="s">
        <v>72</v>
      </c>
      <c r="P216" s="57" t="s">
        <v>72</v>
      </c>
      <c r="Q216" s="57" t="s">
        <v>1048</v>
      </c>
      <c r="R216" s="57" t="s">
        <v>1049</v>
      </c>
      <c r="S216" s="61" t="str">
        <f t="shared" ca="1" si="11"/>
        <v>EXECUTADA</v>
      </c>
    </row>
    <row r="217" spans="1:19" s="55" customFormat="1" ht="18" x14ac:dyDescent="0.25">
      <c r="A217" s="56" t="s">
        <v>1050</v>
      </c>
      <c r="B217" s="57" t="s">
        <v>30</v>
      </c>
      <c r="C217" s="58"/>
      <c r="D217" s="53" t="s">
        <v>1051</v>
      </c>
      <c r="E217" s="57">
        <v>34992751435</v>
      </c>
      <c r="F217" s="59">
        <v>46140</v>
      </c>
      <c r="G217" s="51" t="str">
        <f t="shared" si="9"/>
        <v>Ter</v>
      </c>
      <c r="H217" s="60">
        <v>0.41666666666666669</v>
      </c>
      <c r="I217" s="57" t="s">
        <v>46</v>
      </c>
      <c r="J217" s="57" t="s">
        <v>1052</v>
      </c>
      <c r="K217" s="57" t="s">
        <v>100</v>
      </c>
      <c r="L217" s="53" t="str">
        <f t="shared" si="10"/>
        <v>SIM</v>
      </c>
      <c r="M217" s="57" t="s">
        <v>1053</v>
      </c>
      <c r="N217" s="57" t="s">
        <v>89</v>
      </c>
      <c r="O217" s="57" t="s">
        <v>72</v>
      </c>
      <c r="P217" s="57" t="s">
        <v>72</v>
      </c>
      <c r="Q217" s="57" t="s">
        <v>1054</v>
      </c>
      <c r="R217" s="57" t="s">
        <v>1055</v>
      </c>
      <c r="S217" s="61" t="str">
        <f t="shared" ca="1" si="11"/>
        <v>EXECUTADA</v>
      </c>
    </row>
    <row r="218" spans="1:19" s="83" customFormat="1" ht="18" x14ac:dyDescent="0.25">
      <c r="A218" s="147" t="s">
        <v>1056</v>
      </c>
      <c r="B218" s="74" t="s">
        <v>27</v>
      </c>
      <c r="C218" s="75"/>
      <c r="D218" s="148" t="s">
        <v>1057</v>
      </c>
      <c r="E218" s="74">
        <v>34996331149</v>
      </c>
      <c r="F218" s="92">
        <v>46140</v>
      </c>
      <c r="G218" s="93" t="str">
        <f t="shared" si="9"/>
        <v>Ter</v>
      </c>
      <c r="H218" s="77">
        <v>0.41666666666666669</v>
      </c>
      <c r="I218" s="74" t="s">
        <v>38</v>
      </c>
      <c r="J218" s="74" t="s">
        <v>1058</v>
      </c>
      <c r="K218" s="74" t="s">
        <v>1059</v>
      </c>
      <c r="L218" s="78" t="str">
        <f t="shared" si="10"/>
        <v>NÃO</v>
      </c>
      <c r="M218" s="74" t="s">
        <v>72</v>
      </c>
      <c r="N218" s="74" t="s">
        <v>89</v>
      </c>
      <c r="O218" s="74" t="s">
        <v>72</v>
      </c>
      <c r="P218" s="74" t="s">
        <v>72</v>
      </c>
      <c r="Q218" s="74" t="s">
        <v>1060</v>
      </c>
      <c r="R218" s="74" t="s">
        <v>1061</v>
      </c>
      <c r="S218" s="79" t="str">
        <f t="shared" ca="1" si="11"/>
        <v>EXECUTADA</v>
      </c>
    </row>
    <row r="219" spans="1:19" s="137" customFormat="1" ht="18" x14ac:dyDescent="0.25">
      <c r="A219" s="149" t="s">
        <v>1062</v>
      </c>
      <c r="B219" s="130" t="s">
        <v>27</v>
      </c>
      <c r="C219" s="131"/>
      <c r="D219" s="132" t="s">
        <v>1063</v>
      </c>
      <c r="E219" s="130">
        <v>34991333627</v>
      </c>
      <c r="F219" s="133">
        <v>46140</v>
      </c>
      <c r="G219" s="134" t="str">
        <f t="shared" si="9"/>
        <v>Ter</v>
      </c>
      <c r="H219" s="135">
        <v>0.54166666666666663</v>
      </c>
      <c r="I219" s="130" t="s">
        <v>42</v>
      </c>
      <c r="J219" s="130" t="s">
        <v>1064</v>
      </c>
      <c r="K219" s="130"/>
      <c r="L219" s="132" t="str">
        <f t="shared" si="10"/>
        <v>NÃO</v>
      </c>
      <c r="M219" s="130"/>
      <c r="N219" s="130"/>
      <c r="O219" s="130"/>
      <c r="P219" s="130"/>
      <c r="Q219" s="130"/>
      <c r="R219" s="130"/>
      <c r="S219" s="136" t="str">
        <f t="shared" ca="1" si="11"/>
        <v>EXECUTADA</v>
      </c>
    </row>
    <row r="220" spans="1:19" s="55" customFormat="1" ht="18" x14ac:dyDescent="0.25">
      <c r="A220" s="56" t="s">
        <v>2696</v>
      </c>
      <c r="B220" s="57" t="s">
        <v>30</v>
      </c>
      <c r="C220" s="58"/>
      <c r="D220" s="53" t="s">
        <v>1065</v>
      </c>
      <c r="E220" s="57">
        <v>34999767258</v>
      </c>
      <c r="F220" s="59">
        <v>46140</v>
      </c>
      <c r="G220" s="51" t="str">
        <f t="shared" si="9"/>
        <v>Ter</v>
      </c>
      <c r="H220" s="60">
        <v>0.54166666666666663</v>
      </c>
      <c r="I220" s="57" t="s">
        <v>46</v>
      </c>
      <c r="J220" s="57" t="s">
        <v>1066</v>
      </c>
      <c r="K220" s="57" t="s">
        <v>87</v>
      </c>
      <c r="L220" s="53" t="str">
        <f t="shared" si="10"/>
        <v>SIM</v>
      </c>
      <c r="M220" s="57" t="s">
        <v>1067</v>
      </c>
      <c r="N220" s="57" t="s">
        <v>89</v>
      </c>
      <c r="O220" s="57" t="s">
        <v>72</v>
      </c>
      <c r="P220" s="57" t="s">
        <v>72</v>
      </c>
      <c r="Q220" s="57" t="s">
        <v>1068</v>
      </c>
      <c r="R220" s="57" t="s">
        <v>1069</v>
      </c>
      <c r="S220" s="61" t="str">
        <f t="shared" ca="1" si="11"/>
        <v>EXECUTADA</v>
      </c>
    </row>
    <row r="221" spans="1:19" s="55" customFormat="1" ht="18" x14ac:dyDescent="0.25">
      <c r="A221" s="56" t="s">
        <v>1070</v>
      </c>
      <c r="B221" s="57" t="s">
        <v>27</v>
      </c>
      <c r="C221" s="58"/>
      <c r="D221" s="53" t="s">
        <v>868</v>
      </c>
      <c r="E221" s="57">
        <v>37998127479</v>
      </c>
      <c r="F221" s="59">
        <v>46140</v>
      </c>
      <c r="G221" s="51" t="str">
        <f t="shared" si="9"/>
        <v>Ter</v>
      </c>
      <c r="H221" s="60">
        <v>0.625</v>
      </c>
      <c r="I221" s="57" t="s">
        <v>38</v>
      </c>
      <c r="J221" s="57" t="s">
        <v>1071</v>
      </c>
      <c r="K221" s="57" t="s">
        <v>146</v>
      </c>
      <c r="L221" s="53" t="str">
        <f t="shared" si="10"/>
        <v>NÃO</v>
      </c>
      <c r="M221" s="57" t="s">
        <v>1072</v>
      </c>
      <c r="N221" s="57" t="s">
        <v>89</v>
      </c>
      <c r="O221" s="57" t="s">
        <v>1073</v>
      </c>
      <c r="P221" s="57">
        <v>34999863530</v>
      </c>
      <c r="Q221" s="57" t="s">
        <v>1074</v>
      </c>
      <c r="R221" s="57" t="s">
        <v>1075</v>
      </c>
      <c r="S221" s="61" t="str">
        <f t="shared" ca="1" si="11"/>
        <v>EXECUTADA</v>
      </c>
    </row>
    <row r="222" spans="1:19" s="55" customFormat="1" ht="18" x14ac:dyDescent="0.25">
      <c r="A222" s="56" t="s">
        <v>2697</v>
      </c>
      <c r="B222" s="57" t="s">
        <v>27</v>
      </c>
      <c r="C222" s="58"/>
      <c r="D222" s="53" t="s">
        <v>868</v>
      </c>
      <c r="E222" s="57">
        <v>34992429714</v>
      </c>
      <c r="F222" s="59">
        <v>46140</v>
      </c>
      <c r="G222" s="51" t="str">
        <f t="shared" si="9"/>
        <v>Ter</v>
      </c>
      <c r="H222" s="60">
        <v>0.70833333333333337</v>
      </c>
      <c r="I222" s="57" t="s">
        <v>42</v>
      </c>
      <c r="J222" s="57" t="s">
        <v>1076</v>
      </c>
      <c r="K222" s="57" t="s">
        <v>71</v>
      </c>
      <c r="L222" s="53" t="str">
        <f t="shared" si="10"/>
        <v>NÃO</v>
      </c>
      <c r="M222" s="57" t="s">
        <v>72</v>
      </c>
      <c r="N222" s="57" t="s">
        <v>89</v>
      </c>
      <c r="O222" s="57" t="s">
        <v>72</v>
      </c>
      <c r="P222" s="57" t="s">
        <v>72</v>
      </c>
      <c r="Q222" s="57" t="s">
        <v>1077</v>
      </c>
      <c r="R222" s="57" t="s">
        <v>1078</v>
      </c>
      <c r="S222" s="61" t="str">
        <f t="shared" ca="1" si="11"/>
        <v>EXECUTADA</v>
      </c>
    </row>
    <row r="223" spans="1:19" s="55" customFormat="1" ht="18" x14ac:dyDescent="0.25">
      <c r="A223" s="56" t="s">
        <v>2698</v>
      </c>
      <c r="B223" s="57" t="s">
        <v>30</v>
      </c>
      <c r="C223" s="58"/>
      <c r="D223" s="53" t="s">
        <v>868</v>
      </c>
      <c r="E223" s="57">
        <v>34997291307</v>
      </c>
      <c r="F223" s="59">
        <v>46140</v>
      </c>
      <c r="G223" s="51" t="str">
        <f t="shared" si="9"/>
        <v>Ter</v>
      </c>
      <c r="H223" s="60">
        <v>0.70833333333333337</v>
      </c>
      <c r="I223" s="57" t="s">
        <v>46</v>
      </c>
      <c r="J223" s="57" t="s">
        <v>1079</v>
      </c>
      <c r="K223" s="57" t="s">
        <v>146</v>
      </c>
      <c r="L223" s="53" t="str">
        <f t="shared" si="10"/>
        <v>SIM</v>
      </c>
      <c r="M223" s="57" t="s">
        <v>1080</v>
      </c>
      <c r="N223" s="57" t="s">
        <v>89</v>
      </c>
      <c r="O223" s="57" t="s">
        <v>72</v>
      </c>
      <c r="P223" s="57" t="s">
        <v>72</v>
      </c>
      <c r="Q223" s="57" t="s">
        <v>1081</v>
      </c>
      <c r="R223" s="57" t="s">
        <v>1082</v>
      </c>
      <c r="S223" s="61" t="str">
        <f t="shared" ca="1" si="11"/>
        <v>EXECUTADA</v>
      </c>
    </row>
    <row r="224" spans="1:19" s="55" customFormat="1" ht="18" x14ac:dyDescent="0.25">
      <c r="A224" s="100" t="s">
        <v>1083</v>
      </c>
      <c r="B224" s="57" t="s">
        <v>30</v>
      </c>
      <c r="C224" s="58"/>
      <c r="D224" s="53" t="s">
        <v>868</v>
      </c>
      <c r="E224" s="57">
        <v>34984341284</v>
      </c>
      <c r="F224" s="59">
        <v>46141</v>
      </c>
      <c r="G224" s="51" t="str">
        <f t="shared" si="9"/>
        <v>Qua</v>
      </c>
      <c r="H224" s="60">
        <v>0.33333333333333331</v>
      </c>
      <c r="I224" s="57" t="s">
        <v>46</v>
      </c>
      <c r="J224" s="57" t="s">
        <v>1084</v>
      </c>
      <c r="K224" s="57" t="s">
        <v>146</v>
      </c>
      <c r="L224" s="53" t="str">
        <f t="shared" si="10"/>
        <v>SIM</v>
      </c>
      <c r="M224" s="57" t="s">
        <v>1085</v>
      </c>
      <c r="N224" s="57" t="s">
        <v>89</v>
      </c>
      <c r="O224" s="57" t="s">
        <v>72</v>
      </c>
      <c r="P224" s="57" t="s">
        <v>72</v>
      </c>
      <c r="Q224" s="57" t="s">
        <v>1086</v>
      </c>
      <c r="R224" s="57" t="s">
        <v>1087</v>
      </c>
      <c r="S224" s="61" t="str">
        <f t="shared" ca="1" si="11"/>
        <v>EXECUTADA</v>
      </c>
    </row>
    <row r="225" spans="1:26" s="55" customFormat="1" ht="18" x14ac:dyDescent="0.25">
      <c r="A225" s="100" t="s">
        <v>1088</v>
      </c>
      <c r="B225" s="57" t="s">
        <v>30</v>
      </c>
      <c r="C225" s="58"/>
      <c r="D225" s="53" t="s">
        <v>868</v>
      </c>
      <c r="E225" s="57">
        <v>34998896040</v>
      </c>
      <c r="F225" s="59">
        <v>46141</v>
      </c>
      <c r="G225" s="51" t="str">
        <f t="shared" si="9"/>
        <v>Qua</v>
      </c>
      <c r="H225" s="60">
        <v>0.33333333333333331</v>
      </c>
      <c r="I225" s="57" t="s">
        <v>46</v>
      </c>
      <c r="J225" s="57" t="s">
        <v>1089</v>
      </c>
      <c r="K225" s="57" t="s">
        <v>100</v>
      </c>
      <c r="L225" s="53" t="str">
        <f t="shared" si="10"/>
        <v>SIM</v>
      </c>
      <c r="M225" s="57" t="s">
        <v>197</v>
      </c>
      <c r="N225" s="57" t="s">
        <v>89</v>
      </c>
      <c r="O225" s="57" t="s">
        <v>72</v>
      </c>
      <c r="P225" s="57" t="s">
        <v>72</v>
      </c>
      <c r="Q225" s="57" t="s">
        <v>1090</v>
      </c>
      <c r="R225" s="57" t="s">
        <v>1091</v>
      </c>
      <c r="S225" s="61" t="str">
        <f t="shared" ca="1" si="11"/>
        <v>EXECUTADA</v>
      </c>
    </row>
    <row r="226" spans="1:26" s="55" customFormat="1" ht="18" x14ac:dyDescent="0.25">
      <c r="A226" s="56" t="s">
        <v>1092</v>
      </c>
      <c r="B226" s="57" t="s">
        <v>30</v>
      </c>
      <c r="C226" s="58"/>
      <c r="D226" s="53" t="s">
        <v>868</v>
      </c>
      <c r="E226" s="57">
        <v>34984200216</v>
      </c>
      <c r="F226" s="59">
        <v>46141</v>
      </c>
      <c r="G226" s="51" t="str">
        <f t="shared" si="9"/>
        <v>Qua</v>
      </c>
      <c r="H226" s="60">
        <v>0.41666666666666669</v>
      </c>
      <c r="I226" s="57" t="s">
        <v>46</v>
      </c>
      <c r="J226" s="57" t="s">
        <v>1093</v>
      </c>
      <c r="K226" s="57" t="s">
        <v>146</v>
      </c>
      <c r="L226" s="53" t="str">
        <f t="shared" si="10"/>
        <v>SIM</v>
      </c>
      <c r="M226" s="57" t="s">
        <v>1094</v>
      </c>
      <c r="N226" s="57" t="s">
        <v>89</v>
      </c>
      <c r="O226" s="57" t="s">
        <v>72</v>
      </c>
      <c r="P226" s="57" t="s">
        <v>72</v>
      </c>
      <c r="Q226" s="57" t="s">
        <v>1095</v>
      </c>
      <c r="R226" s="57" t="s">
        <v>1096</v>
      </c>
      <c r="S226" s="61" t="str">
        <f t="shared" ca="1" si="11"/>
        <v>EXECUTADA</v>
      </c>
    </row>
    <row r="227" spans="1:26" s="55" customFormat="1" ht="18" x14ac:dyDescent="0.25">
      <c r="A227" s="56" t="s">
        <v>1097</v>
      </c>
      <c r="B227" s="57" t="s">
        <v>27</v>
      </c>
      <c r="C227" s="58"/>
      <c r="D227" s="53" t="s">
        <v>868</v>
      </c>
      <c r="E227" s="57">
        <v>34991253647</v>
      </c>
      <c r="F227" s="59">
        <v>46141</v>
      </c>
      <c r="G227" s="51" t="str">
        <f t="shared" si="9"/>
        <v>Qua</v>
      </c>
      <c r="H227" s="60">
        <v>0.41666666666666669</v>
      </c>
      <c r="I227" s="57" t="s">
        <v>42</v>
      </c>
      <c r="J227" s="57" t="s">
        <v>1098</v>
      </c>
      <c r="K227" s="57" t="s">
        <v>71</v>
      </c>
      <c r="L227" s="53" t="str">
        <f t="shared" si="10"/>
        <v>NÃO</v>
      </c>
      <c r="M227" s="57" t="s">
        <v>72</v>
      </c>
      <c r="N227" s="57" t="s">
        <v>89</v>
      </c>
      <c r="O227" s="57" t="s">
        <v>72</v>
      </c>
      <c r="P227" s="57" t="s">
        <v>72</v>
      </c>
      <c r="Q227" s="57" t="s">
        <v>1099</v>
      </c>
      <c r="R227" s="57" t="s">
        <v>2699</v>
      </c>
      <c r="S227" s="61" t="str">
        <f t="shared" ca="1" si="11"/>
        <v>EXECUTADA</v>
      </c>
    </row>
    <row r="228" spans="1:26" s="55" customFormat="1" ht="18" x14ac:dyDescent="0.25">
      <c r="A228" s="56" t="s">
        <v>1100</v>
      </c>
      <c r="B228" s="57" t="s">
        <v>30</v>
      </c>
      <c r="C228" s="58"/>
      <c r="D228" s="53" t="s">
        <v>1101</v>
      </c>
      <c r="E228" s="57">
        <v>34991806293</v>
      </c>
      <c r="F228" s="59">
        <v>46141</v>
      </c>
      <c r="G228" s="51" t="str">
        <f t="shared" si="9"/>
        <v>Qua</v>
      </c>
      <c r="H228" s="60">
        <v>0.54166666666666663</v>
      </c>
      <c r="I228" s="57" t="s">
        <v>46</v>
      </c>
      <c r="J228" s="57" t="s">
        <v>1102</v>
      </c>
      <c r="K228" s="57" t="s">
        <v>139</v>
      </c>
      <c r="L228" s="53" t="str">
        <f t="shared" si="10"/>
        <v>SIM</v>
      </c>
      <c r="M228" s="57" t="s">
        <v>1103</v>
      </c>
      <c r="N228" s="57"/>
      <c r="O228" s="57"/>
      <c r="P228" s="57"/>
      <c r="Q228" s="57" t="s">
        <v>1104</v>
      </c>
      <c r="R228" s="57" t="s">
        <v>1105</v>
      </c>
      <c r="S228" s="61" t="str">
        <f t="shared" ca="1" si="11"/>
        <v>EXECUTADA</v>
      </c>
    </row>
    <row r="229" spans="1:26" s="55" customFormat="1" ht="18" x14ac:dyDescent="0.25">
      <c r="A229" s="56" t="s">
        <v>2700</v>
      </c>
      <c r="B229" s="57" t="s">
        <v>27</v>
      </c>
      <c r="C229" s="58"/>
      <c r="D229" s="53" t="s">
        <v>868</v>
      </c>
      <c r="E229" s="57">
        <v>34984477734</v>
      </c>
      <c r="F229" s="59">
        <v>46141</v>
      </c>
      <c r="G229" s="51" t="str">
        <f t="shared" si="9"/>
        <v>Qua</v>
      </c>
      <c r="H229" s="60">
        <v>0.625</v>
      </c>
      <c r="I229" s="57" t="s">
        <v>42</v>
      </c>
      <c r="J229" s="57" t="s">
        <v>1106</v>
      </c>
      <c r="K229" s="57" t="s">
        <v>146</v>
      </c>
      <c r="L229" s="53" t="str">
        <f t="shared" si="10"/>
        <v>NÃO</v>
      </c>
      <c r="M229" s="57" t="s">
        <v>72</v>
      </c>
      <c r="N229" s="57" t="s">
        <v>79</v>
      </c>
      <c r="O229" s="57" t="s">
        <v>1107</v>
      </c>
      <c r="P229" s="57" t="s">
        <v>1108</v>
      </c>
      <c r="Q229" s="57" t="s">
        <v>1109</v>
      </c>
      <c r="R229" s="57" t="s">
        <v>1110</v>
      </c>
      <c r="S229" s="61" t="str">
        <f t="shared" ca="1" si="11"/>
        <v>EXECUTADA</v>
      </c>
    </row>
    <row r="230" spans="1:26" s="55" customFormat="1" ht="18" x14ac:dyDescent="0.25">
      <c r="A230" s="100" t="s">
        <v>2701</v>
      </c>
      <c r="B230" s="57" t="s">
        <v>27</v>
      </c>
      <c r="C230" s="58"/>
      <c r="D230" s="53" t="s">
        <v>868</v>
      </c>
      <c r="E230" s="57">
        <v>34997981335</v>
      </c>
      <c r="F230" s="59">
        <v>46142</v>
      </c>
      <c r="G230" s="51" t="str">
        <f t="shared" si="9"/>
        <v>Qui</v>
      </c>
      <c r="H230" s="60">
        <v>0.33333333333333331</v>
      </c>
      <c r="I230" s="57" t="s">
        <v>35</v>
      </c>
      <c r="J230" s="57" t="s">
        <v>1111</v>
      </c>
      <c r="K230" s="57" t="s">
        <v>87</v>
      </c>
      <c r="L230" s="53" t="str">
        <f t="shared" si="10"/>
        <v>NÃO</v>
      </c>
      <c r="M230" s="57" t="s">
        <v>72</v>
      </c>
      <c r="N230" s="57" t="s">
        <v>89</v>
      </c>
      <c r="O230" s="57" t="s">
        <v>72</v>
      </c>
      <c r="P230" s="57" t="s">
        <v>72</v>
      </c>
      <c r="Q230" s="57" t="s">
        <v>1112</v>
      </c>
      <c r="R230" s="57" t="s">
        <v>1113</v>
      </c>
      <c r="S230" s="61" t="str">
        <f t="shared" ca="1" si="11"/>
        <v>EXECUTADA</v>
      </c>
    </row>
    <row r="231" spans="1:26" s="55" customFormat="1" ht="18" x14ac:dyDescent="0.25">
      <c r="A231" s="56" t="s">
        <v>1114</v>
      </c>
      <c r="B231" s="57" t="s">
        <v>30</v>
      </c>
      <c r="C231" s="58"/>
      <c r="D231" s="53" t="s">
        <v>1115</v>
      </c>
      <c r="E231" s="57">
        <v>34991496391</v>
      </c>
      <c r="F231" s="59">
        <v>46142</v>
      </c>
      <c r="G231" s="51" t="str">
        <f t="shared" si="9"/>
        <v>Qui</v>
      </c>
      <c r="H231" s="60">
        <v>0.33333333333333331</v>
      </c>
      <c r="I231" s="57" t="s">
        <v>46</v>
      </c>
      <c r="J231" s="95" t="s">
        <v>2702</v>
      </c>
      <c r="K231" s="57" t="s">
        <v>100</v>
      </c>
      <c r="L231" s="53" t="str">
        <f t="shared" si="10"/>
        <v>SIM</v>
      </c>
      <c r="M231" s="57" t="s">
        <v>1116</v>
      </c>
      <c r="N231" s="57" t="s">
        <v>89</v>
      </c>
      <c r="O231" s="57" t="s">
        <v>1117</v>
      </c>
      <c r="P231" s="57">
        <v>34991496391</v>
      </c>
      <c r="Q231" s="57" t="s">
        <v>1118</v>
      </c>
      <c r="R231" s="57" t="s">
        <v>1119</v>
      </c>
      <c r="S231" s="61" t="str">
        <f t="shared" ca="1" si="11"/>
        <v>EXECUTADA</v>
      </c>
    </row>
    <row r="232" spans="1:26" s="81" customFormat="1" ht="18" x14ac:dyDescent="0.25">
      <c r="A232" s="86" t="s">
        <v>2703</v>
      </c>
      <c r="B232" s="38" t="s">
        <v>27</v>
      </c>
      <c r="C232" s="39"/>
      <c r="D232" s="40" t="s">
        <v>1120</v>
      </c>
      <c r="E232" s="38">
        <v>34999885745</v>
      </c>
      <c r="F232" s="41">
        <v>46142</v>
      </c>
      <c r="G232" s="42" t="str">
        <f t="shared" si="9"/>
        <v>Qui</v>
      </c>
      <c r="H232" s="43">
        <v>0.33333333333333331</v>
      </c>
      <c r="I232" s="38" t="s">
        <v>42</v>
      </c>
      <c r="J232" s="38" t="s">
        <v>1121</v>
      </c>
      <c r="K232" s="38" t="s">
        <v>146</v>
      </c>
      <c r="L232" s="40" t="str">
        <f t="shared" si="10"/>
        <v>NÃO</v>
      </c>
      <c r="M232" s="38" t="s">
        <v>72</v>
      </c>
      <c r="N232" s="38" t="s">
        <v>89</v>
      </c>
      <c r="O232" s="38" t="s">
        <v>72</v>
      </c>
      <c r="P232" s="38" t="s">
        <v>72</v>
      </c>
      <c r="Q232" s="38" t="s">
        <v>1122</v>
      </c>
      <c r="R232" s="38"/>
      <c r="S232" s="44" t="str">
        <f t="shared" ca="1" si="11"/>
        <v>EXECUTADA</v>
      </c>
    </row>
    <row r="233" spans="1:26" s="55" customFormat="1" ht="18" x14ac:dyDescent="0.25">
      <c r="A233" s="56" t="s">
        <v>2704</v>
      </c>
      <c r="B233" s="57" t="s">
        <v>30</v>
      </c>
      <c r="C233" s="58"/>
      <c r="D233" s="53" t="s">
        <v>1123</v>
      </c>
      <c r="E233" s="57">
        <v>34988180550</v>
      </c>
      <c r="F233" s="59">
        <v>46142</v>
      </c>
      <c r="G233" s="51" t="str">
        <f t="shared" si="9"/>
        <v>Qui</v>
      </c>
      <c r="H233" s="60">
        <v>0.41666666666666669</v>
      </c>
      <c r="I233" s="57" t="s">
        <v>46</v>
      </c>
      <c r="J233" s="57" t="s">
        <v>1124</v>
      </c>
      <c r="K233" s="57" t="s">
        <v>132</v>
      </c>
      <c r="L233" s="53" t="str">
        <f t="shared" si="10"/>
        <v>SIM</v>
      </c>
      <c r="M233" s="57" t="s">
        <v>1125</v>
      </c>
      <c r="N233" s="57" t="s">
        <v>79</v>
      </c>
      <c r="O233" s="57" t="s">
        <v>1126</v>
      </c>
      <c r="P233" s="57">
        <v>64999737680</v>
      </c>
      <c r="Q233" s="57" t="s">
        <v>1127</v>
      </c>
      <c r="R233" s="57" t="s">
        <v>1128</v>
      </c>
      <c r="S233" s="61" t="str">
        <f t="shared" ca="1" si="11"/>
        <v>EXECUTADA</v>
      </c>
    </row>
    <row r="234" spans="1:26" s="55" customFormat="1" ht="18" x14ac:dyDescent="0.25">
      <c r="A234" s="150" t="s">
        <v>1129</v>
      </c>
      <c r="B234" s="57" t="s">
        <v>30</v>
      </c>
      <c r="C234" s="58"/>
      <c r="D234" s="53" t="s">
        <v>868</v>
      </c>
      <c r="E234" s="57" t="s">
        <v>1130</v>
      </c>
      <c r="F234" s="59">
        <v>46142</v>
      </c>
      <c r="G234" s="51" t="str">
        <f t="shared" si="9"/>
        <v>Qui</v>
      </c>
      <c r="H234" s="60">
        <v>0.41666666666666669</v>
      </c>
      <c r="I234" s="57" t="s">
        <v>46</v>
      </c>
      <c r="J234" s="57" t="s">
        <v>1131</v>
      </c>
      <c r="K234" s="57" t="s">
        <v>1132</v>
      </c>
      <c r="L234" s="53" t="str">
        <f t="shared" si="10"/>
        <v>SIM</v>
      </c>
      <c r="M234" s="57" t="s">
        <v>1133</v>
      </c>
      <c r="N234" s="57" t="s">
        <v>89</v>
      </c>
      <c r="O234" s="57" t="s">
        <v>72</v>
      </c>
      <c r="P234" s="57" t="s">
        <v>72</v>
      </c>
      <c r="Q234" s="57" t="s">
        <v>1134</v>
      </c>
      <c r="R234" s="57" t="s">
        <v>2705</v>
      </c>
      <c r="S234" s="61" t="str">
        <f t="shared" ca="1" si="11"/>
        <v>EXECUTADA</v>
      </c>
    </row>
    <row r="235" spans="1:26" s="55" customFormat="1" ht="18" x14ac:dyDescent="0.25">
      <c r="A235" s="56" t="s">
        <v>2706</v>
      </c>
      <c r="B235" s="57" t="s">
        <v>30</v>
      </c>
      <c r="C235" s="58"/>
      <c r="D235" s="53" t="s">
        <v>868</v>
      </c>
      <c r="E235" s="57">
        <v>34991516258</v>
      </c>
      <c r="F235" s="59">
        <v>46142</v>
      </c>
      <c r="G235" s="51" t="str">
        <f t="shared" si="9"/>
        <v>Qui</v>
      </c>
      <c r="H235" s="60">
        <v>0.54166666666666663</v>
      </c>
      <c r="I235" s="57" t="s">
        <v>46</v>
      </c>
      <c r="J235" s="57" t="s">
        <v>1135</v>
      </c>
      <c r="K235" s="57" t="s">
        <v>87</v>
      </c>
      <c r="L235" s="53" t="str">
        <f t="shared" si="10"/>
        <v>SIM</v>
      </c>
      <c r="M235" s="57" t="s">
        <v>1136</v>
      </c>
      <c r="N235" s="57" t="s">
        <v>89</v>
      </c>
      <c r="O235" s="57" t="s">
        <v>72</v>
      </c>
      <c r="P235" s="57" t="s">
        <v>72</v>
      </c>
      <c r="Q235" s="57" t="s">
        <v>1137</v>
      </c>
      <c r="R235" s="57" t="s">
        <v>1138</v>
      </c>
      <c r="S235" s="61" t="str">
        <f t="shared" ca="1" si="11"/>
        <v>EXECUTADA</v>
      </c>
    </row>
    <row r="236" spans="1:26" s="81" customFormat="1" ht="18" x14ac:dyDescent="0.25">
      <c r="A236" s="86" t="s">
        <v>2707</v>
      </c>
      <c r="B236" s="38" t="s">
        <v>27</v>
      </c>
      <c r="C236" s="39"/>
      <c r="D236" s="40" t="s">
        <v>1139</v>
      </c>
      <c r="E236" s="38">
        <v>34991450679</v>
      </c>
      <c r="F236" s="41">
        <v>46142</v>
      </c>
      <c r="G236" s="42" t="str">
        <f t="shared" si="9"/>
        <v>Qui</v>
      </c>
      <c r="H236" s="43">
        <v>0.625</v>
      </c>
      <c r="I236" s="38" t="s">
        <v>35</v>
      </c>
      <c r="J236" s="38" t="s">
        <v>1140</v>
      </c>
      <c r="K236" s="38"/>
      <c r="L236" s="40" t="str">
        <f t="shared" si="10"/>
        <v>NÃO</v>
      </c>
      <c r="M236" s="38"/>
      <c r="N236" s="38"/>
      <c r="O236" s="38"/>
      <c r="P236" s="38"/>
      <c r="Q236" s="38" t="s">
        <v>1141</v>
      </c>
      <c r="R236" s="38" t="s">
        <v>1142</v>
      </c>
      <c r="S236" s="44" t="str">
        <f t="shared" ca="1" si="11"/>
        <v>EXECUTADA</v>
      </c>
    </row>
    <row r="237" spans="1:26" s="55" customFormat="1" ht="18" x14ac:dyDescent="0.25">
      <c r="A237" s="56" t="s">
        <v>1143</v>
      </c>
      <c r="B237" s="57" t="s">
        <v>30</v>
      </c>
      <c r="C237" s="58"/>
      <c r="D237" s="53" t="s">
        <v>868</v>
      </c>
      <c r="E237" s="57">
        <v>34993326200</v>
      </c>
      <c r="F237" s="59">
        <v>46142</v>
      </c>
      <c r="G237" s="51" t="str">
        <f t="shared" si="9"/>
        <v>Qui</v>
      </c>
      <c r="H237" s="60">
        <v>0.625</v>
      </c>
      <c r="I237" s="57" t="s">
        <v>46</v>
      </c>
      <c r="J237" s="57" t="s">
        <v>1144</v>
      </c>
      <c r="K237" s="57" t="s">
        <v>1145</v>
      </c>
      <c r="L237" s="53" t="str">
        <f t="shared" si="10"/>
        <v>SIM</v>
      </c>
      <c r="M237" s="57" t="s">
        <v>1146</v>
      </c>
      <c r="N237" s="57" t="s">
        <v>89</v>
      </c>
      <c r="O237" s="57" t="s">
        <v>72</v>
      </c>
      <c r="P237" s="57" t="s">
        <v>72</v>
      </c>
      <c r="Q237" s="57" t="s">
        <v>1147</v>
      </c>
      <c r="R237" s="57" t="s">
        <v>1148</v>
      </c>
      <c r="S237" s="61" t="str">
        <f t="shared" ca="1" si="11"/>
        <v>EXECUTADA</v>
      </c>
    </row>
    <row r="238" spans="1:26" s="55" customFormat="1" ht="18" x14ac:dyDescent="0.25">
      <c r="A238" s="56" t="s">
        <v>1149</v>
      </c>
      <c r="B238" s="57" t="s">
        <v>30</v>
      </c>
      <c r="C238" s="58"/>
      <c r="D238" s="53" t="s">
        <v>868</v>
      </c>
      <c r="E238" s="57">
        <v>34998177233</v>
      </c>
      <c r="F238" s="59">
        <v>46142</v>
      </c>
      <c r="G238" s="51" t="str">
        <f t="shared" si="9"/>
        <v>Qui</v>
      </c>
      <c r="H238" s="60">
        <v>0.70833333333333337</v>
      </c>
      <c r="I238" s="57" t="s">
        <v>46</v>
      </c>
      <c r="J238" s="57" t="s">
        <v>1150</v>
      </c>
      <c r="K238" s="57" t="s">
        <v>781</v>
      </c>
      <c r="L238" s="53" t="str">
        <f t="shared" si="10"/>
        <v>SIM</v>
      </c>
      <c r="M238" s="57" t="s">
        <v>1085</v>
      </c>
      <c r="N238" s="57" t="s">
        <v>89</v>
      </c>
      <c r="O238" s="57" t="s">
        <v>72</v>
      </c>
      <c r="P238" s="57" t="s">
        <v>72</v>
      </c>
      <c r="Q238" s="57" t="s">
        <v>1151</v>
      </c>
      <c r="R238" s="95" t="s">
        <v>2708</v>
      </c>
      <c r="S238" s="61" t="str">
        <f t="shared" ca="1" si="11"/>
        <v>EXECUTADA</v>
      </c>
    </row>
    <row r="239" spans="1:26" ht="18" x14ac:dyDescent="0.25">
      <c r="A239" s="56" t="s">
        <v>1152</v>
      </c>
      <c r="B239" s="57" t="s">
        <v>27</v>
      </c>
      <c r="C239" s="58"/>
      <c r="D239" s="53" t="s">
        <v>868</v>
      </c>
      <c r="E239" s="57">
        <v>34933001984</v>
      </c>
      <c r="F239" s="59">
        <v>46142</v>
      </c>
      <c r="G239" s="51" t="str">
        <f t="shared" si="9"/>
        <v>Qui</v>
      </c>
      <c r="H239" s="60">
        <v>0.70833333333333337</v>
      </c>
      <c r="I239" s="57" t="s">
        <v>42</v>
      </c>
      <c r="J239" s="57" t="s">
        <v>1153</v>
      </c>
      <c r="K239" s="57" t="s">
        <v>132</v>
      </c>
      <c r="L239" s="53" t="str">
        <f t="shared" si="10"/>
        <v>NÃO</v>
      </c>
      <c r="M239" s="57" t="s">
        <v>72</v>
      </c>
      <c r="N239" s="57" t="s">
        <v>89</v>
      </c>
      <c r="O239" s="57" t="s">
        <v>72</v>
      </c>
      <c r="P239" s="57" t="s">
        <v>72</v>
      </c>
      <c r="Q239" s="57" t="s">
        <v>1154</v>
      </c>
      <c r="R239" s="57" t="s">
        <v>1155</v>
      </c>
      <c r="S239" s="61" t="str">
        <f t="shared" ca="1" si="11"/>
        <v>EXECUTADA</v>
      </c>
      <c r="T239" s="55"/>
      <c r="U239" s="55"/>
      <c r="V239" s="55"/>
      <c r="W239" s="55"/>
      <c r="X239" s="55"/>
      <c r="Y239" s="55"/>
      <c r="Z239" s="55"/>
    </row>
    <row r="240" spans="1:26" s="55" customFormat="1" ht="18" x14ac:dyDescent="0.25">
      <c r="A240" s="64" t="s">
        <v>2709</v>
      </c>
      <c r="B240" s="57" t="s">
        <v>27</v>
      </c>
      <c r="C240" s="58"/>
      <c r="D240" s="53" t="s">
        <v>868</v>
      </c>
      <c r="E240" s="57">
        <v>3432311324</v>
      </c>
      <c r="F240" s="59">
        <v>46144</v>
      </c>
      <c r="G240" s="51" t="str">
        <f t="shared" si="9"/>
        <v>Sáb</v>
      </c>
      <c r="H240" s="60">
        <v>0.33333333333333331</v>
      </c>
      <c r="I240" s="57" t="s">
        <v>38</v>
      </c>
      <c r="J240" s="57" t="s">
        <v>1160</v>
      </c>
      <c r="K240" s="57" t="s">
        <v>87</v>
      </c>
      <c r="L240" s="53" t="str">
        <f t="shared" si="10"/>
        <v>NÃO</v>
      </c>
      <c r="M240" s="57" t="s">
        <v>72</v>
      </c>
      <c r="N240" s="57" t="s">
        <v>89</v>
      </c>
      <c r="O240" s="57" t="s">
        <v>72</v>
      </c>
      <c r="P240" s="57" t="s">
        <v>72</v>
      </c>
      <c r="Q240" s="57" t="s">
        <v>1161</v>
      </c>
      <c r="R240" s="57" t="s">
        <v>1162</v>
      </c>
      <c r="S240" s="61" t="str">
        <f t="shared" ca="1" si="11"/>
        <v>EXECUTADA</v>
      </c>
    </row>
    <row r="241" spans="1:19" s="55" customFormat="1" ht="15" customHeight="1" x14ac:dyDescent="0.25">
      <c r="A241" s="86" t="s">
        <v>2710</v>
      </c>
      <c r="B241" s="38" t="s">
        <v>27</v>
      </c>
      <c r="C241" s="39"/>
      <c r="D241" s="40" t="s">
        <v>1163</v>
      </c>
      <c r="E241" s="38">
        <v>34991355133</v>
      </c>
      <c r="F241" s="41">
        <v>46144</v>
      </c>
      <c r="G241" s="42" t="str">
        <f t="shared" si="9"/>
        <v>Sáb</v>
      </c>
      <c r="H241" s="43">
        <v>0.33333333333333331</v>
      </c>
      <c r="I241" s="38" t="s">
        <v>42</v>
      </c>
      <c r="J241" s="38" t="s">
        <v>1164</v>
      </c>
      <c r="K241" s="38" t="s">
        <v>146</v>
      </c>
      <c r="L241" s="40" t="str">
        <f t="shared" si="10"/>
        <v>NÃO</v>
      </c>
      <c r="M241" s="38" t="s">
        <v>72</v>
      </c>
      <c r="N241" s="38" t="s">
        <v>89</v>
      </c>
      <c r="O241" s="38" t="s">
        <v>72</v>
      </c>
      <c r="P241" s="38" t="s">
        <v>72</v>
      </c>
      <c r="Q241" s="38" t="s">
        <v>1165</v>
      </c>
      <c r="R241" s="38" t="s">
        <v>2711</v>
      </c>
      <c r="S241" s="44" t="str">
        <f t="shared" ca="1" si="11"/>
        <v>EXECUTADA</v>
      </c>
    </row>
    <row r="242" spans="1:19" s="81" customFormat="1" ht="18" x14ac:dyDescent="0.25">
      <c r="A242" s="56" t="s">
        <v>2712</v>
      </c>
      <c r="B242" s="57" t="s">
        <v>30</v>
      </c>
      <c r="C242" s="58"/>
      <c r="D242" s="53" t="s">
        <v>868</v>
      </c>
      <c r="E242" s="57">
        <v>34999706680</v>
      </c>
      <c r="F242" s="59">
        <v>46144</v>
      </c>
      <c r="G242" s="51" t="str">
        <f t="shared" si="9"/>
        <v>Sáb</v>
      </c>
      <c r="H242" s="60">
        <v>0.41666666666666669</v>
      </c>
      <c r="I242" s="57" t="s">
        <v>46</v>
      </c>
      <c r="J242" s="57" t="s">
        <v>1166</v>
      </c>
      <c r="K242" s="57" t="s">
        <v>139</v>
      </c>
      <c r="L242" s="53" t="str">
        <f t="shared" si="10"/>
        <v>SIM</v>
      </c>
      <c r="M242" s="57" t="s">
        <v>1167</v>
      </c>
      <c r="N242" s="57" t="s">
        <v>79</v>
      </c>
      <c r="O242" s="57" t="s">
        <v>1168</v>
      </c>
      <c r="P242" s="57">
        <v>34999716680</v>
      </c>
      <c r="Q242" s="57" t="s">
        <v>1169</v>
      </c>
      <c r="R242" s="57" t="s">
        <v>1170</v>
      </c>
      <c r="S242" s="61" t="str">
        <f t="shared" ca="1" si="11"/>
        <v>EXECUTADA</v>
      </c>
    </row>
    <row r="243" spans="1:19" s="55" customFormat="1" ht="18" x14ac:dyDescent="0.25">
      <c r="A243" s="56" t="s">
        <v>1171</v>
      </c>
      <c r="B243" s="57" t="s">
        <v>27</v>
      </c>
      <c r="C243" s="58"/>
      <c r="D243" s="53" t="s">
        <v>868</v>
      </c>
      <c r="E243" s="57">
        <v>34999007759</v>
      </c>
      <c r="F243" s="59">
        <v>46144</v>
      </c>
      <c r="G243" s="51" t="str">
        <f t="shared" si="9"/>
        <v>Sáb</v>
      </c>
      <c r="H243" s="60" t="s">
        <v>1172</v>
      </c>
      <c r="I243" s="57" t="s">
        <v>35</v>
      </c>
      <c r="J243" s="57" t="s">
        <v>1173</v>
      </c>
      <c r="K243" s="57" t="s">
        <v>87</v>
      </c>
      <c r="L243" s="53" t="str">
        <f t="shared" si="10"/>
        <v>NÃO</v>
      </c>
      <c r="M243" s="57" t="s">
        <v>72</v>
      </c>
      <c r="N243" s="57" t="s">
        <v>89</v>
      </c>
      <c r="O243" s="57" t="s">
        <v>72</v>
      </c>
      <c r="P243" s="57" t="s">
        <v>72</v>
      </c>
      <c r="Q243" s="57" t="s">
        <v>1174</v>
      </c>
      <c r="R243" s="57" t="s">
        <v>1175</v>
      </c>
      <c r="S243" s="61" t="str">
        <f t="shared" ca="1" si="11"/>
        <v>EXECUTADA</v>
      </c>
    </row>
    <row r="244" spans="1:19" s="55" customFormat="1" ht="18" x14ac:dyDescent="0.25">
      <c r="A244" s="56" t="s">
        <v>2713</v>
      </c>
      <c r="B244" s="57" t="s">
        <v>27</v>
      </c>
      <c r="C244" s="58"/>
      <c r="D244" s="53" t="s">
        <v>868</v>
      </c>
      <c r="E244" s="57">
        <v>34999792821</v>
      </c>
      <c r="F244" s="59">
        <v>46144</v>
      </c>
      <c r="G244" s="51" t="str">
        <f t="shared" si="9"/>
        <v>Sáb</v>
      </c>
      <c r="H244" s="60" t="s">
        <v>1172</v>
      </c>
      <c r="I244" s="57" t="s">
        <v>35</v>
      </c>
      <c r="J244" s="57" t="s">
        <v>1176</v>
      </c>
      <c r="K244" s="57" t="s">
        <v>132</v>
      </c>
      <c r="L244" s="53" t="str">
        <f t="shared" si="10"/>
        <v>NÃO</v>
      </c>
      <c r="M244" s="57" t="s">
        <v>72</v>
      </c>
      <c r="N244" s="57" t="s">
        <v>89</v>
      </c>
      <c r="O244" s="57" t="s">
        <v>72</v>
      </c>
      <c r="P244" s="57" t="s">
        <v>72</v>
      </c>
      <c r="Q244" s="57" t="s">
        <v>1177</v>
      </c>
      <c r="R244" s="57" t="s">
        <v>1178</v>
      </c>
      <c r="S244" s="61" t="str">
        <f t="shared" ca="1" si="11"/>
        <v>EXECUTADA</v>
      </c>
    </row>
    <row r="245" spans="1:19" s="55" customFormat="1" ht="15" customHeight="1" x14ac:dyDescent="0.25">
      <c r="A245" s="64" t="s">
        <v>1156</v>
      </c>
      <c r="B245" s="57" t="s">
        <v>27</v>
      </c>
      <c r="C245" s="58"/>
      <c r="D245" s="53" t="s">
        <v>868</v>
      </c>
      <c r="E245" s="57">
        <v>34996904557</v>
      </c>
      <c r="F245" s="59">
        <v>46146</v>
      </c>
      <c r="G245" s="51" t="str">
        <f t="shared" si="9"/>
        <v>Seg</v>
      </c>
      <c r="H245" s="60">
        <v>0.33333333333333331</v>
      </c>
      <c r="I245" s="57" t="s">
        <v>42</v>
      </c>
      <c r="J245" s="57" t="s">
        <v>1157</v>
      </c>
      <c r="K245" s="57" t="s">
        <v>146</v>
      </c>
      <c r="L245" s="53" t="str">
        <f t="shared" si="10"/>
        <v>NÃO</v>
      </c>
      <c r="M245" s="57" t="s">
        <v>72</v>
      </c>
      <c r="N245" s="57" t="s">
        <v>89</v>
      </c>
      <c r="O245" s="57" t="s">
        <v>72</v>
      </c>
      <c r="P245" s="57" t="s">
        <v>72</v>
      </c>
      <c r="Q245" s="57" t="s">
        <v>1158</v>
      </c>
      <c r="R245" s="57" t="s">
        <v>1159</v>
      </c>
      <c r="S245" s="61" t="str">
        <f t="shared" ca="1" si="11"/>
        <v>EXECUTADA</v>
      </c>
    </row>
    <row r="246" spans="1:19" s="55" customFormat="1" ht="18" x14ac:dyDescent="0.25">
      <c r="A246" s="56" t="s">
        <v>2714</v>
      </c>
      <c r="B246" s="57" t="s">
        <v>27</v>
      </c>
      <c r="C246" s="58"/>
      <c r="D246" s="53" t="s">
        <v>868</v>
      </c>
      <c r="E246" s="57">
        <v>38999341430</v>
      </c>
      <c r="F246" s="59">
        <v>46146</v>
      </c>
      <c r="G246" s="51" t="str">
        <f t="shared" si="9"/>
        <v>Seg</v>
      </c>
      <c r="H246" s="60">
        <v>0.33333333333333331</v>
      </c>
      <c r="I246" s="57" t="s">
        <v>35</v>
      </c>
      <c r="J246" s="57" t="s">
        <v>1179</v>
      </c>
      <c r="K246" s="57" t="s">
        <v>132</v>
      </c>
      <c r="L246" s="53" t="str">
        <f t="shared" si="10"/>
        <v>NÃO</v>
      </c>
      <c r="M246" s="57" t="s">
        <v>72</v>
      </c>
      <c r="N246" s="57" t="s">
        <v>89</v>
      </c>
      <c r="O246" s="57" t="s">
        <v>72</v>
      </c>
      <c r="P246" s="57" t="s">
        <v>72</v>
      </c>
      <c r="Q246" s="57" t="s">
        <v>1180</v>
      </c>
      <c r="R246" s="57" t="s">
        <v>1181</v>
      </c>
      <c r="S246" s="61" t="str">
        <f t="shared" ca="1" si="11"/>
        <v>EXECUTADA</v>
      </c>
    </row>
    <row r="247" spans="1:19" s="55" customFormat="1" ht="18" x14ac:dyDescent="0.25">
      <c r="A247" s="151" t="s">
        <v>1182</v>
      </c>
      <c r="B247" s="57" t="s">
        <v>30</v>
      </c>
      <c r="C247" s="58"/>
      <c r="D247" s="65" t="s">
        <v>1183</v>
      </c>
      <c r="E247" s="57">
        <v>34999224478</v>
      </c>
      <c r="F247" s="59">
        <v>46146</v>
      </c>
      <c r="G247" s="51" t="str">
        <f t="shared" si="9"/>
        <v>Seg</v>
      </c>
      <c r="H247" s="60">
        <v>0.33333333333333331</v>
      </c>
      <c r="I247" s="57" t="s">
        <v>46</v>
      </c>
      <c r="J247" s="57" t="s">
        <v>1184</v>
      </c>
      <c r="K247" s="57" t="s">
        <v>1059</v>
      </c>
      <c r="L247" s="53" t="str">
        <f t="shared" si="10"/>
        <v>SIM</v>
      </c>
      <c r="M247" s="57" t="s">
        <v>1185</v>
      </c>
      <c r="N247" s="57" t="s">
        <v>89</v>
      </c>
      <c r="O247" s="57" t="s">
        <v>72</v>
      </c>
      <c r="P247" s="57" t="s">
        <v>72</v>
      </c>
      <c r="Q247" s="57" t="s">
        <v>1186</v>
      </c>
      <c r="R247" s="57" t="s">
        <v>1187</v>
      </c>
      <c r="S247" s="61" t="str">
        <f t="shared" ca="1" si="11"/>
        <v>EXECUTADA</v>
      </c>
    </row>
    <row r="248" spans="1:19" s="81" customFormat="1" ht="18" x14ac:dyDescent="0.25">
      <c r="A248" s="152" t="s">
        <v>2715</v>
      </c>
      <c r="B248" s="38" t="s">
        <v>27</v>
      </c>
      <c r="C248" s="39"/>
      <c r="D248" s="40" t="s">
        <v>1188</v>
      </c>
      <c r="E248" s="38">
        <v>34984201286</v>
      </c>
      <c r="F248" s="41">
        <v>46146</v>
      </c>
      <c r="G248" s="42" t="str">
        <f t="shared" si="9"/>
        <v>Seg</v>
      </c>
      <c r="H248" s="43">
        <v>0.41666666666666669</v>
      </c>
      <c r="I248" s="38" t="s">
        <v>42</v>
      </c>
      <c r="J248" s="38" t="s">
        <v>1189</v>
      </c>
      <c r="K248" s="38" t="s">
        <v>87</v>
      </c>
      <c r="L248" s="40" t="str">
        <f t="shared" si="10"/>
        <v>NÃO</v>
      </c>
      <c r="M248" s="38" t="s">
        <v>72</v>
      </c>
      <c r="N248" s="38" t="s">
        <v>79</v>
      </c>
      <c r="O248" s="38" t="s">
        <v>1190</v>
      </c>
      <c r="P248" s="38">
        <v>34984102711</v>
      </c>
      <c r="Q248" s="38" t="s">
        <v>208</v>
      </c>
      <c r="R248" s="38"/>
      <c r="S248" s="44" t="str">
        <f t="shared" ca="1" si="11"/>
        <v>EXECUTADA</v>
      </c>
    </row>
    <row r="249" spans="1:19" s="55" customFormat="1" ht="18" x14ac:dyDescent="0.25">
      <c r="A249" s="100" t="s">
        <v>2716</v>
      </c>
      <c r="B249" s="57" t="s">
        <v>27</v>
      </c>
      <c r="C249" s="58"/>
      <c r="D249" s="53" t="s">
        <v>1191</v>
      </c>
      <c r="E249" s="57">
        <v>34993361972</v>
      </c>
      <c r="F249" s="59">
        <v>46146</v>
      </c>
      <c r="G249" s="51" t="str">
        <f t="shared" si="9"/>
        <v>Seg</v>
      </c>
      <c r="H249" s="60">
        <v>0.41666666666666669</v>
      </c>
      <c r="I249" s="57" t="s">
        <v>42</v>
      </c>
      <c r="J249" s="57" t="s">
        <v>1192</v>
      </c>
      <c r="K249" s="57" t="s">
        <v>71</v>
      </c>
      <c r="L249" s="53" t="str">
        <f t="shared" si="10"/>
        <v>NÃO</v>
      </c>
      <c r="M249" s="57" t="s">
        <v>72</v>
      </c>
      <c r="N249" s="57" t="s">
        <v>89</v>
      </c>
      <c r="O249" s="57" t="s">
        <v>72</v>
      </c>
      <c r="P249" s="57" t="s">
        <v>72</v>
      </c>
      <c r="Q249" s="57" t="s">
        <v>1193</v>
      </c>
      <c r="R249" s="57" t="s">
        <v>1194</v>
      </c>
      <c r="S249" s="61" t="str">
        <f t="shared" ca="1" si="11"/>
        <v>EXECUTADA</v>
      </c>
    </row>
    <row r="250" spans="1:19" s="81" customFormat="1" ht="18" x14ac:dyDescent="0.25">
      <c r="A250" s="152" t="s">
        <v>2717</v>
      </c>
      <c r="B250" s="38" t="s">
        <v>27</v>
      </c>
      <c r="C250" s="39"/>
      <c r="D250" s="40" t="s">
        <v>1195</v>
      </c>
      <c r="E250" s="38">
        <v>34992492522</v>
      </c>
      <c r="F250" s="41">
        <v>46146</v>
      </c>
      <c r="G250" s="42" t="str">
        <f t="shared" si="9"/>
        <v>Seg</v>
      </c>
      <c r="H250" s="43">
        <v>0.54166666666666663</v>
      </c>
      <c r="I250" s="38" t="s">
        <v>38</v>
      </c>
      <c r="J250" s="38" t="s">
        <v>1196</v>
      </c>
      <c r="K250" s="38" t="s">
        <v>146</v>
      </c>
      <c r="L250" s="40" t="str">
        <f t="shared" si="10"/>
        <v>NÃO</v>
      </c>
      <c r="M250" s="38" t="s">
        <v>72</v>
      </c>
      <c r="N250" s="38" t="s">
        <v>89</v>
      </c>
      <c r="O250" s="38" t="s">
        <v>1197</v>
      </c>
      <c r="P250" s="38">
        <v>34984478077</v>
      </c>
      <c r="Q250" s="38" t="s">
        <v>1198</v>
      </c>
      <c r="R250" s="38" t="s">
        <v>1199</v>
      </c>
      <c r="S250" s="44" t="str">
        <f t="shared" ca="1" si="11"/>
        <v>EXECUTADA</v>
      </c>
    </row>
    <row r="251" spans="1:19" s="55" customFormat="1" ht="18" x14ac:dyDescent="0.25">
      <c r="A251" s="64" t="s">
        <v>1062</v>
      </c>
      <c r="B251" s="57" t="s">
        <v>27</v>
      </c>
      <c r="C251" s="58"/>
      <c r="D251" s="53" t="s">
        <v>868</v>
      </c>
      <c r="E251" s="57">
        <v>34991333627</v>
      </c>
      <c r="F251" s="59">
        <v>46146</v>
      </c>
      <c r="G251" s="51" t="str">
        <f t="shared" si="9"/>
        <v>Seg</v>
      </c>
      <c r="H251" s="60">
        <v>0.54166666666666663</v>
      </c>
      <c r="I251" s="57" t="s">
        <v>42</v>
      </c>
      <c r="J251" s="57" t="s">
        <v>1064</v>
      </c>
      <c r="K251" s="57" t="s">
        <v>87</v>
      </c>
      <c r="L251" s="53" t="str">
        <f t="shared" si="10"/>
        <v>NÃO</v>
      </c>
      <c r="M251" s="57" t="s">
        <v>72</v>
      </c>
      <c r="N251" s="57" t="s">
        <v>89</v>
      </c>
      <c r="O251" s="57" t="s">
        <v>72</v>
      </c>
      <c r="P251" s="57" t="s">
        <v>72</v>
      </c>
      <c r="Q251" s="57" t="s">
        <v>1200</v>
      </c>
      <c r="R251" s="57" t="s">
        <v>1201</v>
      </c>
      <c r="S251" s="61" t="str">
        <f t="shared" ca="1" si="11"/>
        <v>EXECUTADA</v>
      </c>
    </row>
    <row r="252" spans="1:19" s="55" customFormat="1" ht="18" x14ac:dyDescent="0.25">
      <c r="A252" s="64" t="s">
        <v>2718</v>
      </c>
      <c r="B252" s="57" t="s">
        <v>30</v>
      </c>
      <c r="C252" s="58"/>
      <c r="D252" s="53" t="s">
        <v>868</v>
      </c>
      <c r="E252" s="57" t="s">
        <v>1202</v>
      </c>
      <c r="F252" s="59">
        <v>46146</v>
      </c>
      <c r="G252" s="51" t="str">
        <f t="shared" si="9"/>
        <v>Seg</v>
      </c>
      <c r="H252" s="60">
        <v>0.625</v>
      </c>
      <c r="I252" s="57" t="s">
        <v>46</v>
      </c>
      <c r="J252" s="57" t="s">
        <v>1203</v>
      </c>
      <c r="K252" s="57" t="s">
        <v>71</v>
      </c>
      <c r="L252" s="53" t="str">
        <f t="shared" si="10"/>
        <v>SIM</v>
      </c>
      <c r="M252" s="57" t="s">
        <v>332</v>
      </c>
      <c r="N252" s="57" t="s">
        <v>89</v>
      </c>
      <c r="O252" s="57" t="s">
        <v>72</v>
      </c>
      <c r="P252" s="57" t="s">
        <v>72</v>
      </c>
      <c r="Q252" s="57" t="s">
        <v>1204</v>
      </c>
      <c r="R252" s="57" t="s">
        <v>1205</v>
      </c>
      <c r="S252" s="61" t="str">
        <f t="shared" ca="1" si="11"/>
        <v>EXECUTADA</v>
      </c>
    </row>
    <row r="253" spans="1:19" s="55" customFormat="1" ht="18" x14ac:dyDescent="0.25">
      <c r="A253" s="64" t="s">
        <v>1206</v>
      </c>
      <c r="B253" s="55" t="s">
        <v>30</v>
      </c>
      <c r="C253" s="58"/>
      <c r="D253" s="53" t="s">
        <v>868</v>
      </c>
      <c r="E253" s="57">
        <v>34991851473</v>
      </c>
      <c r="F253" s="59">
        <v>46146</v>
      </c>
      <c r="G253" s="51" t="str">
        <f t="shared" si="9"/>
        <v>Seg</v>
      </c>
      <c r="H253" s="60">
        <v>0.70833333333333337</v>
      </c>
      <c r="I253" s="57" t="s">
        <v>46</v>
      </c>
      <c r="J253" s="57" t="s">
        <v>1207</v>
      </c>
      <c r="K253" s="57" t="s">
        <v>87</v>
      </c>
      <c r="L253" s="53" t="str">
        <f>IF(A253="MUD END","NÃO","SIM")</f>
        <v>SIM</v>
      </c>
      <c r="M253" s="57" t="s">
        <v>1208</v>
      </c>
      <c r="N253" s="55" t="s">
        <v>89</v>
      </c>
      <c r="O253" s="57" t="s">
        <v>72</v>
      </c>
      <c r="P253" s="57" t="s">
        <v>72</v>
      </c>
      <c r="Q253" s="57" t="s">
        <v>1209</v>
      </c>
      <c r="R253" s="57" t="s">
        <v>1210</v>
      </c>
      <c r="S253" s="61" t="str">
        <f t="shared" ca="1" si="11"/>
        <v>EXECUTADA</v>
      </c>
    </row>
    <row r="254" spans="1:19" s="81" customFormat="1" ht="18" x14ac:dyDescent="0.25">
      <c r="A254" s="153" t="s">
        <v>2719</v>
      </c>
      <c r="B254" s="154" t="s">
        <v>27</v>
      </c>
      <c r="C254" s="155"/>
      <c r="D254" s="40" t="s">
        <v>1211</v>
      </c>
      <c r="E254" s="38">
        <v>3432311324</v>
      </c>
      <c r="F254" s="41">
        <v>46146</v>
      </c>
      <c r="G254" s="42" t="str">
        <f t="shared" si="9"/>
        <v>Seg</v>
      </c>
      <c r="H254" s="43">
        <v>0.41666666666666669</v>
      </c>
      <c r="I254" s="38" t="s">
        <v>742</v>
      </c>
      <c r="J254" s="38" t="s">
        <v>1160</v>
      </c>
      <c r="K254" s="38"/>
      <c r="L254" s="40" t="str">
        <f t="shared" ref="L254:L264" si="12">IF(B254="MUD END","NÃO","SIM")</f>
        <v>NÃO</v>
      </c>
      <c r="M254" s="38" t="s">
        <v>72</v>
      </c>
      <c r="N254" s="38" t="s">
        <v>89</v>
      </c>
      <c r="O254" s="38" t="s">
        <v>72</v>
      </c>
      <c r="P254" s="38" t="s">
        <v>72</v>
      </c>
      <c r="Q254" s="38" t="s">
        <v>1161</v>
      </c>
      <c r="R254" s="38" t="s">
        <v>1162</v>
      </c>
      <c r="S254" s="44" t="str">
        <f t="shared" ca="1" si="11"/>
        <v>EXECUTADA</v>
      </c>
    </row>
    <row r="255" spans="1:19" s="55" customFormat="1" ht="18" x14ac:dyDescent="0.25">
      <c r="A255" s="71" t="s">
        <v>1212</v>
      </c>
      <c r="B255" s="57" t="s">
        <v>30</v>
      </c>
      <c r="C255" s="58"/>
      <c r="D255" s="53" t="s">
        <v>1213</v>
      </c>
      <c r="E255" s="57">
        <v>34992019692</v>
      </c>
      <c r="F255" s="59">
        <v>46147</v>
      </c>
      <c r="G255" s="51" t="str">
        <f t="shared" si="9"/>
        <v>Ter</v>
      </c>
      <c r="H255" s="60">
        <v>0.33333333333333331</v>
      </c>
      <c r="I255" s="57" t="s">
        <v>46</v>
      </c>
      <c r="J255" s="57" t="s">
        <v>1214</v>
      </c>
      <c r="K255" s="57" t="s">
        <v>107</v>
      </c>
      <c r="L255" s="53" t="str">
        <f t="shared" si="12"/>
        <v>SIM</v>
      </c>
      <c r="M255" s="57" t="s">
        <v>1215</v>
      </c>
      <c r="N255" s="57" t="s">
        <v>89</v>
      </c>
      <c r="O255" s="57" t="s">
        <v>72</v>
      </c>
      <c r="P255" s="57" t="s">
        <v>72</v>
      </c>
      <c r="Q255" s="57" t="s">
        <v>1216</v>
      </c>
      <c r="R255" s="57" t="s">
        <v>1217</v>
      </c>
      <c r="S255" s="61" t="str">
        <f t="shared" ca="1" si="11"/>
        <v>EXECUTADA</v>
      </c>
    </row>
    <row r="256" spans="1:19" s="55" customFormat="1" ht="18" x14ac:dyDescent="0.25">
      <c r="A256" s="71" t="s">
        <v>1218</v>
      </c>
      <c r="B256" s="57" t="s">
        <v>30</v>
      </c>
      <c r="C256" s="58"/>
      <c r="D256" s="53" t="s">
        <v>868</v>
      </c>
      <c r="E256" s="57" t="s">
        <v>1219</v>
      </c>
      <c r="F256" s="59">
        <v>46147</v>
      </c>
      <c r="G256" s="51" t="str">
        <f t="shared" si="9"/>
        <v>Ter</v>
      </c>
      <c r="H256" s="60">
        <v>0.33333333333333331</v>
      </c>
      <c r="I256" s="57" t="s">
        <v>46</v>
      </c>
      <c r="J256" s="57" t="s">
        <v>1220</v>
      </c>
      <c r="K256" s="57" t="s">
        <v>107</v>
      </c>
      <c r="L256" s="53" t="str">
        <f t="shared" si="12"/>
        <v>SIM</v>
      </c>
      <c r="M256" s="57" t="s">
        <v>1221</v>
      </c>
      <c r="N256" s="57" t="s">
        <v>89</v>
      </c>
      <c r="O256" s="57" t="s">
        <v>72</v>
      </c>
      <c r="P256" s="57" t="s">
        <v>72</v>
      </c>
      <c r="Q256" s="57" t="s">
        <v>1222</v>
      </c>
      <c r="R256" s="57" t="s">
        <v>1223</v>
      </c>
      <c r="S256" s="61" t="str">
        <f t="shared" ca="1" si="11"/>
        <v>EXECUTADA</v>
      </c>
    </row>
    <row r="257" spans="1:19" s="55" customFormat="1" ht="18" x14ac:dyDescent="0.25">
      <c r="A257" s="71" t="s">
        <v>2720</v>
      </c>
      <c r="B257" s="57" t="s">
        <v>30</v>
      </c>
      <c r="C257" s="58"/>
      <c r="D257" s="141" t="s">
        <v>868</v>
      </c>
      <c r="E257" s="57">
        <v>34996537331</v>
      </c>
      <c r="F257" s="59">
        <v>46147</v>
      </c>
      <c r="G257" s="51" t="str">
        <f t="shared" si="9"/>
        <v>Ter</v>
      </c>
      <c r="H257" s="60">
        <v>0.41666666666666669</v>
      </c>
      <c r="I257" s="57" t="s">
        <v>46</v>
      </c>
      <c r="J257" s="57" t="s">
        <v>1224</v>
      </c>
      <c r="K257" s="57" t="s">
        <v>132</v>
      </c>
      <c r="L257" s="53" t="str">
        <f t="shared" si="12"/>
        <v>SIM</v>
      </c>
      <c r="M257" s="57" t="s">
        <v>1225</v>
      </c>
      <c r="N257" s="57" t="s">
        <v>79</v>
      </c>
      <c r="O257" s="57" t="s">
        <v>1226</v>
      </c>
      <c r="P257" s="57" t="s">
        <v>1227</v>
      </c>
      <c r="Q257" s="57" t="s">
        <v>1228</v>
      </c>
      <c r="R257" s="57" t="s">
        <v>2721</v>
      </c>
      <c r="S257" s="61" t="str">
        <f t="shared" ca="1" si="11"/>
        <v>EXECUTADA</v>
      </c>
    </row>
    <row r="258" spans="1:19" s="165" customFormat="1" ht="18" x14ac:dyDescent="0.25">
      <c r="A258" s="156" t="s">
        <v>1229</v>
      </c>
      <c r="B258" s="157" t="s">
        <v>27</v>
      </c>
      <c r="C258" s="158"/>
      <c r="D258" s="159" t="s">
        <v>1230</v>
      </c>
      <c r="E258" s="157" t="s">
        <v>1231</v>
      </c>
      <c r="F258" s="160">
        <v>46147</v>
      </c>
      <c r="G258" s="161" t="str">
        <f t="shared" ref="G258:G321" si="13">PROPER(TEXT(F258,"DDD"))</f>
        <v>Ter</v>
      </c>
      <c r="H258" s="162">
        <v>0.41666666666666669</v>
      </c>
      <c r="I258" s="157" t="s">
        <v>42</v>
      </c>
      <c r="J258" s="157" t="s">
        <v>846</v>
      </c>
      <c r="K258" s="157"/>
      <c r="L258" s="163" t="str">
        <f t="shared" si="12"/>
        <v>NÃO</v>
      </c>
      <c r="M258" s="157"/>
      <c r="N258" s="157"/>
      <c r="O258" s="157"/>
      <c r="P258" s="157"/>
      <c r="Q258" s="157" t="s">
        <v>847</v>
      </c>
      <c r="R258" s="157" t="s">
        <v>848</v>
      </c>
      <c r="S258" s="164" t="str">
        <f t="shared" ref="S258:S321" ca="1" si="14">IF(F258&lt;TODAY(),"EXECUTADA",IF(F258=TODAY(),"EM EXECUÇÃO",IF(F258=TODAY()+1,"VALIDAR HOJE",IF(F258&gt;TODAY()+1,"VALIDAR DEPOIS","-"))))</f>
        <v>EXECUTADA</v>
      </c>
    </row>
    <row r="259" spans="1:19" s="55" customFormat="1" ht="18" x14ac:dyDescent="0.25">
      <c r="A259" s="72" t="s">
        <v>1232</v>
      </c>
      <c r="B259" s="57" t="s">
        <v>30</v>
      </c>
      <c r="C259" s="58"/>
      <c r="D259" s="53" t="s">
        <v>1233</v>
      </c>
      <c r="E259" s="57">
        <v>34991547022</v>
      </c>
      <c r="F259" s="59">
        <v>46147</v>
      </c>
      <c r="G259" s="51" t="str">
        <f t="shared" si="13"/>
        <v>Ter</v>
      </c>
      <c r="H259" s="60">
        <v>0.41666666666666669</v>
      </c>
      <c r="I259" s="57" t="s">
        <v>46</v>
      </c>
      <c r="J259" s="57" t="s">
        <v>1234</v>
      </c>
      <c r="K259" s="57" t="s">
        <v>71</v>
      </c>
      <c r="L259" s="53" t="str">
        <f t="shared" si="12"/>
        <v>SIM</v>
      </c>
      <c r="M259" s="57" t="s">
        <v>1235</v>
      </c>
      <c r="N259" s="57" t="s">
        <v>89</v>
      </c>
      <c r="O259" s="57" t="s">
        <v>72</v>
      </c>
      <c r="P259" s="57" t="s">
        <v>72</v>
      </c>
      <c r="Q259" s="57" t="s">
        <v>1236</v>
      </c>
      <c r="R259" s="57" t="s">
        <v>1237</v>
      </c>
      <c r="S259" s="61" t="str">
        <f t="shared" ca="1" si="14"/>
        <v>EXECUTADA</v>
      </c>
    </row>
    <row r="260" spans="1:19" s="55" customFormat="1" ht="18" x14ac:dyDescent="0.25">
      <c r="A260" s="166" t="s">
        <v>1238</v>
      </c>
      <c r="B260" s="57" t="s">
        <v>30</v>
      </c>
      <c r="C260" s="58"/>
      <c r="D260" s="141" t="s">
        <v>868</v>
      </c>
      <c r="E260" s="57">
        <v>34996592221</v>
      </c>
      <c r="F260" s="59">
        <v>46147</v>
      </c>
      <c r="G260" s="51" t="str">
        <f t="shared" si="13"/>
        <v>Ter</v>
      </c>
      <c r="H260" s="60">
        <v>0.54166666666666663</v>
      </c>
      <c r="I260" s="57" t="s">
        <v>46</v>
      </c>
      <c r="J260" s="57" t="s">
        <v>1239</v>
      </c>
      <c r="K260" s="57" t="s">
        <v>781</v>
      </c>
      <c r="L260" s="53" t="str">
        <f t="shared" si="12"/>
        <v>SIM</v>
      </c>
      <c r="M260" s="57" t="s">
        <v>1240</v>
      </c>
      <c r="N260" s="57" t="s">
        <v>89</v>
      </c>
      <c r="O260" s="57" t="s">
        <v>72</v>
      </c>
      <c r="P260" s="57" t="s">
        <v>72</v>
      </c>
      <c r="Q260" s="57" t="s">
        <v>1241</v>
      </c>
      <c r="R260" s="57" t="s">
        <v>1242</v>
      </c>
      <c r="S260" s="61" t="str">
        <f t="shared" ca="1" si="14"/>
        <v>EXECUTADA</v>
      </c>
    </row>
    <row r="261" spans="1:19" s="55" customFormat="1" ht="18" x14ac:dyDescent="0.25">
      <c r="A261" s="71" t="s">
        <v>2722</v>
      </c>
      <c r="B261" s="57" t="s">
        <v>30</v>
      </c>
      <c r="C261" s="58"/>
      <c r="D261" s="141" t="s">
        <v>1191</v>
      </c>
      <c r="E261" s="57">
        <v>34998096186</v>
      </c>
      <c r="F261" s="59">
        <v>46147</v>
      </c>
      <c r="G261" s="51" t="str">
        <f t="shared" si="13"/>
        <v>Ter</v>
      </c>
      <c r="H261" s="60">
        <v>0.54166666666666663</v>
      </c>
      <c r="I261" s="57" t="s">
        <v>46</v>
      </c>
      <c r="J261" s="57" t="s">
        <v>1243</v>
      </c>
      <c r="K261" s="57" t="s">
        <v>87</v>
      </c>
      <c r="L261" s="53" t="str">
        <f t="shared" si="12"/>
        <v>SIM</v>
      </c>
      <c r="M261" s="57" t="s">
        <v>1244</v>
      </c>
      <c r="N261" s="57" t="s">
        <v>79</v>
      </c>
      <c r="O261" s="57" t="s">
        <v>1245</v>
      </c>
      <c r="P261" s="57" t="s">
        <v>1246</v>
      </c>
      <c r="Q261" s="57" t="s">
        <v>1247</v>
      </c>
      <c r="R261" s="57" t="s">
        <v>1248</v>
      </c>
      <c r="S261" s="61" t="str">
        <f t="shared" ca="1" si="14"/>
        <v>EXECUTADA</v>
      </c>
    </row>
    <row r="262" spans="1:19" s="55" customFormat="1" ht="18" x14ac:dyDescent="0.25">
      <c r="A262" s="72" t="s">
        <v>1249</v>
      </c>
      <c r="B262" s="57" t="s">
        <v>27</v>
      </c>
      <c r="C262" s="58"/>
      <c r="D262" s="141" t="s">
        <v>868</v>
      </c>
      <c r="E262" s="57">
        <v>34991612963</v>
      </c>
      <c r="F262" s="59">
        <v>46147</v>
      </c>
      <c r="G262" s="51" t="str">
        <f t="shared" si="13"/>
        <v>Ter</v>
      </c>
      <c r="H262" s="60">
        <v>0.625</v>
      </c>
      <c r="I262" s="57" t="s">
        <v>35</v>
      </c>
      <c r="J262" s="57" t="s">
        <v>2723</v>
      </c>
      <c r="K262" s="57" t="s">
        <v>107</v>
      </c>
      <c r="L262" s="53" t="str">
        <f t="shared" si="12"/>
        <v>NÃO</v>
      </c>
      <c r="M262" s="57" t="s">
        <v>72</v>
      </c>
      <c r="N262" s="57" t="s">
        <v>79</v>
      </c>
      <c r="O262" s="57" t="s">
        <v>1250</v>
      </c>
      <c r="P262" s="57">
        <v>38991639032</v>
      </c>
      <c r="Q262" s="57" t="s">
        <v>1251</v>
      </c>
      <c r="R262" s="57" t="s">
        <v>2724</v>
      </c>
      <c r="S262" s="61" t="str">
        <f t="shared" ca="1" si="14"/>
        <v>EXECUTADA</v>
      </c>
    </row>
    <row r="263" spans="1:19" s="55" customFormat="1" ht="18" x14ac:dyDescent="0.25">
      <c r="A263" s="64" t="s">
        <v>1252</v>
      </c>
      <c r="B263" s="57" t="s">
        <v>30</v>
      </c>
      <c r="C263" s="58"/>
      <c r="D263" s="53" t="s">
        <v>868</v>
      </c>
      <c r="E263" s="57">
        <v>34998994967</v>
      </c>
      <c r="F263" s="59">
        <v>46147</v>
      </c>
      <c r="G263" s="51" t="str">
        <f t="shared" si="13"/>
        <v>Ter</v>
      </c>
      <c r="H263" s="60">
        <v>0.625</v>
      </c>
      <c r="I263" s="57" t="s">
        <v>46</v>
      </c>
      <c r="J263" s="57" t="s">
        <v>1253</v>
      </c>
      <c r="K263" s="57" t="s">
        <v>781</v>
      </c>
      <c r="L263" s="53" t="str">
        <f t="shared" si="12"/>
        <v>SIM</v>
      </c>
      <c r="M263" s="57" t="s">
        <v>1254</v>
      </c>
      <c r="N263" s="57" t="s">
        <v>79</v>
      </c>
      <c r="O263" s="57" t="s">
        <v>1255</v>
      </c>
      <c r="P263" s="57">
        <v>34998994967</v>
      </c>
      <c r="Q263" s="57" t="s">
        <v>1256</v>
      </c>
      <c r="R263" s="57" t="s">
        <v>1257</v>
      </c>
      <c r="S263" s="61" t="str">
        <f t="shared" ca="1" si="14"/>
        <v>EXECUTADA</v>
      </c>
    </row>
    <row r="264" spans="1:19" s="55" customFormat="1" ht="18" x14ac:dyDescent="0.25">
      <c r="A264" s="71" t="s">
        <v>2725</v>
      </c>
      <c r="B264" s="57" t="s">
        <v>30</v>
      </c>
      <c r="C264" s="58"/>
      <c r="D264" s="53" t="s">
        <v>868</v>
      </c>
      <c r="E264" s="57">
        <v>34996982283</v>
      </c>
      <c r="F264" s="59">
        <v>46147</v>
      </c>
      <c r="G264" s="51" t="str">
        <f t="shared" si="13"/>
        <v>Ter</v>
      </c>
      <c r="H264" s="60">
        <v>0.70833333333333337</v>
      </c>
      <c r="I264" s="57" t="s">
        <v>35</v>
      </c>
      <c r="J264" s="57" t="s">
        <v>1258</v>
      </c>
      <c r="K264" s="57" t="s">
        <v>132</v>
      </c>
      <c r="L264" s="53" t="str">
        <f t="shared" si="12"/>
        <v>SIM</v>
      </c>
      <c r="M264" s="57" t="s">
        <v>72</v>
      </c>
      <c r="N264" s="57" t="s">
        <v>89</v>
      </c>
      <c r="O264" s="57" t="s">
        <v>72</v>
      </c>
      <c r="P264" s="57" t="s">
        <v>72</v>
      </c>
      <c r="Q264" s="57" t="s">
        <v>1259</v>
      </c>
      <c r="R264" s="57" t="s">
        <v>1260</v>
      </c>
      <c r="S264" s="61" t="str">
        <f t="shared" ca="1" si="14"/>
        <v>EXECUTADA</v>
      </c>
    </row>
    <row r="265" spans="1:19" s="55" customFormat="1" ht="18" x14ac:dyDescent="0.25">
      <c r="A265" s="167" t="s">
        <v>1261</v>
      </c>
      <c r="B265" s="61" t="s">
        <v>27</v>
      </c>
      <c r="C265" s="58"/>
      <c r="D265" s="53" t="s">
        <v>1262</v>
      </c>
      <c r="E265" s="57" t="s">
        <v>1263</v>
      </c>
      <c r="F265" s="59">
        <v>46147</v>
      </c>
      <c r="G265" s="51" t="str">
        <f t="shared" si="13"/>
        <v>Ter</v>
      </c>
      <c r="H265" s="60">
        <v>0.70833333333333337</v>
      </c>
      <c r="I265" s="57" t="s">
        <v>35</v>
      </c>
      <c r="J265" s="57" t="s">
        <v>1264</v>
      </c>
      <c r="K265" s="57" t="s">
        <v>107</v>
      </c>
      <c r="L265" s="53" t="str">
        <f>IF(A265="MUD END","NÃO","SIM")</f>
        <v>SIM</v>
      </c>
      <c r="M265" s="57" t="s">
        <v>72</v>
      </c>
      <c r="N265" s="57" t="s">
        <v>89</v>
      </c>
      <c r="O265" s="57" t="s">
        <v>72</v>
      </c>
      <c r="P265" s="57" t="s">
        <v>72</v>
      </c>
      <c r="Q265" s="57" t="s">
        <v>1265</v>
      </c>
      <c r="R265" s="57" t="s">
        <v>1266</v>
      </c>
      <c r="S265" s="61" t="str">
        <f t="shared" ca="1" si="14"/>
        <v>EXECUTADA</v>
      </c>
    </row>
    <row r="266" spans="1:19" s="55" customFormat="1" ht="18" x14ac:dyDescent="0.25">
      <c r="A266" s="64" t="s">
        <v>2726</v>
      </c>
      <c r="B266" s="57" t="s">
        <v>27</v>
      </c>
      <c r="C266" s="58"/>
      <c r="D266" s="53" t="s">
        <v>868</v>
      </c>
      <c r="E266" s="57">
        <v>34999622203</v>
      </c>
      <c r="F266" s="59">
        <v>46148</v>
      </c>
      <c r="G266" s="51" t="str">
        <f t="shared" si="13"/>
        <v>Qua</v>
      </c>
      <c r="H266" s="60">
        <v>0.33333333333333331</v>
      </c>
      <c r="I266" s="57" t="s">
        <v>42</v>
      </c>
      <c r="J266" s="57" t="s">
        <v>1267</v>
      </c>
      <c r="K266" s="57" t="s">
        <v>107</v>
      </c>
      <c r="L266" s="53" t="str">
        <f>IF(B266="MUD END","NÃO","SIM")</f>
        <v>NÃO</v>
      </c>
      <c r="M266" s="57" t="s">
        <v>72</v>
      </c>
      <c r="N266" s="57" t="s">
        <v>89</v>
      </c>
      <c r="O266" s="57" t="s">
        <v>1268</v>
      </c>
      <c r="P266" s="57">
        <v>34998742997</v>
      </c>
      <c r="Q266" s="57" t="s">
        <v>1269</v>
      </c>
      <c r="R266" s="57" t="s">
        <v>1270</v>
      </c>
      <c r="S266" s="61" t="str">
        <f t="shared" ca="1" si="14"/>
        <v>EXECUTADA</v>
      </c>
    </row>
    <row r="267" spans="1:19" s="55" customFormat="1" ht="18" x14ac:dyDescent="0.25">
      <c r="A267" s="64" t="s">
        <v>1271</v>
      </c>
      <c r="B267" s="57" t="s">
        <v>27</v>
      </c>
      <c r="C267" s="58"/>
      <c r="D267" s="53" t="s">
        <v>868</v>
      </c>
      <c r="E267" s="57">
        <v>34997912970</v>
      </c>
      <c r="F267" s="59">
        <v>46148</v>
      </c>
      <c r="G267" s="51" t="str">
        <f t="shared" si="13"/>
        <v>Qua</v>
      </c>
      <c r="H267" s="60">
        <v>0.33333333333333331</v>
      </c>
      <c r="I267" s="57" t="s">
        <v>1272</v>
      </c>
      <c r="J267" s="57" t="s">
        <v>1273</v>
      </c>
      <c r="K267" s="57" t="s">
        <v>146</v>
      </c>
      <c r="L267" s="53" t="str">
        <f>IF(B267="MUD END","NÃO","SIM")</f>
        <v>NÃO</v>
      </c>
      <c r="M267" s="57" t="s">
        <v>72</v>
      </c>
      <c r="N267" s="57" t="s">
        <v>89</v>
      </c>
      <c r="O267" s="57" t="s">
        <v>72</v>
      </c>
      <c r="P267" s="57" t="s">
        <v>72</v>
      </c>
      <c r="Q267" s="57" t="s">
        <v>1274</v>
      </c>
      <c r="R267" s="57" t="s">
        <v>1275</v>
      </c>
      <c r="S267" s="61" t="str">
        <f t="shared" ca="1" si="14"/>
        <v>EXECUTADA</v>
      </c>
    </row>
    <row r="268" spans="1:19" s="55" customFormat="1" ht="18" x14ac:dyDescent="0.25">
      <c r="A268" s="168" t="s">
        <v>1276</v>
      </c>
      <c r="B268" s="57" t="s">
        <v>27</v>
      </c>
      <c r="C268" s="58"/>
      <c r="D268" s="53" t="s">
        <v>1277</v>
      </c>
      <c r="E268" s="57">
        <v>34984143945</v>
      </c>
      <c r="F268" s="59">
        <v>46148</v>
      </c>
      <c r="G268" s="51" t="str">
        <f t="shared" si="13"/>
        <v>Qua</v>
      </c>
      <c r="H268" s="60">
        <v>0.33333333333333331</v>
      </c>
      <c r="I268" s="57" t="s">
        <v>38</v>
      </c>
      <c r="J268" s="57" t="s">
        <v>1278</v>
      </c>
      <c r="K268" s="57" t="s">
        <v>71</v>
      </c>
      <c r="L268" s="53" t="str">
        <f>IF(B268="MUD END","NÃO","SIM")</f>
        <v>NÃO</v>
      </c>
      <c r="M268" s="57" t="s">
        <v>72</v>
      </c>
      <c r="N268" s="57" t="s">
        <v>89</v>
      </c>
      <c r="O268" s="57" t="s">
        <v>72</v>
      </c>
      <c r="P268" s="57" t="s">
        <v>72</v>
      </c>
      <c r="Q268" s="57" t="s">
        <v>1279</v>
      </c>
      <c r="R268" s="57" t="s">
        <v>2727</v>
      </c>
      <c r="S268" s="61" t="str">
        <f t="shared" ca="1" si="14"/>
        <v>EXECUTADA</v>
      </c>
    </row>
    <row r="269" spans="1:19" s="55" customFormat="1" ht="18" x14ac:dyDescent="0.25">
      <c r="A269" s="64" t="s">
        <v>1280</v>
      </c>
      <c r="B269" s="57" t="s">
        <v>30</v>
      </c>
      <c r="C269" s="58"/>
      <c r="D269" s="53" t="s">
        <v>1281</v>
      </c>
      <c r="E269" s="57">
        <v>34988360122</v>
      </c>
      <c r="F269" s="59">
        <v>46148</v>
      </c>
      <c r="G269" s="51" t="str">
        <f t="shared" si="13"/>
        <v>Qua</v>
      </c>
      <c r="H269" s="60">
        <v>0.41666666666666669</v>
      </c>
      <c r="I269" s="57" t="s">
        <v>46</v>
      </c>
      <c r="J269" s="57" t="s">
        <v>1282</v>
      </c>
      <c r="K269" s="57" t="s">
        <v>107</v>
      </c>
      <c r="L269" s="53" t="str">
        <f>IF(B269="MUD END","NÃO","SIM")</f>
        <v>SIM</v>
      </c>
      <c r="M269" s="57" t="s">
        <v>1283</v>
      </c>
      <c r="N269" s="57" t="s">
        <v>89</v>
      </c>
      <c r="O269" s="57" t="s">
        <v>72</v>
      </c>
      <c r="P269" s="57" t="s">
        <v>72</v>
      </c>
      <c r="Q269" s="57" t="s">
        <v>1284</v>
      </c>
      <c r="R269" s="57" t="s">
        <v>1285</v>
      </c>
      <c r="S269" s="61" t="str">
        <f t="shared" ca="1" si="14"/>
        <v>EXECUTADA</v>
      </c>
    </row>
    <row r="270" spans="1:19" s="55" customFormat="1" ht="18" x14ac:dyDescent="0.25">
      <c r="A270" s="64" t="s">
        <v>2728</v>
      </c>
      <c r="B270" s="57" t="s">
        <v>27</v>
      </c>
      <c r="C270" s="58"/>
      <c r="D270" s="53" t="s">
        <v>868</v>
      </c>
      <c r="E270" s="57">
        <v>34984288972</v>
      </c>
      <c r="F270" s="59">
        <v>46148</v>
      </c>
      <c r="G270" s="51" t="str">
        <f t="shared" si="13"/>
        <v>Qua</v>
      </c>
      <c r="H270" s="60">
        <v>0.41666666666666669</v>
      </c>
      <c r="I270" s="57" t="s">
        <v>35</v>
      </c>
      <c r="J270" s="57" t="s">
        <v>1286</v>
      </c>
      <c r="K270" s="57" t="s">
        <v>146</v>
      </c>
      <c r="L270" s="53" t="str">
        <f>IF(B270="MUD END","NÃO","SIM")</f>
        <v>NÃO</v>
      </c>
      <c r="M270" s="57" t="s">
        <v>72</v>
      </c>
      <c r="N270" s="57" t="s">
        <v>89</v>
      </c>
      <c r="O270" s="57" t="s">
        <v>72</v>
      </c>
      <c r="P270" s="57" t="s">
        <v>72</v>
      </c>
      <c r="Q270" s="57" t="s">
        <v>1287</v>
      </c>
      <c r="R270" s="57" t="s">
        <v>1288</v>
      </c>
      <c r="S270" s="61" t="str">
        <f t="shared" ca="1" si="14"/>
        <v>EXECUTADA</v>
      </c>
    </row>
    <row r="271" spans="1:19" s="55" customFormat="1" ht="18" x14ac:dyDescent="0.25">
      <c r="A271" s="167" t="s">
        <v>2729</v>
      </c>
      <c r="B271" s="57" t="s">
        <v>30</v>
      </c>
      <c r="C271" s="58"/>
      <c r="D271" s="53" t="s">
        <v>868</v>
      </c>
      <c r="E271" s="57">
        <v>34992427626</v>
      </c>
      <c r="F271" s="59">
        <v>46148</v>
      </c>
      <c r="G271" s="51" t="str">
        <f t="shared" si="13"/>
        <v>Qua</v>
      </c>
      <c r="H271" s="60">
        <v>0.54166666666666663</v>
      </c>
      <c r="I271" s="57" t="s">
        <v>46</v>
      </c>
      <c r="J271" s="57" t="s">
        <v>1289</v>
      </c>
      <c r="K271" s="57" t="s">
        <v>87</v>
      </c>
      <c r="L271" s="53" t="str">
        <f>IF(A271="MUD END","NÃO","SIM")</f>
        <v>SIM</v>
      </c>
      <c r="M271" s="57" t="s">
        <v>1290</v>
      </c>
      <c r="N271" s="57" t="s">
        <v>79</v>
      </c>
      <c r="O271" s="57" t="s">
        <v>1291</v>
      </c>
      <c r="P271" s="57">
        <v>34991243246</v>
      </c>
      <c r="Q271" s="57" t="s">
        <v>1292</v>
      </c>
      <c r="R271" s="57" t="s">
        <v>2730</v>
      </c>
      <c r="S271" s="61" t="str">
        <f t="shared" ca="1" si="14"/>
        <v>EXECUTADA</v>
      </c>
    </row>
    <row r="272" spans="1:19" s="55" customFormat="1" ht="18" x14ac:dyDescent="0.25">
      <c r="A272" s="169" t="s">
        <v>1293</v>
      </c>
      <c r="B272" s="57" t="s">
        <v>27</v>
      </c>
      <c r="C272" s="58"/>
      <c r="D272" s="53" t="s">
        <v>868</v>
      </c>
      <c r="E272" s="57">
        <v>34997383302</v>
      </c>
      <c r="F272" s="59">
        <v>46148</v>
      </c>
      <c r="G272" s="51" t="str">
        <f t="shared" si="13"/>
        <v>Qua</v>
      </c>
      <c r="H272" s="60">
        <v>0.54166666666666663</v>
      </c>
      <c r="I272" s="57" t="s">
        <v>42</v>
      </c>
      <c r="J272" s="57" t="s">
        <v>1294</v>
      </c>
      <c r="K272" s="57" t="s">
        <v>132</v>
      </c>
      <c r="L272" s="53" t="str">
        <f t="shared" ref="L272:L281" si="15">IF(B272="MUD END","NÃO","SIM")</f>
        <v>NÃO</v>
      </c>
      <c r="M272" s="57" t="s">
        <v>72</v>
      </c>
      <c r="N272" s="57" t="s">
        <v>89</v>
      </c>
      <c r="O272" s="57" t="s">
        <v>72</v>
      </c>
      <c r="P272" s="57" t="s">
        <v>72</v>
      </c>
      <c r="Q272" s="57" t="s">
        <v>1295</v>
      </c>
      <c r="R272" s="57" t="s">
        <v>1296</v>
      </c>
      <c r="S272" s="61" t="str">
        <f t="shared" ca="1" si="14"/>
        <v>EXECUTADA</v>
      </c>
    </row>
    <row r="273" spans="1:19" s="55" customFormat="1" ht="18" x14ac:dyDescent="0.25">
      <c r="A273" s="72" t="s">
        <v>2731</v>
      </c>
      <c r="B273" s="57" t="s">
        <v>30</v>
      </c>
      <c r="C273" s="58"/>
      <c r="D273" s="53" t="s">
        <v>208</v>
      </c>
      <c r="E273" s="57">
        <v>34999218299</v>
      </c>
      <c r="F273" s="59">
        <v>46148</v>
      </c>
      <c r="G273" s="51" t="str">
        <f t="shared" si="13"/>
        <v>Qua</v>
      </c>
      <c r="H273" s="60">
        <v>0.54166666666666663</v>
      </c>
      <c r="I273" s="57" t="s">
        <v>46</v>
      </c>
      <c r="J273" s="57" t="s">
        <v>1297</v>
      </c>
      <c r="K273" s="57" t="s">
        <v>162</v>
      </c>
      <c r="L273" s="53" t="str">
        <f t="shared" si="15"/>
        <v>SIM</v>
      </c>
      <c r="M273" s="57" t="s">
        <v>1298</v>
      </c>
      <c r="N273" s="57" t="s">
        <v>89</v>
      </c>
      <c r="O273" s="57" t="s">
        <v>72</v>
      </c>
      <c r="P273" s="57" t="s">
        <v>72</v>
      </c>
      <c r="Q273" s="57" t="s">
        <v>208</v>
      </c>
      <c r="R273" s="57"/>
      <c r="S273" s="61" t="str">
        <f t="shared" ca="1" si="14"/>
        <v>EXECUTADA</v>
      </c>
    </row>
    <row r="274" spans="1:19" s="55" customFormat="1" ht="18" x14ac:dyDescent="0.25">
      <c r="A274" s="64" t="s">
        <v>1299</v>
      </c>
      <c r="B274" s="57" t="s">
        <v>27</v>
      </c>
      <c r="C274" s="58"/>
      <c r="D274" s="53" t="s">
        <v>868</v>
      </c>
      <c r="E274" s="57">
        <v>34991790550</v>
      </c>
      <c r="F274" s="59">
        <v>46148</v>
      </c>
      <c r="G274" s="51" t="str">
        <f t="shared" si="13"/>
        <v>Qua</v>
      </c>
      <c r="H274" s="60">
        <v>0.625</v>
      </c>
      <c r="I274" s="57" t="s">
        <v>42</v>
      </c>
      <c r="J274" s="57" t="s">
        <v>1300</v>
      </c>
      <c r="K274" s="57" t="s">
        <v>71</v>
      </c>
      <c r="L274" s="53" t="str">
        <f t="shared" si="15"/>
        <v>NÃO</v>
      </c>
      <c r="M274" s="57" t="s">
        <v>72</v>
      </c>
      <c r="N274" s="57" t="s">
        <v>89</v>
      </c>
      <c r="O274" s="57" t="s">
        <v>72</v>
      </c>
      <c r="P274" s="57" t="s">
        <v>72</v>
      </c>
      <c r="Q274" s="57" t="s">
        <v>1301</v>
      </c>
      <c r="R274" s="57" t="s">
        <v>1302</v>
      </c>
      <c r="S274" s="61" t="str">
        <f t="shared" ca="1" si="14"/>
        <v>EXECUTADA</v>
      </c>
    </row>
    <row r="275" spans="1:19" s="55" customFormat="1" ht="18" x14ac:dyDescent="0.25">
      <c r="A275" s="64" t="s">
        <v>1303</v>
      </c>
      <c r="B275" s="57" t="s">
        <v>30</v>
      </c>
      <c r="C275" s="58"/>
      <c r="D275" s="53" t="s">
        <v>868</v>
      </c>
      <c r="E275" s="57">
        <v>34999394297</v>
      </c>
      <c r="F275" s="59">
        <v>46148</v>
      </c>
      <c r="G275" s="51" t="str">
        <f t="shared" si="13"/>
        <v>Qua</v>
      </c>
      <c r="H275" s="60">
        <v>0.54166666666666663</v>
      </c>
      <c r="I275" s="57" t="s">
        <v>42</v>
      </c>
      <c r="J275" s="57" t="s">
        <v>1304</v>
      </c>
      <c r="K275" s="57" t="s">
        <v>87</v>
      </c>
      <c r="L275" s="53" t="str">
        <f t="shared" si="15"/>
        <v>SIM</v>
      </c>
      <c r="M275" s="57" t="s">
        <v>1305</v>
      </c>
      <c r="N275" s="57" t="s">
        <v>89</v>
      </c>
      <c r="O275" s="57" t="s">
        <v>72</v>
      </c>
      <c r="P275" s="57" t="s">
        <v>72</v>
      </c>
      <c r="Q275" s="57" t="s">
        <v>1306</v>
      </c>
      <c r="R275" s="57" t="s">
        <v>1307</v>
      </c>
      <c r="S275" s="61" t="str">
        <f t="shared" ca="1" si="14"/>
        <v>EXECUTADA</v>
      </c>
    </row>
    <row r="276" spans="1:19" s="55" customFormat="1" ht="18" x14ac:dyDescent="0.25">
      <c r="A276" s="64" t="s">
        <v>2732</v>
      </c>
      <c r="B276" s="57" t="s">
        <v>27</v>
      </c>
      <c r="C276" s="58"/>
      <c r="D276" s="53" t="s">
        <v>1308</v>
      </c>
      <c r="E276" s="57">
        <v>34991564895</v>
      </c>
      <c r="F276" s="59">
        <v>46148</v>
      </c>
      <c r="G276" s="51" t="str">
        <f t="shared" si="13"/>
        <v>Qua</v>
      </c>
      <c r="H276" s="60">
        <v>0.70833333333333337</v>
      </c>
      <c r="I276" s="57" t="s">
        <v>35</v>
      </c>
      <c r="J276" s="57" t="s">
        <v>1309</v>
      </c>
      <c r="K276" s="57" t="s">
        <v>146</v>
      </c>
      <c r="L276" s="53" t="str">
        <f t="shared" si="15"/>
        <v>NÃO</v>
      </c>
      <c r="M276" s="57" t="s">
        <v>72</v>
      </c>
      <c r="N276" s="57" t="s">
        <v>79</v>
      </c>
      <c r="O276" s="57" t="s">
        <v>1310</v>
      </c>
      <c r="P276" s="57">
        <v>34996316730</v>
      </c>
      <c r="Q276" s="57" t="s">
        <v>1311</v>
      </c>
      <c r="R276" s="57" t="s">
        <v>1312</v>
      </c>
      <c r="S276" s="61" t="str">
        <f t="shared" ca="1" si="14"/>
        <v>EXECUTADA</v>
      </c>
    </row>
    <row r="277" spans="1:19" s="55" customFormat="1" ht="18" x14ac:dyDescent="0.25">
      <c r="A277" s="64" t="s">
        <v>2733</v>
      </c>
      <c r="B277" s="139" t="s">
        <v>30</v>
      </c>
      <c r="C277" s="58"/>
      <c r="D277" s="53" t="s">
        <v>1308</v>
      </c>
      <c r="E277" s="57">
        <v>34988996777</v>
      </c>
      <c r="F277" s="59">
        <v>46149</v>
      </c>
      <c r="G277" s="51" t="str">
        <f t="shared" si="13"/>
        <v>Qui</v>
      </c>
      <c r="H277" s="60">
        <v>0.33333333333333331</v>
      </c>
      <c r="I277" s="57" t="s">
        <v>46</v>
      </c>
      <c r="J277" s="57" t="s">
        <v>1313</v>
      </c>
      <c r="K277" s="57" t="s">
        <v>107</v>
      </c>
      <c r="L277" s="53" t="str">
        <f t="shared" si="15"/>
        <v>SIM</v>
      </c>
      <c r="M277" s="57" t="s">
        <v>1314</v>
      </c>
      <c r="N277" s="57" t="s">
        <v>89</v>
      </c>
      <c r="O277" s="57" t="s">
        <v>72</v>
      </c>
      <c r="P277" s="57" t="s">
        <v>72</v>
      </c>
      <c r="Q277" s="57" t="s">
        <v>1315</v>
      </c>
      <c r="R277" s="57" t="s">
        <v>1316</v>
      </c>
      <c r="S277" s="61" t="str">
        <f t="shared" ca="1" si="14"/>
        <v>EXECUTADA</v>
      </c>
    </row>
    <row r="278" spans="1:19" s="55" customFormat="1" ht="18" x14ac:dyDescent="0.25">
      <c r="A278" s="170" t="s">
        <v>2715</v>
      </c>
      <c r="B278" s="57" t="s">
        <v>27</v>
      </c>
      <c r="C278" s="171"/>
      <c r="D278" s="53" t="s">
        <v>1308</v>
      </c>
      <c r="E278" s="57">
        <v>34984201286</v>
      </c>
      <c r="F278" s="59">
        <v>46149</v>
      </c>
      <c r="G278" s="51" t="str">
        <f t="shared" si="13"/>
        <v>Qui</v>
      </c>
      <c r="H278" s="60">
        <v>0.33333333333333331</v>
      </c>
      <c r="I278" s="57" t="s">
        <v>42</v>
      </c>
      <c r="J278" s="57" t="s">
        <v>1317</v>
      </c>
      <c r="K278" s="57" t="s">
        <v>87</v>
      </c>
      <c r="L278" s="53" t="str">
        <f t="shared" si="15"/>
        <v>NÃO</v>
      </c>
      <c r="M278" s="57" t="s">
        <v>72</v>
      </c>
      <c r="N278" s="57" t="s">
        <v>79</v>
      </c>
      <c r="O278" s="57" t="s">
        <v>1190</v>
      </c>
      <c r="P278" s="57">
        <v>34984102711</v>
      </c>
      <c r="Q278" s="57" t="s">
        <v>1318</v>
      </c>
      <c r="R278" s="57" t="s">
        <v>1319</v>
      </c>
      <c r="S278" s="61" t="str">
        <f t="shared" ca="1" si="14"/>
        <v>EXECUTADA</v>
      </c>
    </row>
    <row r="279" spans="1:19" s="55" customFormat="1" ht="18" x14ac:dyDescent="0.25">
      <c r="A279" s="71" t="s">
        <v>1320</v>
      </c>
      <c r="B279" s="57" t="s">
        <v>30</v>
      </c>
      <c r="C279" s="171"/>
      <c r="D279" s="53" t="s">
        <v>868</v>
      </c>
      <c r="E279" s="57">
        <v>62993130437</v>
      </c>
      <c r="F279" s="59">
        <v>46149</v>
      </c>
      <c r="G279" s="51" t="str">
        <f t="shared" si="13"/>
        <v>Qui</v>
      </c>
      <c r="H279" s="60">
        <v>0.41666666666666669</v>
      </c>
      <c r="I279" s="57" t="s">
        <v>46</v>
      </c>
      <c r="J279" s="57" t="s">
        <v>1321</v>
      </c>
      <c r="K279" s="57" t="s">
        <v>87</v>
      </c>
      <c r="L279" s="53" t="str">
        <f t="shared" si="15"/>
        <v>SIM</v>
      </c>
      <c r="M279" s="57" t="s">
        <v>684</v>
      </c>
      <c r="N279" s="57" t="s">
        <v>89</v>
      </c>
      <c r="O279" s="57" t="s">
        <v>72</v>
      </c>
      <c r="P279" s="57" t="s">
        <v>72</v>
      </c>
      <c r="Q279" s="57" t="s">
        <v>1322</v>
      </c>
      <c r="R279" s="57" t="s">
        <v>1323</v>
      </c>
      <c r="S279" s="61" t="str">
        <f t="shared" ca="1" si="14"/>
        <v>EXECUTADA</v>
      </c>
    </row>
    <row r="280" spans="1:19" s="55" customFormat="1" ht="18" x14ac:dyDescent="0.25">
      <c r="A280" s="71" t="s">
        <v>1324</v>
      </c>
      <c r="B280" s="139" t="s">
        <v>27</v>
      </c>
      <c r="C280" s="171"/>
      <c r="D280" s="53" t="s">
        <v>1308</v>
      </c>
      <c r="E280" s="57">
        <v>34999234132</v>
      </c>
      <c r="F280" s="59">
        <v>46149</v>
      </c>
      <c r="G280" s="51" t="str">
        <f t="shared" si="13"/>
        <v>Qui</v>
      </c>
      <c r="H280" s="60">
        <v>0.41666666666666669</v>
      </c>
      <c r="I280" s="57" t="s">
        <v>42</v>
      </c>
      <c r="J280" s="57" t="s">
        <v>1325</v>
      </c>
      <c r="K280" s="57" t="s">
        <v>87</v>
      </c>
      <c r="L280" s="53" t="str">
        <f t="shared" si="15"/>
        <v>NÃO</v>
      </c>
      <c r="M280" s="57" t="s">
        <v>72</v>
      </c>
      <c r="N280" s="57" t="s">
        <v>89</v>
      </c>
      <c r="O280" s="57" t="s">
        <v>72</v>
      </c>
      <c r="P280" s="57" t="s">
        <v>72</v>
      </c>
      <c r="Q280" s="57" t="s">
        <v>1326</v>
      </c>
      <c r="R280" s="57" t="s">
        <v>1327</v>
      </c>
      <c r="S280" s="61" t="str">
        <f t="shared" ca="1" si="14"/>
        <v>EXECUTADA</v>
      </c>
    </row>
    <row r="281" spans="1:19" s="55" customFormat="1" ht="18" x14ac:dyDescent="0.25">
      <c r="A281" s="117" t="s">
        <v>2734</v>
      </c>
      <c r="B281" s="57" t="s">
        <v>27</v>
      </c>
      <c r="C281" s="171"/>
      <c r="D281" s="53" t="s">
        <v>1308</v>
      </c>
      <c r="E281" s="57">
        <v>34997259411</v>
      </c>
      <c r="F281" s="59">
        <v>46149</v>
      </c>
      <c r="G281" s="51" t="str">
        <f t="shared" si="13"/>
        <v>Qui</v>
      </c>
      <c r="H281" s="60">
        <v>0.625</v>
      </c>
      <c r="I281" s="57" t="s">
        <v>42</v>
      </c>
      <c r="J281" s="57" t="s">
        <v>1328</v>
      </c>
      <c r="K281" s="57" t="s">
        <v>71</v>
      </c>
      <c r="L281" s="53" t="str">
        <f t="shared" si="15"/>
        <v>NÃO</v>
      </c>
      <c r="M281" s="57" t="s">
        <v>72</v>
      </c>
      <c r="N281" s="57" t="s">
        <v>79</v>
      </c>
      <c r="O281" s="57" t="s">
        <v>1329</v>
      </c>
      <c r="P281" s="57" t="s">
        <v>1330</v>
      </c>
      <c r="Q281" s="57" t="s">
        <v>1331</v>
      </c>
      <c r="R281" s="57" t="s">
        <v>1332</v>
      </c>
      <c r="S281" s="61" t="str">
        <f t="shared" ca="1" si="14"/>
        <v>EXECUTADA</v>
      </c>
    </row>
    <row r="282" spans="1:19" s="55" customFormat="1" ht="18" x14ac:dyDescent="0.25">
      <c r="A282" s="64" t="s">
        <v>1333</v>
      </c>
      <c r="B282" s="57" t="s">
        <v>30</v>
      </c>
      <c r="C282" s="171"/>
      <c r="D282" s="53" t="s">
        <v>1308</v>
      </c>
      <c r="E282" s="57">
        <v>34996980585</v>
      </c>
      <c r="F282" s="59">
        <v>46149</v>
      </c>
      <c r="G282" s="51" t="str">
        <f t="shared" si="13"/>
        <v>Qui</v>
      </c>
      <c r="H282" s="60">
        <v>0.54166666666666663</v>
      </c>
      <c r="I282" s="57" t="s">
        <v>46</v>
      </c>
      <c r="J282" s="57" t="s">
        <v>1334</v>
      </c>
      <c r="K282" s="57" t="s">
        <v>107</v>
      </c>
      <c r="L282" s="53" t="str">
        <f>IF(A282="MUD END","NÃO","SIM")</f>
        <v>SIM</v>
      </c>
      <c r="M282" s="57" t="s">
        <v>909</v>
      </c>
      <c r="N282" s="57" t="s">
        <v>89</v>
      </c>
      <c r="O282" s="57" t="s">
        <v>72</v>
      </c>
      <c r="P282" s="57" t="s">
        <v>72</v>
      </c>
      <c r="Q282" s="57" t="s">
        <v>1335</v>
      </c>
      <c r="R282" s="57" t="s">
        <v>1336</v>
      </c>
      <c r="S282" s="61" t="str">
        <f t="shared" ca="1" si="14"/>
        <v>EXECUTADA</v>
      </c>
    </row>
    <row r="283" spans="1:19" s="55" customFormat="1" ht="18" x14ac:dyDescent="0.25">
      <c r="A283" s="64" t="s">
        <v>1337</v>
      </c>
      <c r="B283" s="57" t="s">
        <v>27</v>
      </c>
      <c r="C283" s="58"/>
      <c r="D283" s="53" t="s">
        <v>1338</v>
      </c>
      <c r="E283" s="57">
        <v>34991258066</v>
      </c>
      <c r="F283" s="59">
        <v>46149</v>
      </c>
      <c r="G283" s="51" t="str">
        <f t="shared" si="13"/>
        <v>Qui</v>
      </c>
      <c r="H283" s="60">
        <v>0.625</v>
      </c>
      <c r="I283" s="57" t="s">
        <v>35</v>
      </c>
      <c r="J283" s="57" t="s">
        <v>1339</v>
      </c>
      <c r="K283" s="57" t="s">
        <v>71</v>
      </c>
      <c r="L283" s="53" t="str">
        <f>IF(A283="MUD END","NÃO","SIM")</f>
        <v>SIM</v>
      </c>
      <c r="M283" s="57" t="s">
        <v>72</v>
      </c>
      <c r="N283" s="57" t="s">
        <v>89</v>
      </c>
      <c r="O283" s="57" t="s">
        <v>72</v>
      </c>
      <c r="P283" s="57" t="s">
        <v>72</v>
      </c>
      <c r="Q283" s="57" t="s">
        <v>1340</v>
      </c>
      <c r="R283" s="57" t="s">
        <v>1341</v>
      </c>
      <c r="S283" s="61" t="str">
        <f t="shared" ca="1" si="14"/>
        <v>EXECUTADA</v>
      </c>
    </row>
    <row r="284" spans="1:19" s="55" customFormat="1" ht="18" x14ac:dyDescent="0.25">
      <c r="A284" s="64" t="s">
        <v>1342</v>
      </c>
      <c r="B284" s="57" t="s">
        <v>27</v>
      </c>
      <c r="C284" s="58"/>
      <c r="D284" s="53" t="s">
        <v>1308</v>
      </c>
      <c r="E284" s="57">
        <v>34992380230</v>
      </c>
      <c r="F284" s="59">
        <v>46149</v>
      </c>
      <c r="G284" s="51" t="str">
        <f t="shared" si="13"/>
        <v>Qui</v>
      </c>
      <c r="H284" s="60">
        <v>0.70833333333333337</v>
      </c>
      <c r="I284" s="57" t="s">
        <v>35</v>
      </c>
      <c r="J284" s="57" t="s">
        <v>1343</v>
      </c>
      <c r="K284" s="57" t="s">
        <v>107</v>
      </c>
      <c r="L284" s="53" t="str">
        <f t="shared" ref="L284:L294" si="16">IF(B284="MUD END","NÃO","SIM")</f>
        <v>NÃO</v>
      </c>
      <c r="M284" s="57" t="s">
        <v>72</v>
      </c>
      <c r="N284" s="57" t="s">
        <v>89</v>
      </c>
      <c r="O284" s="57" t="s">
        <v>72</v>
      </c>
      <c r="P284" s="57" t="s">
        <v>72</v>
      </c>
      <c r="Q284" s="57" t="s">
        <v>1344</v>
      </c>
      <c r="R284" s="57" t="s">
        <v>1345</v>
      </c>
      <c r="S284" s="61" t="str">
        <f t="shared" ca="1" si="14"/>
        <v>EXECUTADA</v>
      </c>
    </row>
    <row r="285" spans="1:19" s="180" customFormat="1" ht="18.75" thickBot="1" x14ac:dyDescent="0.3">
      <c r="A285" s="172" t="s">
        <v>1346</v>
      </c>
      <c r="B285" s="173" t="s">
        <v>30</v>
      </c>
      <c r="C285" s="174"/>
      <c r="D285" s="175" t="s">
        <v>1308</v>
      </c>
      <c r="E285" s="173">
        <v>34991211514</v>
      </c>
      <c r="F285" s="176">
        <v>46149</v>
      </c>
      <c r="G285" s="177" t="str">
        <f t="shared" si="13"/>
        <v>Qui</v>
      </c>
      <c r="H285" s="178">
        <v>0.70833333333333337</v>
      </c>
      <c r="I285" s="173" t="s">
        <v>46</v>
      </c>
      <c r="J285" s="173" t="s">
        <v>1347</v>
      </c>
      <c r="K285" s="173" t="s">
        <v>1348</v>
      </c>
      <c r="L285" s="175" t="str">
        <f t="shared" si="16"/>
        <v>SIM</v>
      </c>
      <c r="M285" s="173" t="s">
        <v>1349</v>
      </c>
      <c r="N285" s="173" t="s">
        <v>89</v>
      </c>
      <c r="O285" s="173" t="s">
        <v>72</v>
      </c>
      <c r="P285" s="173" t="s">
        <v>72</v>
      </c>
      <c r="Q285" s="173" t="s">
        <v>1350</v>
      </c>
      <c r="R285" s="173" t="s">
        <v>1351</v>
      </c>
      <c r="S285" s="179" t="str">
        <f t="shared" ca="1" si="14"/>
        <v>EXECUTADA</v>
      </c>
    </row>
    <row r="286" spans="1:19" s="55" customFormat="1" ht="18.75" thickTop="1" x14ac:dyDescent="0.25">
      <c r="A286" s="166" t="s">
        <v>2735</v>
      </c>
      <c r="B286" s="61" t="s">
        <v>27</v>
      </c>
      <c r="C286" s="181"/>
      <c r="D286" s="182" t="s">
        <v>1308</v>
      </c>
      <c r="E286" s="61">
        <v>34996452818</v>
      </c>
      <c r="F286" s="183">
        <v>46150</v>
      </c>
      <c r="G286" s="51" t="str">
        <f t="shared" si="13"/>
        <v>Sex</v>
      </c>
      <c r="H286" s="144">
        <v>0.33333333333333331</v>
      </c>
      <c r="I286" s="61" t="s">
        <v>38</v>
      </c>
      <c r="J286" s="61" t="s">
        <v>1352</v>
      </c>
      <c r="K286" s="61" t="s">
        <v>87</v>
      </c>
      <c r="L286" s="182" t="str">
        <f t="shared" si="16"/>
        <v>NÃO</v>
      </c>
      <c r="M286" s="61" t="s">
        <v>72</v>
      </c>
      <c r="N286" s="61" t="s">
        <v>89</v>
      </c>
      <c r="O286" s="61" t="s">
        <v>72</v>
      </c>
      <c r="P286" s="61" t="s">
        <v>72</v>
      </c>
      <c r="Q286" s="61" t="s">
        <v>1353</v>
      </c>
      <c r="R286" s="61" t="s">
        <v>1354</v>
      </c>
      <c r="S286" s="61" t="str">
        <f t="shared" ca="1" si="14"/>
        <v>EXECUTADA</v>
      </c>
    </row>
    <row r="287" spans="1:19" s="55" customFormat="1" ht="18" x14ac:dyDescent="0.25">
      <c r="A287" s="71" t="s">
        <v>1355</v>
      </c>
      <c r="B287" s="57" t="s">
        <v>30</v>
      </c>
      <c r="C287" s="171"/>
      <c r="D287" s="53" t="s">
        <v>1308</v>
      </c>
      <c r="E287" s="57">
        <v>34996901374</v>
      </c>
      <c r="F287" s="59">
        <v>46150</v>
      </c>
      <c r="G287" s="51" t="str">
        <f t="shared" si="13"/>
        <v>Sex</v>
      </c>
      <c r="H287" s="60">
        <v>0.33333333333333331</v>
      </c>
      <c r="I287" s="57" t="s">
        <v>46</v>
      </c>
      <c r="J287" s="57" t="s">
        <v>1356</v>
      </c>
      <c r="K287" s="57" t="s">
        <v>71</v>
      </c>
      <c r="L287" s="53" t="str">
        <f t="shared" si="16"/>
        <v>SIM</v>
      </c>
      <c r="M287" s="57" t="s">
        <v>649</v>
      </c>
      <c r="N287" s="57" t="s">
        <v>89</v>
      </c>
      <c r="O287" s="57" t="s">
        <v>72</v>
      </c>
      <c r="P287" s="57" t="s">
        <v>72</v>
      </c>
      <c r="Q287" s="57" t="s">
        <v>1357</v>
      </c>
      <c r="R287" s="57" t="s">
        <v>1358</v>
      </c>
      <c r="S287" s="61" t="str">
        <f t="shared" ca="1" si="14"/>
        <v>EXECUTADA</v>
      </c>
    </row>
    <row r="288" spans="1:19" s="55" customFormat="1" ht="18" x14ac:dyDescent="0.25">
      <c r="A288" s="71" t="s">
        <v>2736</v>
      </c>
      <c r="B288" s="57" t="s">
        <v>27</v>
      </c>
      <c r="C288" s="171"/>
      <c r="D288" s="53" t="s">
        <v>1308</v>
      </c>
      <c r="E288" s="57">
        <v>34991321845</v>
      </c>
      <c r="F288" s="59">
        <v>46150</v>
      </c>
      <c r="G288" s="51" t="str">
        <f t="shared" si="13"/>
        <v>Sex</v>
      </c>
      <c r="H288" s="60">
        <v>0.41666666666666669</v>
      </c>
      <c r="I288" s="57" t="s">
        <v>42</v>
      </c>
      <c r="J288" s="57" t="s">
        <v>1359</v>
      </c>
      <c r="K288" s="57" t="s">
        <v>71</v>
      </c>
      <c r="L288" s="53" t="str">
        <f t="shared" si="16"/>
        <v>NÃO</v>
      </c>
      <c r="M288" s="57" t="s">
        <v>72</v>
      </c>
      <c r="N288" s="57" t="s">
        <v>79</v>
      </c>
      <c r="O288" s="57" t="s">
        <v>1360</v>
      </c>
      <c r="P288" s="57" t="s">
        <v>1361</v>
      </c>
      <c r="Q288" s="57" t="s">
        <v>1362</v>
      </c>
      <c r="R288" s="57" t="s">
        <v>1363</v>
      </c>
      <c r="S288" s="61" t="str">
        <f t="shared" ca="1" si="14"/>
        <v>EXECUTADA</v>
      </c>
    </row>
    <row r="289" spans="1:19" s="55" customFormat="1" ht="18" x14ac:dyDescent="0.25">
      <c r="A289" s="64" t="s">
        <v>2737</v>
      </c>
      <c r="B289" s="61" t="s">
        <v>27</v>
      </c>
      <c r="C289" s="58"/>
      <c r="D289" s="53" t="s">
        <v>1308</v>
      </c>
      <c r="E289" s="57">
        <v>34993344088</v>
      </c>
      <c r="F289" s="59">
        <v>46150</v>
      </c>
      <c r="G289" s="51" t="str">
        <f t="shared" si="13"/>
        <v>Sex</v>
      </c>
      <c r="H289" s="60">
        <v>0.41666666666666669</v>
      </c>
      <c r="I289" s="57" t="s">
        <v>38</v>
      </c>
      <c r="J289" s="57" t="s">
        <v>1364</v>
      </c>
      <c r="K289" s="57" t="s">
        <v>107</v>
      </c>
      <c r="L289" s="53" t="str">
        <f t="shared" si="16"/>
        <v>NÃO</v>
      </c>
      <c r="M289" s="57" t="s">
        <v>72</v>
      </c>
      <c r="N289" s="57" t="s">
        <v>79</v>
      </c>
      <c r="O289" s="57" t="s">
        <v>1365</v>
      </c>
      <c r="P289" s="57" t="s">
        <v>1366</v>
      </c>
      <c r="Q289" s="57" t="s">
        <v>1367</v>
      </c>
      <c r="R289" s="57" t="s">
        <v>1368</v>
      </c>
      <c r="S289" s="61" t="str">
        <f t="shared" ca="1" si="14"/>
        <v>EXECUTADA</v>
      </c>
    </row>
    <row r="290" spans="1:19" s="165" customFormat="1" ht="18" x14ac:dyDescent="0.25">
      <c r="A290" s="184" t="s">
        <v>2738</v>
      </c>
      <c r="B290" s="157" t="s">
        <v>289</v>
      </c>
      <c r="C290" s="158"/>
      <c r="D290" s="163" t="s">
        <v>1369</v>
      </c>
      <c r="E290" s="157"/>
      <c r="F290" s="160">
        <v>46150</v>
      </c>
      <c r="G290" s="161" t="str">
        <f t="shared" si="13"/>
        <v>Sex</v>
      </c>
      <c r="H290" s="162">
        <v>0.625</v>
      </c>
      <c r="I290" s="157"/>
      <c r="J290" s="157"/>
      <c r="K290" s="157"/>
      <c r="L290" s="163" t="str">
        <f t="shared" si="16"/>
        <v>SIM</v>
      </c>
      <c r="M290" s="157"/>
      <c r="N290" s="157"/>
      <c r="O290" s="157"/>
      <c r="P290" s="157"/>
      <c r="Q290" s="157"/>
      <c r="R290" s="157"/>
      <c r="S290" s="164" t="str">
        <f t="shared" ca="1" si="14"/>
        <v>EXECUTADA</v>
      </c>
    </row>
    <row r="291" spans="1:19" s="55" customFormat="1" ht="18" x14ac:dyDescent="0.25">
      <c r="A291" s="64" t="s">
        <v>2739</v>
      </c>
      <c r="B291" s="57" t="s">
        <v>30</v>
      </c>
      <c r="C291" s="58"/>
      <c r="D291" s="53" t="s">
        <v>1308</v>
      </c>
      <c r="E291" s="57">
        <v>34996681198</v>
      </c>
      <c r="F291" s="59">
        <v>46150</v>
      </c>
      <c r="G291" s="51" t="str">
        <f t="shared" si="13"/>
        <v>Sex</v>
      </c>
      <c r="H291" s="60">
        <v>0.70833333333333337</v>
      </c>
      <c r="I291" s="57" t="s">
        <v>46</v>
      </c>
      <c r="J291" s="57" t="s">
        <v>1370</v>
      </c>
      <c r="K291" s="57" t="s">
        <v>146</v>
      </c>
      <c r="L291" s="53" t="str">
        <f t="shared" si="16"/>
        <v>SIM</v>
      </c>
      <c r="M291" s="57" t="s">
        <v>1371</v>
      </c>
      <c r="N291" s="57" t="s">
        <v>89</v>
      </c>
      <c r="O291" s="57" t="s">
        <v>72</v>
      </c>
      <c r="P291" s="57" t="s">
        <v>72</v>
      </c>
      <c r="Q291" s="57" t="s">
        <v>1372</v>
      </c>
      <c r="R291" s="57" t="s">
        <v>1373</v>
      </c>
      <c r="S291" s="61" t="str">
        <f t="shared" ca="1" si="14"/>
        <v>EXECUTADA</v>
      </c>
    </row>
    <row r="292" spans="1:19" s="55" customFormat="1" ht="18" x14ac:dyDescent="0.25">
      <c r="A292" s="72" t="s">
        <v>2740</v>
      </c>
      <c r="B292" s="57" t="s">
        <v>30</v>
      </c>
      <c r="C292" s="58"/>
      <c r="D292" s="53" t="s">
        <v>1308</v>
      </c>
      <c r="E292" s="57">
        <v>34997801585</v>
      </c>
      <c r="F292" s="59">
        <v>46150</v>
      </c>
      <c r="G292" s="51" t="str">
        <f t="shared" si="13"/>
        <v>Sex</v>
      </c>
      <c r="H292" s="60">
        <v>0.54166666666666663</v>
      </c>
      <c r="I292" s="57" t="s">
        <v>46</v>
      </c>
      <c r="J292" s="57" t="s">
        <v>1374</v>
      </c>
      <c r="K292" s="57" t="s">
        <v>146</v>
      </c>
      <c r="L292" s="53" t="str">
        <f t="shared" si="16"/>
        <v>SIM</v>
      </c>
      <c r="M292" s="57" t="s">
        <v>1375</v>
      </c>
      <c r="N292" s="57" t="s">
        <v>89</v>
      </c>
      <c r="O292" s="57" t="s">
        <v>72</v>
      </c>
      <c r="P292" s="57" t="s">
        <v>72</v>
      </c>
      <c r="Q292" s="57" t="s">
        <v>1376</v>
      </c>
      <c r="R292" s="57" t="s">
        <v>1377</v>
      </c>
      <c r="S292" s="61" t="str">
        <f t="shared" ca="1" si="14"/>
        <v>EXECUTADA</v>
      </c>
    </row>
    <row r="293" spans="1:19" s="55" customFormat="1" ht="18" x14ac:dyDescent="0.25">
      <c r="A293" s="151" t="s">
        <v>2741</v>
      </c>
      <c r="B293" s="57" t="s">
        <v>27</v>
      </c>
      <c r="C293" s="58"/>
      <c r="D293" s="53" t="s">
        <v>1378</v>
      </c>
      <c r="E293" s="57">
        <v>34998174114</v>
      </c>
      <c r="F293" s="59">
        <v>46150</v>
      </c>
      <c r="G293" s="51" t="str">
        <f t="shared" si="13"/>
        <v>Sex</v>
      </c>
      <c r="H293" s="60">
        <v>0.41666666666666669</v>
      </c>
      <c r="I293" s="57" t="s">
        <v>42</v>
      </c>
      <c r="J293" s="57" t="s">
        <v>1379</v>
      </c>
      <c r="K293" s="57" t="s">
        <v>146</v>
      </c>
      <c r="L293" s="53" t="str">
        <f t="shared" si="16"/>
        <v>NÃO</v>
      </c>
      <c r="M293" s="57" t="s">
        <v>72</v>
      </c>
      <c r="N293" s="57" t="s">
        <v>89</v>
      </c>
      <c r="O293" s="57" t="s">
        <v>72</v>
      </c>
      <c r="P293" s="57" t="s">
        <v>72</v>
      </c>
      <c r="Q293" s="57" t="s">
        <v>1380</v>
      </c>
      <c r="R293" s="57" t="s">
        <v>1381</v>
      </c>
      <c r="S293" s="61" t="str">
        <f t="shared" ca="1" si="14"/>
        <v>EXECUTADA</v>
      </c>
    </row>
    <row r="294" spans="1:19" s="165" customFormat="1" ht="18" x14ac:dyDescent="0.25">
      <c r="A294" s="185" t="s">
        <v>2742</v>
      </c>
      <c r="B294" s="157" t="s">
        <v>27</v>
      </c>
      <c r="C294" s="158"/>
      <c r="D294" s="163" t="s">
        <v>1369</v>
      </c>
      <c r="E294" s="157"/>
      <c r="F294" s="160">
        <v>46150</v>
      </c>
      <c r="G294" s="161" t="str">
        <f t="shared" si="13"/>
        <v>Sex</v>
      </c>
      <c r="H294" s="162">
        <v>0.54166666666666663</v>
      </c>
      <c r="I294" s="157" t="s">
        <v>35</v>
      </c>
      <c r="J294" s="157"/>
      <c r="K294" s="157"/>
      <c r="L294" s="163" t="str">
        <f t="shared" si="16"/>
        <v>NÃO</v>
      </c>
      <c r="M294" s="157"/>
      <c r="N294" s="157"/>
      <c r="O294" s="157"/>
      <c r="P294" s="157"/>
      <c r="Q294" s="157"/>
      <c r="R294" s="157"/>
      <c r="S294" s="164" t="str">
        <f t="shared" ca="1" si="14"/>
        <v>EXECUTADA</v>
      </c>
    </row>
    <row r="295" spans="1:19" s="55" customFormat="1" ht="18" x14ac:dyDescent="0.25">
      <c r="A295" s="151" t="s">
        <v>1382</v>
      </c>
      <c r="B295" s="57" t="s">
        <v>27</v>
      </c>
      <c r="C295" s="58"/>
      <c r="D295" s="53" t="s">
        <v>1308</v>
      </c>
      <c r="E295" s="57">
        <v>34991107330</v>
      </c>
      <c r="F295" s="59">
        <v>46150</v>
      </c>
      <c r="G295" s="51" t="str">
        <f t="shared" si="13"/>
        <v>Sex</v>
      </c>
      <c r="H295" s="60">
        <v>0.41666666666666669</v>
      </c>
      <c r="I295" s="57" t="s">
        <v>42</v>
      </c>
      <c r="J295" s="57" t="s">
        <v>1383</v>
      </c>
      <c r="K295" s="57" t="s">
        <v>107</v>
      </c>
      <c r="L295" s="53" t="str">
        <f>IF(A295="MUD END","NÃO","SIM")</f>
        <v>SIM</v>
      </c>
      <c r="M295" s="57" t="s">
        <v>72</v>
      </c>
      <c r="N295" s="57" t="s">
        <v>89</v>
      </c>
      <c r="O295" s="57" t="s">
        <v>72</v>
      </c>
      <c r="P295" s="57" t="s">
        <v>72</v>
      </c>
      <c r="Q295" s="57" t="s">
        <v>1384</v>
      </c>
      <c r="R295" s="57" t="s">
        <v>1385</v>
      </c>
      <c r="S295" s="61" t="str">
        <f t="shared" ca="1" si="14"/>
        <v>EXECUTADA</v>
      </c>
    </row>
    <row r="296" spans="1:19" s="55" customFormat="1" ht="18" x14ac:dyDescent="0.25">
      <c r="A296" s="64" t="s">
        <v>1386</v>
      </c>
      <c r="B296" s="57" t="s">
        <v>30</v>
      </c>
      <c r="C296" s="58"/>
      <c r="D296" s="53" t="s">
        <v>1308</v>
      </c>
      <c r="E296" s="57">
        <v>34999574801</v>
      </c>
      <c r="F296" s="59">
        <v>46150</v>
      </c>
      <c r="G296" s="51" t="str">
        <f t="shared" si="13"/>
        <v>Sex</v>
      </c>
      <c r="H296" s="60">
        <v>0.625</v>
      </c>
      <c r="I296" s="57" t="s">
        <v>46</v>
      </c>
      <c r="J296" s="57" t="s">
        <v>1387</v>
      </c>
      <c r="K296" s="57" t="s">
        <v>87</v>
      </c>
      <c r="L296" s="53" t="str">
        <f t="shared" ref="L296:L310" si="17">IF(B296="MUD END","NÃO","SIM")</f>
        <v>SIM</v>
      </c>
      <c r="M296" s="57" t="s">
        <v>1388</v>
      </c>
      <c r="N296" s="57" t="s">
        <v>89</v>
      </c>
      <c r="O296" s="57" t="s">
        <v>72</v>
      </c>
      <c r="P296" s="57" t="s">
        <v>72</v>
      </c>
      <c r="Q296" s="57" t="s">
        <v>1389</v>
      </c>
      <c r="R296" s="57" t="s">
        <v>1390</v>
      </c>
      <c r="S296" s="61" t="str">
        <f t="shared" ca="1" si="14"/>
        <v>EXECUTADA</v>
      </c>
    </row>
    <row r="297" spans="1:19" s="55" customFormat="1" ht="18" x14ac:dyDescent="0.25">
      <c r="A297" s="64" t="s">
        <v>1391</v>
      </c>
      <c r="B297" s="57" t="s">
        <v>30</v>
      </c>
      <c r="C297" s="58"/>
      <c r="D297" s="53" t="s">
        <v>1308</v>
      </c>
      <c r="E297" s="57">
        <v>34984447753</v>
      </c>
      <c r="F297" s="59">
        <v>46150</v>
      </c>
      <c r="G297" s="51" t="str">
        <f t="shared" si="13"/>
        <v>Sex</v>
      </c>
      <c r="H297" s="60">
        <v>0.70833333333333337</v>
      </c>
      <c r="I297" s="57" t="s">
        <v>46</v>
      </c>
      <c r="J297" s="57" t="s">
        <v>1392</v>
      </c>
      <c r="K297" s="57" t="s">
        <v>139</v>
      </c>
      <c r="L297" s="53" t="str">
        <f t="shared" si="17"/>
        <v>SIM</v>
      </c>
      <c r="M297" s="57" t="s">
        <v>1388</v>
      </c>
      <c r="N297" s="57" t="s">
        <v>89</v>
      </c>
      <c r="O297" s="57" t="s">
        <v>72</v>
      </c>
      <c r="P297" s="57" t="s">
        <v>72</v>
      </c>
      <c r="Q297" s="57" t="s">
        <v>1393</v>
      </c>
      <c r="R297" s="57" t="s">
        <v>1394</v>
      </c>
      <c r="S297" s="61" t="str">
        <f t="shared" ca="1" si="14"/>
        <v>EXECUTADA</v>
      </c>
    </row>
    <row r="298" spans="1:19" s="81" customFormat="1" ht="18" x14ac:dyDescent="0.25">
      <c r="A298" s="186" t="s">
        <v>1395</v>
      </c>
      <c r="B298" s="38" t="s">
        <v>30</v>
      </c>
      <c r="C298" s="39"/>
      <c r="D298" s="40" t="s">
        <v>1396</v>
      </c>
      <c r="E298" s="38">
        <v>34998078065</v>
      </c>
      <c r="F298" s="41">
        <v>46150</v>
      </c>
      <c r="G298" s="42" t="str">
        <f t="shared" si="13"/>
        <v>Sex</v>
      </c>
      <c r="H298" s="43">
        <v>0.70833333333333337</v>
      </c>
      <c r="I298" s="38" t="s">
        <v>46</v>
      </c>
      <c r="J298" s="38" t="s">
        <v>1397</v>
      </c>
      <c r="K298" s="38"/>
      <c r="L298" s="40" t="str">
        <f t="shared" si="17"/>
        <v>SIM</v>
      </c>
      <c r="M298" s="38" t="s">
        <v>1398</v>
      </c>
      <c r="N298" s="38"/>
      <c r="O298" s="38"/>
      <c r="P298" s="38"/>
      <c r="Q298" s="38" t="s">
        <v>1399</v>
      </c>
      <c r="R298" s="38" t="s">
        <v>1400</v>
      </c>
      <c r="S298" s="44" t="str">
        <f t="shared" ca="1" si="14"/>
        <v>EXECUTADA</v>
      </c>
    </row>
    <row r="299" spans="1:19" s="55" customFormat="1" ht="18" x14ac:dyDescent="0.25">
      <c r="A299" s="72" t="s">
        <v>2743</v>
      </c>
      <c r="B299" s="57" t="s">
        <v>27</v>
      </c>
      <c r="C299" s="58"/>
      <c r="D299" s="53" t="s">
        <v>1308</v>
      </c>
      <c r="E299" s="57">
        <v>34992292982</v>
      </c>
      <c r="F299" s="59">
        <v>46151</v>
      </c>
      <c r="G299" s="51" t="str">
        <f t="shared" si="13"/>
        <v>Sáb</v>
      </c>
      <c r="H299" s="60">
        <v>0.33333333333333331</v>
      </c>
      <c r="I299" s="57" t="s">
        <v>42</v>
      </c>
      <c r="J299" s="57" t="s">
        <v>1401</v>
      </c>
      <c r="K299" s="57" t="s">
        <v>107</v>
      </c>
      <c r="L299" s="53" t="str">
        <f t="shared" si="17"/>
        <v>NÃO</v>
      </c>
      <c r="M299" s="57" t="s">
        <v>72</v>
      </c>
      <c r="N299" s="57" t="s">
        <v>89</v>
      </c>
      <c r="O299" s="57" t="s">
        <v>1117</v>
      </c>
      <c r="P299" s="57">
        <v>34991496391</v>
      </c>
      <c r="Q299" s="57" t="s">
        <v>1402</v>
      </c>
      <c r="R299" s="57" t="s">
        <v>1119</v>
      </c>
      <c r="S299" s="61" t="str">
        <f t="shared" ca="1" si="14"/>
        <v>EXECUTADA</v>
      </c>
    </row>
    <row r="300" spans="1:19" s="55" customFormat="1" ht="18" x14ac:dyDescent="0.25">
      <c r="A300" s="100" t="s">
        <v>1403</v>
      </c>
      <c r="B300" s="57" t="s">
        <v>27</v>
      </c>
      <c r="C300" s="58"/>
      <c r="D300" s="53" t="s">
        <v>1308</v>
      </c>
      <c r="E300" s="57">
        <v>34984088405</v>
      </c>
      <c r="F300" s="59">
        <v>46151</v>
      </c>
      <c r="G300" s="51" t="str">
        <f t="shared" si="13"/>
        <v>Sáb</v>
      </c>
      <c r="H300" s="60">
        <v>0.33333333333333331</v>
      </c>
      <c r="I300" s="57" t="s">
        <v>42</v>
      </c>
      <c r="J300" s="57" t="s">
        <v>1404</v>
      </c>
      <c r="K300" s="57" t="s">
        <v>71</v>
      </c>
      <c r="L300" s="53" t="str">
        <f t="shared" si="17"/>
        <v>NÃO</v>
      </c>
      <c r="M300" s="57" t="s">
        <v>72</v>
      </c>
      <c r="N300" s="57" t="s">
        <v>89</v>
      </c>
      <c r="O300" s="57" t="s">
        <v>72</v>
      </c>
      <c r="P300" s="57" t="s">
        <v>72</v>
      </c>
      <c r="Q300" s="57" t="s">
        <v>1405</v>
      </c>
      <c r="R300" s="57" t="s">
        <v>1406</v>
      </c>
      <c r="S300" s="61" t="str">
        <f t="shared" ca="1" si="14"/>
        <v>EXECUTADA</v>
      </c>
    </row>
    <row r="301" spans="1:19" s="55" customFormat="1" ht="18" x14ac:dyDescent="0.25">
      <c r="A301" s="56" t="s">
        <v>1407</v>
      </c>
      <c r="B301" s="57" t="s">
        <v>27</v>
      </c>
      <c r="C301" s="58"/>
      <c r="D301" s="53" t="s">
        <v>1308</v>
      </c>
      <c r="E301" s="57" t="s">
        <v>1408</v>
      </c>
      <c r="F301" s="59">
        <v>46151</v>
      </c>
      <c r="G301" s="51" t="str">
        <f t="shared" si="13"/>
        <v>Sáb</v>
      </c>
      <c r="H301" s="60">
        <v>0.41666666666666669</v>
      </c>
      <c r="I301" s="57" t="s">
        <v>38</v>
      </c>
      <c r="J301" s="57" t="s">
        <v>1409</v>
      </c>
      <c r="K301" s="57" t="s">
        <v>71</v>
      </c>
      <c r="L301" s="53" t="str">
        <f t="shared" si="17"/>
        <v>NÃO</v>
      </c>
      <c r="M301" s="57" t="s">
        <v>72</v>
      </c>
      <c r="N301" s="57" t="s">
        <v>89</v>
      </c>
      <c r="O301" s="57" t="s">
        <v>72</v>
      </c>
      <c r="P301" s="57" t="s">
        <v>72</v>
      </c>
      <c r="Q301" s="57" t="s">
        <v>1410</v>
      </c>
      <c r="R301" s="57" t="s">
        <v>1411</v>
      </c>
      <c r="S301" s="61" t="str">
        <f t="shared" ca="1" si="14"/>
        <v>EXECUTADA</v>
      </c>
    </row>
    <row r="302" spans="1:19" s="55" customFormat="1" ht="18" x14ac:dyDescent="0.25">
      <c r="A302" s="69" t="s">
        <v>2744</v>
      </c>
      <c r="B302" s="57" t="s">
        <v>27</v>
      </c>
      <c r="C302" s="58"/>
      <c r="D302" s="53" t="s">
        <v>1308</v>
      </c>
      <c r="E302" s="57">
        <v>34996550008</v>
      </c>
      <c r="F302" s="59">
        <v>46151</v>
      </c>
      <c r="G302" s="51" t="str">
        <f t="shared" si="13"/>
        <v>Sáb</v>
      </c>
      <c r="H302" s="60">
        <v>0.41666666666666669</v>
      </c>
      <c r="I302" s="57" t="s">
        <v>42</v>
      </c>
      <c r="J302" s="57" t="s">
        <v>1412</v>
      </c>
      <c r="K302" s="57" t="s">
        <v>87</v>
      </c>
      <c r="L302" s="53" t="str">
        <f t="shared" si="17"/>
        <v>NÃO</v>
      </c>
      <c r="M302" s="57" t="s">
        <v>72</v>
      </c>
      <c r="N302" s="57" t="s">
        <v>79</v>
      </c>
      <c r="O302" s="57" t="s">
        <v>1413</v>
      </c>
      <c r="P302" s="57" t="s">
        <v>1414</v>
      </c>
      <c r="Q302" s="57" t="s">
        <v>1415</v>
      </c>
      <c r="R302" s="57" t="s">
        <v>1416</v>
      </c>
      <c r="S302" s="61" t="str">
        <f t="shared" ca="1" si="14"/>
        <v>EXECUTADA</v>
      </c>
    </row>
    <row r="303" spans="1:19" s="55" customFormat="1" ht="18" x14ac:dyDescent="0.25">
      <c r="A303" s="187" t="s">
        <v>1417</v>
      </c>
      <c r="B303" s="57" t="s">
        <v>27</v>
      </c>
      <c r="C303" s="58"/>
      <c r="D303" s="53" t="s">
        <v>1308</v>
      </c>
      <c r="E303" s="57">
        <v>34996539550</v>
      </c>
      <c r="F303" s="59">
        <v>46151</v>
      </c>
      <c r="G303" s="51" t="str">
        <f t="shared" si="13"/>
        <v>Sáb</v>
      </c>
      <c r="H303" s="60">
        <v>0.41666666666666669</v>
      </c>
      <c r="I303" s="57" t="s">
        <v>35</v>
      </c>
      <c r="J303" s="57" t="s">
        <v>1418</v>
      </c>
      <c r="K303" s="57" t="s">
        <v>132</v>
      </c>
      <c r="L303" s="53" t="str">
        <f t="shared" si="17"/>
        <v>NÃO</v>
      </c>
      <c r="M303" s="57" t="s">
        <v>72</v>
      </c>
      <c r="N303" s="57" t="s">
        <v>89</v>
      </c>
      <c r="O303" s="57" t="s">
        <v>72</v>
      </c>
      <c r="P303" s="57" t="s">
        <v>72</v>
      </c>
      <c r="Q303" s="57" t="s">
        <v>1419</v>
      </c>
      <c r="R303" s="57" t="s">
        <v>1420</v>
      </c>
      <c r="S303" s="61" t="str">
        <f t="shared" ca="1" si="14"/>
        <v>EXECUTADA</v>
      </c>
    </row>
    <row r="304" spans="1:19" s="55" customFormat="1" ht="18" x14ac:dyDescent="0.25">
      <c r="A304" s="56" t="s">
        <v>1421</v>
      </c>
      <c r="B304" s="57" t="s">
        <v>30</v>
      </c>
      <c r="C304" s="58"/>
      <c r="D304" s="53" t="s">
        <v>1308</v>
      </c>
      <c r="E304" s="57">
        <v>34993348817</v>
      </c>
      <c r="F304" s="59">
        <v>46151</v>
      </c>
      <c r="G304" s="51" t="str">
        <f t="shared" si="13"/>
        <v>Sáb</v>
      </c>
      <c r="H304" s="60" t="s">
        <v>1422</v>
      </c>
      <c r="I304" s="57" t="s">
        <v>46</v>
      </c>
      <c r="J304" s="57" t="s">
        <v>1423</v>
      </c>
      <c r="K304" s="57" t="s">
        <v>146</v>
      </c>
      <c r="L304" s="53" t="str">
        <f t="shared" si="17"/>
        <v>SIM</v>
      </c>
      <c r="M304" s="57" t="s">
        <v>1072</v>
      </c>
      <c r="N304" s="57" t="s">
        <v>89</v>
      </c>
      <c r="O304" s="57" t="s">
        <v>72</v>
      </c>
      <c r="P304" s="57" t="s">
        <v>72</v>
      </c>
      <c r="Q304" s="57" t="s">
        <v>1424</v>
      </c>
      <c r="R304" s="57" t="s">
        <v>1425</v>
      </c>
      <c r="S304" s="61" t="str">
        <f t="shared" ca="1" si="14"/>
        <v>EXECUTADA</v>
      </c>
    </row>
    <row r="305" spans="1:19" s="81" customFormat="1" ht="18" x14ac:dyDescent="0.25">
      <c r="A305" s="152" t="s">
        <v>1426</v>
      </c>
      <c r="B305" s="38" t="s">
        <v>27</v>
      </c>
      <c r="C305" s="39"/>
      <c r="D305" s="40" t="s">
        <v>1427</v>
      </c>
      <c r="E305" s="38" t="s">
        <v>1428</v>
      </c>
      <c r="F305" s="41">
        <v>46151</v>
      </c>
      <c r="G305" s="42" t="str">
        <f t="shared" si="13"/>
        <v>Sáb</v>
      </c>
      <c r="H305" s="43" t="s">
        <v>1422</v>
      </c>
      <c r="I305" s="38" t="s">
        <v>42</v>
      </c>
      <c r="J305" s="38" t="s">
        <v>1429</v>
      </c>
      <c r="K305" s="38" t="s">
        <v>132</v>
      </c>
      <c r="L305" s="40" t="str">
        <f t="shared" si="17"/>
        <v>NÃO</v>
      </c>
      <c r="M305" s="38" t="s">
        <v>72</v>
      </c>
      <c r="N305" s="38" t="s">
        <v>79</v>
      </c>
      <c r="O305" s="38" t="s">
        <v>1430</v>
      </c>
      <c r="P305" s="38">
        <v>34996636055</v>
      </c>
      <c r="Q305" s="38" t="s">
        <v>1431</v>
      </c>
      <c r="R305" s="38" t="s">
        <v>1432</v>
      </c>
      <c r="S305" s="44" t="str">
        <f t="shared" ca="1" si="14"/>
        <v>EXECUTADA</v>
      </c>
    </row>
    <row r="306" spans="1:19" s="55" customFormat="1" ht="18" x14ac:dyDescent="0.25">
      <c r="A306" s="56" t="s">
        <v>2745</v>
      </c>
      <c r="B306" s="57" t="s">
        <v>30</v>
      </c>
      <c r="C306" s="58"/>
      <c r="D306" s="53" t="s">
        <v>1308</v>
      </c>
      <c r="E306" s="57">
        <v>34996490704</v>
      </c>
      <c r="F306" s="59">
        <v>46151</v>
      </c>
      <c r="G306" s="51" t="str">
        <f t="shared" si="13"/>
        <v>Sáb</v>
      </c>
      <c r="H306" s="60" t="s">
        <v>1422</v>
      </c>
      <c r="I306" s="57" t="s">
        <v>46</v>
      </c>
      <c r="J306" s="57" t="s">
        <v>1433</v>
      </c>
      <c r="K306" s="57" t="s">
        <v>71</v>
      </c>
      <c r="L306" s="53" t="str">
        <f t="shared" si="17"/>
        <v>SIM</v>
      </c>
      <c r="M306" s="57" t="s">
        <v>1434</v>
      </c>
      <c r="N306" s="57" t="s">
        <v>89</v>
      </c>
      <c r="O306" s="57" t="s">
        <v>72</v>
      </c>
      <c r="P306" s="57" t="s">
        <v>72</v>
      </c>
      <c r="Q306" s="57" t="s">
        <v>1435</v>
      </c>
      <c r="R306" s="57" t="s">
        <v>1436</v>
      </c>
      <c r="S306" s="61" t="str">
        <f t="shared" ca="1" si="14"/>
        <v>EXECUTADA</v>
      </c>
    </row>
    <row r="307" spans="1:19" s="55" customFormat="1" ht="18" x14ac:dyDescent="0.25">
      <c r="A307" s="56" t="s">
        <v>2746</v>
      </c>
      <c r="B307" s="57" t="s">
        <v>30</v>
      </c>
      <c r="C307" s="58"/>
      <c r="D307" s="53" t="s">
        <v>1308</v>
      </c>
      <c r="E307" s="57">
        <v>34998060270</v>
      </c>
      <c r="F307" s="59">
        <v>46151</v>
      </c>
      <c r="G307" s="51" t="str">
        <f t="shared" si="13"/>
        <v>Sáb</v>
      </c>
      <c r="H307" s="60">
        <v>0.33333333333333331</v>
      </c>
      <c r="I307" s="57" t="s">
        <v>46</v>
      </c>
      <c r="J307" s="57" t="s">
        <v>1437</v>
      </c>
      <c r="K307" s="57" t="s">
        <v>132</v>
      </c>
      <c r="L307" s="53" t="str">
        <f t="shared" si="17"/>
        <v>SIM</v>
      </c>
      <c r="M307" s="57" t="s">
        <v>1438</v>
      </c>
      <c r="N307" s="57" t="s">
        <v>89</v>
      </c>
      <c r="O307" s="57" t="s">
        <v>72</v>
      </c>
      <c r="P307" s="57" t="s">
        <v>72</v>
      </c>
      <c r="Q307" s="57" t="s">
        <v>1439</v>
      </c>
      <c r="R307" s="57" t="s">
        <v>1440</v>
      </c>
      <c r="S307" s="61" t="str">
        <f t="shared" ca="1" si="14"/>
        <v>EXECUTADA</v>
      </c>
    </row>
    <row r="308" spans="1:19" s="55" customFormat="1" ht="18" x14ac:dyDescent="0.25">
      <c r="A308" s="64" t="s">
        <v>2747</v>
      </c>
      <c r="B308" s="57" t="s">
        <v>27</v>
      </c>
      <c r="C308" s="58"/>
      <c r="D308" s="53" t="s">
        <v>1308</v>
      </c>
      <c r="E308" s="57">
        <v>34996369583</v>
      </c>
      <c r="F308" s="59">
        <v>46153</v>
      </c>
      <c r="G308" s="51" t="str">
        <f t="shared" si="13"/>
        <v>Seg</v>
      </c>
      <c r="H308" s="60">
        <v>0.33333333333333331</v>
      </c>
      <c r="I308" s="57" t="s">
        <v>42</v>
      </c>
      <c r="J308" s="57" t="s">
        <v>1441</v>
      </c>
      <c r="K308" s="57" t="s">
        <v>71</v>
      </c>
      <c r="L308" s="53" t="str">
        <f t="shared" si="17"/>
        <v>NÃO</v>
      </c>
      <c r="M308" s="57" t="s">
        <v>72</v>
      </c>
      <c r="N308" s="57" t="s">
        <v>89</v>
      </c>
      <c r="O308" s="57" t="s">
        <v>72</v>
      </c>
      <c r="P308" s="57" t="s">
        <v>72</v>
      </c>
      <c r="Q308" s="57" t="s">
        <v>1442</v>
      </c>
      <c r="R308" s="57" t="s">
        <v>1443</v>
      </c>
      <c r="S308" s="61" t="str">
        <f t="shared" ca="1" si="14"/>
        <v>EXECUTADA</v>
      </c>
    </row>
    <row r="309" spans="1:19" s="55" customFormat="1" ht="18" x14ac:dyDescent="0.25">
      <c r="A309" s="72" t="s">
        <v>1444</v>
      </c>
      <c r="B309" s="57" t="s">
        <v>27</v>
      </c>
      <c r="C309" s="58"/>
      <c r="D309" s="53" t="s">
        <v>1308</v>
      </c>
      <c r="E309" s="57">
        <v>34998150210</v>
      </c>
      <c r="F309" s="59">
        <v>46153</v>
      </c>
      <c r="G309" s="51" t="str">
        <f t="shared" si="13"/>
        <v>Seg</v>
      </c>
      <c r="H309" s="60">
        <v>0.33333333333333331</v>
      </c>
      <c r="I309" s="57" t="s">
        <v>35</v>
      </c>
      <c r="J309" s="57" t="s">
        <v>1445</v>
      </c>
      <c r="K309" s="57" t="s">
        <v>107</v>
      </c>
      <c r="L309" s="53" t="str">
        <f t="shared" si="17"/>
        <v>NÃO</v>
      </c>
      <c r="M309" s="57" t="s">
        <v>72</v>
      </c>
      <c r="N309" s="57" t="s">
        <v>89</v>
      </c>
      <c r="O309" s="57" t="s">
        <v>72</v>
      </c>
      <c r="P309" s="57" t="s">
        <v>72</v>
      </c>
      <c r="Q309" s="57" t="s">
        <v>1446</v>
      </c>
      <c r="R309" s="57" t="s">
        <v>1447</v>
      </c>
      <c r="S309" s="61" t="str">
        <f t="shared" ca="1" si="14"/>
        <v>EXECUTADA</v>
      </c>
    </row>
    <row r="310" spans="1:19" s="165" customFormat="1" ht="18" x14ac:dyDescent="0.25">
      <c r="A310" s="188" t="s">
        <v>2748</v>
      </c>
      <c r="B310" s="157" t="s">
        <v>27</v>
      </c>
      <c r="C310" s="158"/>
      <c r="D310" s="163" t="s">
        <v>218</v>
      </c>
      <c r="E310" s="157"/>
      <c r="F310" s="160">
        <v>46153</v>
      </c>
      <c r="G310" s="161" t="str">
        <f t="shared" si="13"/>
        <v>Seg</v>
      </c>
      <c r="H310" s="162">
        <v>0.33333333333333331</v>
      </c>
      <c r="I310" s="157"/>
      <c r="J310" s="157"/>
      <c r="K310" s="157"/>
      <c r="L310" s="163" t="str">
        <f t="shared" si="17"/>
        <v>NÃO</v>
      </c>
      <c r="M310" s="157"/>
      <c r="N310" s="157"/>
      <c r="O310" s="157"/>
      <c r="P310" s="157"/>
      <c r="Q310" s="157"/>
      <c r="R310" s="157"/>
      <c r="S310" s="164" t="str">
        <f t="shared" ca="1" si="14"/>
        <v>EXECUTADA</v>
      </c>
    </row>
    <row r="311" spans="1:19" s="55" customFormat="1" ht="18" x14ac:dyDescent="0.25">
      <c r="A311" s="150" t="s">
        <v>1448</v>
      </c>
      <c r="B311" s="57" t="s">
        <v>27</v>
      </c>
      <c r="C311" s="58"/>
      <c r="D311" s="53" t="s">
        <v>1308</v>
      </c>
      <c r="E311" s="57">
        <v>34998826760</v>
      </c>
      <c r="F311" s="59">
        <v>46153</v>
      </c>
      <c r="G311" s="51" t="str">
        <f t="shared" si="13"/>
        <v>Seg</v>
      </c>
      <c r="H311" s="60">
        <v>0.41666666666666669</v>
      </c>
      <c r="I311" s="57" t="s">
        <v>35</v>
      </c>
      <c r="J311" s="57" t="s">
        <v>1449</v>
      </c>
      <c r="K311" s="57" t="s">
        <v>71</v>
      </c>
      <c r="L311" s="53" t="str">
        <f>IF(A311="MUD END","NÃO","SIM")</f>
        <v>SIM</v>
      </c>
      <c r="M311" s="57" t="s">
        <v>72</v>
      </c>
      <c r="N311" s="57" t="s">
        <v>89</v>
      </c>
      <c r="O311" s="57" t="s">
        <v>72</v>
      </c>
      <c r="P311" s="57" t="s">
        <v>72</v>
      </c>
      <c r="Q311" s="57" t="s">
        <v>1450</v>
      </c>
      <c r="R311" s="57" t="s">
        <v>1451</v>
      </c>
      <c r="S311" s="61" t="str">
        <f t="shared" ca="1" si="14"/>
        <v>EXECUTADA</v>
      </c>
    </row>
    <row r="312" spans="1:19" s="55" customFormat="1" ht="18" x14ac:dyDescent="0.25">
      <c r="A312" s="64" t="s">
        <v>1452</v>
      </c>
      <c r="B312" s="57" t="s">
        <v>27</v>
      </c>
      <c r="C312" s="58"/>
      <c r="D312" s="53" t="s">
        <v>1308</v>
      </c>
      <c r="E312" s="57">
        <v>34992331685</v>
      </c>
      <c r="F312" s="59">
        <v>46153</v>
      </c>
      <c r="G312" s="51" t="str">
        <f t="shared" si="13"/>
        <v>Seg</v>
      </c>
      <c r="H312" s="60">
        <v>0.41666666666666669</v>
      </c>
      <c r="I312" s="57" t="s">
        <v>42</v>
      </c>
      <c r="J312" s="57" t="s">
        <v>1453</v>
      </c>
      <c r="K312" s="57" t="s">
        <v>71</v>
      </c>
      <c r="L312" s="53" t="str">
        <f t="shared" ref="L312:L318" si="18">IF(B312="MUD END","NÃO","SIM")</f>
        <v>NÃO</v>
      </c>
      <c r="M312" s="57" t="s">
        <v>72</v>
      </c>
      <c r="N312" s="57" t="s">
        <v>89</v>
      </c>
      <c r="O312" s="57" t="s">
        <v>72</v>
      </c>
      <c r="P312" s="57" t="s">
        <v>72</v>
      </c>
      <c r="Q312" s="57" t="s">
        <v>1454</v>
      </c>
      <c r="R312" s="57" t="s">
        <v>1455</v>
      </c>
      <c r="S312" s="61" t="str">
        <f t="shared" ca="1" si="14"/>
        <v>EXECUTADA</v>
      </c>
    </row>
    <row r="313" spans="1:19" s="55" customFormat="1" ht="18" x14ac:dyDescent="0.25">
      <c r="A313" s="64" t="s">
        <v>1456</v>
      </c>
      <c r="B313" s="57" t="s">
        <v>27</v>
      </c>
      <c r="C313" s="58"/>
      <c r="D313" s="53" t="s">
        <v>1457</v>
      </c>
      <c r="E313" s="57">
        <v>34996775298</v>
      </c>
      <c r="F313" s="59">
        <v>46153</v>
      </c>
      <c r="G313" s="51" t="str">
        <f t="shared" si="13"/>
        <v>Seg</v>
      </c>
      <c r="H313" s="60">
        <v>0.41666666666666669</v>
      </c>
      <c r="I313" s="57" t="s">
        <v>35</v>
      </c>
      <c r="J313" s="57" t="s">
        <v>1458</v>
      </c>
      <c r="K313" s="57" t="s">
        <v>71</v>
      </c>
      <c r="L313" s="53" t="str">
        <f t="shared" si="18"/>
        <v>NÃO</v>
      </c>
      <c r="M313" s="57" t="s">
        <v>72</v>
      </c>
      <c r="N313" s="57" t="s">
        <v>89</v>
      </c>
      <c r="O313" s="57" t="s">
        <v>72</v>
      </c>
      <c r="P313" s="57" t="s">
        <v>72</v>
      </c>
      <c r="Q313" s="57" t="s">
        <v>1459</v>
      </c>
      <c r="R313" s="57" t="s">
        <v>1460</v>
      </c>
      <c r="S313" s="61" t="str">
        <f t="shared" ca="1" si="14"/>
        <v>EXECUTADA</v>
      </c>
    </row>
    <row r="314" spans="1:19" s="55" customFormat="1" ht="18" x14ac:dyDescent="0.25">
      <c r="A314" s="151" t="s">
        <v>1461</v>
      </c>
      <c r="B314" s="57" t="s">
        <v>30</v>
      </c>
      <c r="C314" s="58"/>
      <c r="D314" s="53" t="s">
        <v>1308</v>
      </c>
      <c r="E314" s="57">
        <v>38999690908</v>
      </c>
      <c r="F314" s="59">
        <v>46153</v>
      </c>
      <c r="G314" s="51" t="str">
        <f t="shared" si="13"/>
        <v>Seg</v>
      </c>
      <c r="H314" s="60">
        <v>0.41666666666666669</v>
      </c>
      <c r="I314" s="57" t="s">
        <v>46</v>
      </c>
      <c r="J314" s="57" t="s">
        <v>1462</v>
      </c>
      <c r="K314" s="57" t="s">
        <v>162</v>
      </c>
      <c r="L314" s="53" t="str">
        <f t="shared" si="18"/>
        <v>SIM</v>
      </c>
      <c r="M314" s="57" t="s">
        <v>1463</v>
      </c>
      <c r="N314" s="57" t="s">
        <v>79</v>
      </c>
      <c r="O314" s="57" t="s">
        <v>1464</v>
      </c>
      <c r="P314" s="57" t="s">
        <v>1465</v>
      </c>
      <c r="Q314" s="57" t="s">
        <v>1466</v>
      </c>
      <c r="R314" s="57" t="s">
        <v>1467</v>
      </c>
      <c r="S314" s="61" t="str">
        <f t="shared" ca="1" si="14"/>
        <v>EXECUTADA</v>
      </c>
    </row>
    <row r="315" spans="1:19" s="55" customFormat="1" ht="18" x14ac:dyDescent="0.25">
      <c r="A315" s="64" t="s">
        <v>1468</v>
      </c>
      <c r="B315" s="57" t="s">
        <v>30</v>
      </c>
      <c r="C315" s="58"/>
      <c r="D315" s="53" t="s">
        <v>1308</v>
      </c>
      <c r="E315" s="57">
        <v>34999277788</v>
      </c>
      <c r="F315" s="59">
        <v>46153</v>
      </c>
      <c r="G315" s="51" t="str">
        <f t="shared" si="13"/>
        <v>Seg</v>
      </c>
      <c r="H315" s="60">
        <v>0.54166666666666663</v>
      </c>
      <c r="I315" s="57" t="s">
        <v>46</v>
      </c>
      <c r="J315" s="57" t="s">
        <v>1469</v>
      </c>
      <c r="K315" s="57" t="s">
        <v>94</v>
      </c>
      <c r="L315" s="53" t="str">
        <f t="shared" si="18"/>
        <v>SIM</v>
      </c>
      <c r="M315" s="57" t="s">
        <v>1470</v>
      </c>
      <c r="N315" s="57" t="s">
        <v>89</v>
      </c>
      <c r="O315" s="57" t="s">
        <v>72</v>
      </c>
      <c r="P315" s="57" t="s">
        <v>72</v>
      </c>
      <c r="Q315" s="57" t="s">
        <v>1471</v>
      </c>
      <c r="R315" s="57" t="s">
        <v>1472</v>
      </c>
      <c r="S315" s="61" t="str">
        <f t="shared" ca="1" si="14"/>
        <v>EXECUTADA</v>
      </c>
    </row>
    <row r="316" spans="1:19" s="55" customFormat="1" ht="18" x14ac:dyDescent="0.25">
      <c r="A316" s="64" t="s">
        <v>2749</v>
      </c>
      <c r="B316" s="57" t="s">
        <v>27</v>
      </c>
      <c r="C316" s="58"/>
      <c r="D316" s="53" t="s">
        <v>1308</v>
      </c>
      <c r="E316" s="57">
        <v>34996879719</v>
      </c>
      <c r="F316" s="59">
        <v>46153</v>
      </c>
      <c r="G316" s="51" t="str">
        <f t="shared" si="13"/>
        <v>Seg</v>
      </c>
      <c r="H316" s="60">
        <v>0.54166666666666663</v>
      </c>
      <c r="I316" s="57" t="s">
        <v>38</v>
      </c>
      <c r="J316" s="57" t="s">
        <v>1473</v>
      </c>
      <c r="K316" s="57" t="s">
        <v>107</v>
      </c>
      <c r="L316" s="53" t="str">
        <f t="shared" si="18"/>
        <v>NÃO</v>
      </c>
      <c r="M316" s="57" t="s">
        <v>72</v>
      </c>
      <c r="N316" s="57" t="s">
        <v>89</v>
      </c>
      <c r="O316" s="57" t="s">
        <v>1474</v>
      </c>
      <c r="P316" s="57" t="s">
        <v>1475</v>
      </c>
      <c r="Q316" s="57" t="s">
        <v>1476</v>
      </c>
      <c r="R316" s="57" t="s">
        <v>1477</v>
      </c>
      <c r="S316" s="61" t="str">
        <f t="shared" ca="1" si="14"/>
        <v>EXECUTADA</v>
      </c>
    </row>
    <row r="317" spans="1:19" s="55" customFormat="1" ht="18" x14ac:dyDescent="0.25">
      <c r="A317" s="64" t="s">
        <v>1478</v>
      </c>
      <c r="B317" s="57" t="s">
        <v>30</v>
      </c>
      <c r="C317" s="58"/>
      <c r="D317" s="53" t="s">
        <v>1308</v>
      </c>
      <c r="E317" s="57">
        <v>38999690908</v>
      </c>
      <c r="F317" s="59">
        <v>46153</v>
      </c>
      <c r="G317" s="51" t="str">
        <f t="shared" si="13"/>
        <v>Seg</v>
      </c>
      <c r="H317" s="60">
        <v>0.54166666666666663</v>
      </c>
      <c r="I317" s="57" t="s">
        <v>46</v>
      </c>
      <c r="J317" s="57" t="s">
        <v>1479</v>
      </c>
      <c r="K317" s="57" t="s">
        <v>94</v>
      </c>
      <c r="L317" s="53" t="str">
        <f t="shared" si="18"/>
        <v>SIM</v>
      </c>
      <c r="M317" s="57" t="s">
        <v>1480</v>
      </c>
      <c r="N317" s="57" t="s">
        <v>79</v>
      </c>
      <c r="O317" s="57" t="s">
        <v>1464</v>
      </c>
      <c r="P317" s="57" t="s">
        <v>1465</v>
      </c>
      <c r="Q317" s="57" t="s">
        <v>1466</v>
      </c>
      <c r="R317" s="57" t="s">
        <v>1467</v>
      </c>
      <c r="S317" s="61" t="str">
        <f t="shared" ca="1" si="14"/>
        <v>EXECUTADA</v>
      </c>
    </row>
    <row r="318" spans="1:19" s="55" customFormat="1" ht="18" x14ac:dyDescent="0.25">
      <c r="A318" s="150" t="s">
        <v>1481</v>
      </c>
      <c r="B318" s="57" t="s">
        <v>30</v>
      </c>
      <c r="C318" s="58"/>
      <c r="D318" s="53" t="s">
        <v>1308</v>
      </c>
      <c r="E318" s="57">
        <v>34998078065</v>
      </c>
      <c r="F318" s="59">
        <v>46153</v>
      </c>
      <c r="G318" s="51" t="str">
        <f t="shared" si="13"/>
        <v>Seg</v>
      </c>
      <c r="H318" s="60">
        <v>0.625</v>
      </c>
      <c r="I318" s="57" t="s">
        <v>46</v>
      </c>
      <c r="J318" s="57" t="s">
        <v>1397</v>
      </c>
      <c r="K318" s="57" t="s">
        <v>132</v>
      </c>
      <c r="L318" s="53" t="str">
        <f t="shared" si="18"/>
        <v>SIM</v>
      </c>
      <c r="M318" s="57" t="s">
        <v>1398</v>
      </c>
      <c r="N318" s="57" t="s">
        <v>89</v>
      </c>
      <c r="O318" s="57" t="s">
        <v>72</v>
      </c>
      <c r="P318" s="57" t="s">
        <v>72</v>
      </c>
      <c r="Q318" s="57" t="s">
        <v>1399</v>
      </c>
      <c r="R318" s="57" t="s">
        <v>1400</v>
      </c>
      <c r="S318" s="61" t="str">
        <f t="shared" ca="1" si="14"/>
        <v>EXECUTADA</v>
      </c>
    </row>
    <row r="319" spans="1:19" s="55" customFormat="1" ht="18" x14ac:dyDescent="0.25">
      <c r="A319" s="64" t="s">
        <v>1482</v>
      </c>
      <c r="B319" s="57" t="s">
        <v>27</v>
      </c>
      <c r="C319" s="58"/>
      <c r="D319" s="53" t="s">
        <v>1308</v>
      </c>
      <c r="E319" s="57" t="s">
        <v>1483</v>
      </c>
      <c r="F319" s="59">
        <v>46153</v>
      </c>
      <c r="G319" s="51" t="str">
        <f t="shared" si="13"/>
        <v>Seg</v>
      </c>
      <c r="H319" s="60">
        <v>0.625</v>
      </c>
      <c r="I319" s="57" t="s">
        <v>42</v>
      </c>
      <c r="J319" s="57" t="s">
        <v>1484</v>
      </c>
      <c r="K319" s="57" t="s">
        <v>87</v>
      </c>
      <c r="L319" s="53" t="str">
        <f>IF(A319="MUD END","NÃO","SIM")</f>
        <v>SIM</v>
      </c>
      <c r="M319" s="57" t="s">
        <v>72</v>
      </c>
      <c r="N319" s="57" t="s">
        <v>79</v>
      </c>
      <c r="O319" s="57" t="s">
        <v>1485</v>
      </c>
      <c r="P319" s="57">
        <v>34996634922</v>
      </c>
      <c r="Q319" s="57" t="s">
        <v>1486</v>
      </c>
      <c r="R319" s="57" t="s">
        <v>1487</v>
      </c>
      <c r="S319" s="61" t="str">
        <f t="shared" ca="1" si="14"/>
        <v>EXECUTADA</v>
      </c>
    </row>
    <row r="320" spans="1:19" s="165" customFormat="1" ht="18" x14ac:dyDescent="0.25">
      <c r="A320" s="189" t="s">
        <v>2750</v>
      </c>
      <c r="B320" s="157" t="s">
        <v>27</v>
      </c>
      <c r="C320" s="158"/>
      <c r="D320" s="163" t="s">
        <v>218</v>
      </c>
      <c r="E320" s="157"/>
      <c r="F320" s="160">
        <v>46153</v>
      </c>
      <c r="G320" s="161" t="str">
        <f t="shared" si="13"/>
        <v>Seg</v>
      </c>
      <c r="H320" s="162">
        <v>0.625</v>
      </c>
      <c r="I320" s="157"/>
      <c r="J320" s="157"/>
      <c r="K320" s="157"/>
      <c r="L320" s="163" t="str">
        <f>IF(B320="MUD END","NÃO","SIM")</f>
        <v>NÃO</v>
      </c>
      <c r="M320" s="157"/>
      <c r="N320" s="157"/>
      <c r="O320" s="157"/>
      <c r="P320" s="157"/>
      <c r="Q320" s="157"/>
      <c r="R320" s="157"/>
      <c r="S320" s="164" t="str">
        <f t="shared" ca="1" si="14"/>
        <v>EXECUTADA</v>
      </c>
    </row>
    <row r="321" spans="1:19" s="55" customFormat="1" ht="18" x14ac:dyDescent="0.25">
      <c r="A321" s="64" t="s">
        <v>1488</v>
      </c>
      <c r="B321" s="57" t="s">
        <v>30</v>
      </c>
      <c r="C321" s="58"/>
      <c r="D321" s="53" t="s">
        <v>1308</v>
      </c>
      <c r="E321" s="57">
        <v>34996572961</v>
      </c>
      <c r="F321" s="59">
        <v>46153</v>
      </c>
      <c r="G321" s="51" t="str">
        <f t="shared" si="13"/>
        <v>Seg</v>
      </c>
      <c r="H321" s="60">
        <v>0.70833333333333337</v>
      </c>
      <c r="I321" s="57" t="s">
        <v>46</v>
      </c>
      <c r="J321" s="57" t="s">
        <v>1489</v>
      </c>
      <c r="K321" s="57" t="s">
        <v>781</v>
      </c>
      <c r="L321" s="53" t="str">
        <f>IF(B321="MUD END","NÃO","SIM")</f>
        <v>SIM</v>
      </c>
      <c r="M321" s="57" t="s">
        <v>1490</v>
      </c>
      <c r="N321" s="57" t="s">
        <v>89</v>
      </c>
      <c r="O321" s="57" t="s">
        <v>72</v>
      </c>
      <c r="P321" s="57" t="s">
        <v>72</v>
      </c>
      <c r="Q321" s="57" t="s">
        <v>1491</v>
      </c>
      <c r="R321" s="57" t="s">
        <v>1492</v>
      </c>
      <c r="S321" s="61" t="str">
        <f t="shared" ca="1" si="14"/>
        <v>EXECUTADA</v>
      </c>
    </row>
    <row r="322" spans="1:19" s="55" customFormat="1" ht="18" x14ac:dyDescent="0.25">
      <c r="A322" s="72" t="s">
        <v>1493</v>
      </c>
      <c r="B322" s="57" t="s">
        <v>27</v>
      </c>
      <c r="C322" s="58"/>
      <c r="D322" s="53" t="s">
        <v>1308</v>
      </c>
      <c r="E322" s="57">
        <v>34984282491</v>
      </c>
      <c r="F322" s="59">
        <v>46153</v>
      </c>
      <c r="G322" s="51" t="str">
        <f t="shared" ref="G322:G385" si="19">PROPER(TEXT(F322,"DDD"))</f>
        <v>Seg</v>
      </c>
      <c r="H322" s="60">
        <v>0.70833333333333337</v>
      </c>
      <c r="I322" s="57" t="s">
        <v>42</v>
      </c>
      <c r="J322" s="57" t="s">
        <v>862</v>
      </c>
      <c r="K322" s="57" t="s">
        <v>87</v>
      </c>
      <c r="L322" s="53" t="str">
        <f>IF(B322="MUD END","NÃO","SIM")</f>
        <v>NÃO</v>
      </c>
      <c r="M322" s="57" t="s">
        <v>72</v>
      </c>
      <c r="N322" s="57" t="s">
        <v>89</v>
      </c>
      <c r="O322" s="57" t="s">
        <v>72</v>
      </c>
      <c r="P322" s="57" t="s">
        <v>72</v>
      </c>
      <c r="Q322" s="57" t="s">
        <v>1494</v>
      </c>
      <c r="R322" s="57" t="s">
        <v>1495</v>
      </c>
      <c r="S322" s="61" t="str">
        <f t="shared" ref="S322:S385" ca="1" si="20">IF(F322&lt;TODAY(),"EXECUTADA",IF(F322=TODAY(),"EM EXECUÇÃO",IF(F322=TODAY()+1,"VALIDAR HOJE",IF(F322&gt;TODAY()+1,"VALIDAR DEPOIS","-"))))</f>
        <v>EXECUTADA</v>
      </c>
    </row>
    <row r="323" spans="1:19" s="55" customFormat="1" ht="18" x14ac:dyDescent="0.25">
      <c r="A323" s="64" t="s">
        <v>1496</v>
      </c>
      <c r="B323" s="57" t="s">
        <v>27</v>
      </c>
      <c r="C323" s="58"/>
      <c r="D323" s="53" t="s">
        <v>1308</v>
      </c>
      <c r="E323" s="57">
        <v>34996777334</v>
      </c>
      <c r="F323" s="59">
        <v>46154</v>
      </c>
      <c r="G323" s="51" t="str">
        <f t="shared" si="19"/>
        <v>Ter</v>
      </c>
      <c r="H323" s="60">
        <v>0.33333333333333331</v>
      </c>
      <c r="I323" s="57" t="s">
        <v>46</v>
      </c>
      <c r="J323" s="57" t="s">
        <v>1497</v>
      </c>
      <c r="K323" s="57" t="s">
        <v>146</v>
      </c>
      <c r="L323" s="53" t="str">
        <f>IF(B323="MUD END","NÃO","SIM")</f>
        <v>NÃO</v>
      </c>
      <c r="M323" s="57" t="s">
        <v>1498</v>
      </c>
      <c r="N323" s="57" t="s">
        <v>89</v>
      </c>
      <c r="O323" s="57" t="s">
        <v>72</v>
      </c>
      <c r="P323" s="57" t="s">
        <v>72</v>
      </c>
      <c r="Q323" s="57" t="s">
        <v>1499</v>
      </c>
      <c r="R323" s="57" t="s">
        <v>1500</v>
      </c>
      <c r="S323" s="61" t="str">
        <f t="shared" ca="1" si="20"/>
        <v>EXECUTADA</v>
      </c>
    </row>
    <row r="324" spans="1:19" s="55" customFormat="1" ht="18" x14ac:dyDescent="0.25">
      <c r="A324" s="64" t="s">
        <v>2751</v>
      </c>
      <c r="B324" s="57" t="s">
        <v>30</v>
      </c>
      <c r="C324" s="58"/>
      <c r="D324" s="53" t="s">
        <v>1308</v>
      </c>
      <c r="E324" s="57">
        <v>34991616973</v>
      </c>
      <c r="F324" s="59">
        <v>46154</v>
      </c>
      <c r="G324" s="51" t="str">
        <f t="shared" si="19"/>
        <v>Ter</v>
      </c>
      <c r="H324" s="60">
        <v>0.33333333333333331</v>
      </c>
      <c r="I324" s="57" t="s">
        <v>46</v>
      </c>
      <c r="J324" s="57" t="s">
        <v>1501</v>
      </c>
      <c r="K324" s="57" t="s">
        <v>132</v>
      </c>
      <c r="L324" s="53" t="str">
        <f>IF(B324="MUD END","NÃO","SIM")</f>
        <v>SIM</v>
      </c>
      <c r="M324" s="57" t="s">
        <v>1502</v>
      </c>
      <c r="N324" s="57" t="s">
        <v>89</v>
      </c>
      <c r="O324" s="57" t="s">
        <v>72</v>
      </c>
      <c r="P324" s="57" t="s">
        <v>72</v>
      </c>
      <c r="Q324" s="57" t="s">
        <v>1503</v>
      </c>
      <c r="R324" s="57" t="s">
        <v>1504</v>
      </c>
      <c r="S324" s="61" t="str">
        <f t="shared" ca="1" si="20"/>
        <v>EXECUTADA</v>
      </c>
    </row>
    <row r="325" spans="1:19" s="55" customFormat="1" ht="18" x14ac:dyDescent="0.25">
      <c r="A325" s="151" t="s">
        <v>2752</v>
      </c>
      <c r="B325" s="57" t="s">
        <v>30</v>
      </c>
      <c r="C325" s="58"/>
      <c r="D325" s="53" t="s">
        <v>1505</v>
      </c>
      <c r="E325" s="57">
        <v>71997181644</v>
      </c>
      <c r="F325" s="59">
        <v>46154</v>
      </c>
      <c r="G325" s="51" t="str">
        <f t="shared" si="19"/>
        <v>Ter</v>
      </c>
      <c r="H325" s="60">
        <v>0.33333333333333331</v>
      </c>
      <c r="I325" s="57" t="s">
        <v>46</v>
      </c>
      <c r="J325" s="57" t="s">
        <v>1506</v>
      </c>
      <c r="K325" s="57" t="s">
        <v>132</v>
      </c>
      <c r="L325" s="53" t="str">
        <f>IF(A325="MUD END","NÃO","SIM")</f>
        <v>SIM</v>
      </c>
      <c r="M325" s="57" t="s">
        <v>1507</v>
      </c>
      <c r="N325" s="57" t="s">
        <v>89</v>
      </c>
      <c r="O325" s="57" t="s">
        <v>72</v>
      </c>
      <c r="P325" s="57" t="s">
        <v>72</v>
      </c>
      <c r="Q325" s="57" t="s">
        <v>1508</v>
      </c>
      <c r="R325" s="57" t="s">
        <v>1509</v>
      </c>
      <c r="S325" s="61" t="str">
        <f t="shared" ca="1" si="20"/>
        <v>EXECUTADA</v>
      </c>
    </row>
    <row r="326" spans="1:19" s="55" customFormat="1" ht="18" x14ac:dyDescent="0.25">
      <c r="A326" s="151" t="s">
        <v>1510</v>
      </c>
      <c r="B326" s="57" t="s">
        <v>27</v>
      </c>
      <c r="C326" s="58"/>
      <c r="D326" s="53" t="s">
        <v>1308</v>
      </c>
      <c r="E326" s="57">
        <v>34988490284</v>
      </c>
      <c r="F326" s="59">
        <v>46154</v>
      </c>
      <c r="G326" s="51" t="str">
        <f t="shared" si="19"/>
        <v>Ter</v>
      </c>
      <c r="H326" s="60">
        <v>0.33333333333333331</v>
      </c>
      <c r="I326" s="57" t="s">
        <v>38</v>
      </c>
      <c r="J326" s="57" t="s">
        <v>1511</v>
      </c>
      <c r="K326" s="57" t="s">
        <v>107</v>
      </c>
      <c r="L326" s="53" t="str">
        <f t="shared" ref="L326:L333" si="21">IF(B326="MUD END","NÃO","SIM")</f>
        <v>NÃO</v>
      </c>
      <c r="M326" s="57" t="s">
        <v>72</v>
      </c>
      <c r="N326" s="57" t="s">
        <v>89</v>
      </c>
      <c r="O326" s="57" t="s">
        <v>72</v>
      </c>
      <c r="P326" s="57" t="s">
        <v>72</v>
      </c>
      <c r="Q326" s="57" t="s">
        <v>1512</v>
      </c>
      <c r="R326" s="57" t="s">
        <v>1513</v>
      </c>
      <c r="S326" s="61" t="str">
        <f t="shared" ca="1" si="20"/>
        <v>EXECUTADA</v>
      </c>
    </row>
    <row r="327" spans="1:19" s="55" customFormat="1" ht="18" x14ac:dyDescent="0.25">
      <c r="A327" s="64" t="s">
        <v>1514</v>
      </c>
      <c r="B327" s="57" t="s">
        <v>27</v>
      </c>
      <c r="C327" s="58"/>
      <c r="D327" s="53" t="s">
        <v>1515</v>
      </c>
      <c r="E327" s="57">
        <v>82982304501</v>
      </c>
      <c r="F327" s="59">
        <v>46154</v>
      </c>
      <c r="G327" s="51" t="str">
        <f t="shared" si="19"/>
        <v>Ter</v>
      </c>
      <c r="H327" s="60">
        <v>0.41666666666666669</v>
      </c>
      <c r="I327" s="57" t="s">
        <v>42</v>
      </c>
      <c r="J327" s="57" t="s">
        <v>1516</v>
      </c>
      <c r="K327" s="57" t="s">
        <v>71</v>
      </c>
      <c r="L327" s="53" t="str">
        <f t="shared" si="21"/>
        <v>NÃO</v>
      </c>
      <c r="M327" s="57" t="s">
        <v>72</v>
      </c>
      <c r="N327" s="57" t="s">
        <v>89</v>
      </c>
      <c r="O327" s="57" t="s">
        <v>72</v>
      </c>
      <c r="P327" s="57" t="s">
        <v>72</v>
      </c>
      <c r="Q327" s="57" t="s">
        <v>1517</v>
      </c>
      <c r="R327" s="57" t="s">
        <v>2753</v>
      </c>
      <c r="S327" s="61" t="str">
        <f t="shared" ca="1" si="20"/>
        <v>EXECUTADA</v>
      </c>
    </row>
    <row r="328" spans="1:19" s="55" customFormat="1" ht="18" x14ac:dyDescent="0.25">
      <c r="A328" s="64" t="s">
        <v>1518</v>
      </c>
      <c r="B328" s="57" t="s">
        <v>27</v>
      </c>
      <c r="C328" s="58"/>
      <c r="D328" s="53" t="s">
        <v>1308</v>
      </c>
      <c r="E328" s="57">
        <v>64999539213</v>
      </c>
      <c r="F328" s="59">
        <v>46154</v>
      </c>
      <c r="G328" s="51" t="str">
        <f t="shared" si="19"/>
        <v>Ter</v>
      </c>
      <c r="H328" s="60">
        <v>0.41666666666666669</v>
      </c>
      <c r="I328" s="57" t="s">
        <v>42</v>
      </c>
      <c r="J328" s="57" t="s">
        <v>1519</v>
      </c>
      <c r="K328" s="57" t="s">
        <v>146</v>
      </c>
      <c r="L328" s="53" t="str">
        <f t="shared" si="21"/>
        <v>NÃO</v>
      </c>
      <c r="M328" s="57" t="s">
        <v>72</v>
      </c>
      <c r="N328" s="57" t="s">
        <v>79</v>
      </c>
      <c r="O328" s="57" t="s">
        <v>1520</v>
      </c>
      <c r="P328" s="57">
        <v>34999885745</v>
      </c>
      <c r="Q328" s="57" t="s">
        <v>1521</v>
      </c>
      <c r="R328" s="57" t="s">
        <v>1522</v>
      </c>
      <c r="S328" s="61" t="str">
        <f t="shared" ca="1" si="20"/>
        <v>EXECUTADA</v>
      </c>
    </row>
    <row r="329" spans="1:19" s="81" customFormat="1" ht="18" x14ac:dyDescent="0.25">
      <c r="A329" s="152" t="s">
        <v>2754</v>
      </c>
      <c r="B329" s="38" t="s">
        <v>30</v>
      </c>
      <c r="C329" s="39"/>
      <c r="D329" s="40" t="s">
        <v>1523</v>
      </c>
      <c r="E329" s="38">
        <v>34996924783</v>
      </c>
      <c r="F329" s="41">
        <v>46154</v>
      </c>
      <c r="G329" s="42" t="str">
        <f t="shared" si="19"/>
        <v>Ter</v>
      </c>
      <c r="H329" s="43">
        <v>0.41666666666666669</v>
      </c>
      <c r="I329" s="38" t="s">
        <v>46</v>
      </c>
      <c r="J329" s="38" t="s">
        <v>1524</v>
      </c>
      <c r="K329" s="38" t="s">
        <v>132</v>
      </c>
      <c r="L329" s="40" t="str">
        <f t="shared" si="21"/>
        <v>SIM</v>
      </c>
      <c r="M329" s="38" t="s">
        <v>1525</v>
      </c>
      <c r="N329" s="38" t="s">
        <v>89</v>
      </c>
      <c r="O329" s="38" t="s">
        <v>72</v>
      </c>
      <c r="P329" s="38" t="s">
        <v>72</v>
      </c>
      <c r="Q329" s="38" t="s">
        <v>208</v>
      </c>
      <c r="R329" s="38"/>
      <c r="S329" s="44" t="str">
        <f t="shared" ca="1" si="20"/>
        <v>EXECUTADA</v>
      </c>
    </row>
    <row r="330" spans="1:19" s="55" customFormat="1" ht="18" x14ac:dyDescent="0.25">
      <c r="A330" s="151" t="s">
        <v>1526</v>
      </c>
      <c r="B330" s="57" t="s">
        <v>27</v>
      </c>
      <c r="C330" s="58"/>
      <c r="D330" s="53" t="s">
        <v>1527</v>
      </c>
      <c r="E330" s="57">
        <v>34984420238</v>
      </c>
      <c r="F330" s="59">
        <v>46154</v>
      </c>
      <c r="G330" s="51" t="str">
        <f t="shared" si="19"/>
        <v>Ter</v>
      </c>
      <c r="H330" s="60">
        <v>0.41666666666666669</v>
      </c>
      <c r="I330" s="57" t="s">
        <v>42</v>
      </c>
      <c r="J330" s="57" t="s">
        <v>1528</v>
      </c>
      <c r="K330" s="57" t="s">
        <v>1529</v>
      </c>
      <c r="L330" s="53" t="str">
        <f t="shared" si="21"/>
        <v>NÃO</v>
      </c>
      <c r="M330" s="57" t="s">
        <v>72</v>
      </c>
      <c r="N330" s="57" t="s">
        <v>89</v>
      </c>
      <c r="O330" s="57" t="s">
        <v>72</v>
      </c>
      <c r="P330" s="57" t="s">
        <v>72</v>
      </c>
      <c r="Q330" s="57" t="s">
        <v>1530</v>
      </c>
      <c r="R330" s="57" t="s">
        <v>1531</v>
      </c>
      <c r="S330" s="61" t="str">
        <f t="shared" ca="1" si="20"/>
        <v>EXECUTADA</v>
      </c>
    </row>
    <row r="331" spans="1:19" s="55" customFormat="1" ht="18" x14ac:dyDescent="0.25">
      <c r="A331" s="64" t="s">
        <v>1532</v>
      </c>
      <c r="B331" s="57" t="s">
        <v>30</v>
      </c>
      <c r="C331" s="58"/>
      <c r="D331" s="53" t="s">
        <v>1308</v>
      </c>
      <c r="E331" s="57">
        <v>34984142238</v>
      </c>
      <c r="F331" s="59">
        <v>46154</v>
      </c>
      <c r="G331" s="51" t="str">
        <f t="shared" si="19"/>
        <v>Ter</v>
      </c>
      <c r="H331" s="60">
        <v>0.54166666666666663</v>
      </c>
      <c r="I331" s="57" t="s">
        <v>46</v>
      </c>
      <c r="J331" s="57" t="s">
        <v>1533</v>
      </c>
      <c r="K331" s="57" t="s">
        <v>94</v>
      </c>
      <c r="L331" s="53" t="str">
        <f t="shared" si="21"/>
        <v>SIM</v>
      </c>
      <c r="M331" s="57" t="s">
        <v>1534</v>
      </c>
      <c r="N331" s="57" t="s">
        <v>79</v>
      </c>
      <c r="O331" s="57" t="s">
        <v>1535</v>
      </c>
      <c r="P331" s="57">
        <v>34984372260</v>
      </c>
      <c r="Q331" s="57" t="s">
        <v>1536</v>
      </c>
      <c r="R331" s="57" t="s">
        <v>1537</v>
      </c>
      <c r="S331" s="61" t="str">
        <f t="shared" ca="1" si="20"/>
        <v>EXECUTADA</v>
      </c>
    </row>
    <row r="332" spans="1:19" s="55" customFormat="1" ht="18" x14ac:dyDescent="0.25">
      <c r="A332" s="64" t="s">
        <v>1538</v>
      </c>
      <c r="B332" s="57" t="s">
        <v>27</v>
      </c>
      <c r="C332" s="58"/>
      <c r="D332" s="53" t="s">
        <v>1308</v>
      </c>
      <c r="E332" s="57">
        <v>34998937736</v>
      </c>
      <c r="F332" s="59">
        <v>46154</v>
      </c>
      <c r="G332" s="51" t="str">
        <f t="shared" si="19"/>
        <v>Ter</v>
      </c>
      <c r="H332" s="60">
        <v>0.54166666666666663</v>
      </c>
      <c r="I332" s="57" t="s">
        <v>35</v>
      </c>
      <c r="J332" s="57" t="s">
        <v>1539</v>
      </c>
      <c r="K332" s="57" t="s">
        <v>71</v>
      </c>
      <c r="L332" s="53" t="str">
        <f t="shared" si="21"/>
        <v>NÃO</v>
      </c>
      <c r="M332" s="57" t="s">
        <v>72</v>
      </c>
      <c r="N332" s="57" t="s">
        <v>89</v>
      </c>
      <c r="O332" s="57" t="s">
        <v>72</v>
      </c>
      <c r="P332" s="57" t="s">
        <v>72</v>
      </c>
      <c r="Q332" s="57" t="s">
        <v>1540</v>
      </c>
      <c r="R332" s="57" t="s">
        <v>1541</v>
      </c>
      <c r="S332" s="61" t="str">
        <f t="shared" ca="1" si="20"/>
        <v>EXECUTADA</v>
      </c>
    </row>
    <row r="333" spans="1:19" s="55" customFormat="1" ht="18" x14ac:dyDescent="0.25">
      <c r="A333" s="151" t="s">
        <v>1542</v>
      </c>
      <c r="B333" s="57" t="s">
        <v>30</v>
      </c>
      <c r="C333" s="58"/>
      <c r="D333" s="53" t="s">
        <v>1308</v>
      </c>
      <c r="E333" s="57">
        <v>34992650911</v>
      </c>
      <c r="F333" s="59">
        <v>46154</v>
      </c>
      <c r="G333" s="51" t="str">
        <f t="shared" si="19"/>
        <v>Ter</v>
      </c>
      <c r="H333" s="60">
        <v>0.625</v>
      </c>
      <c r="I333" s="57" t="s">
        <v>46</v>
      </c>
      <c r="J333" s="57" t="s">
        <v>1543</v>
      </c>
      <c r="K333" s="57" t="s">
        <v>107</v>
      </c>
      <c r="L333" s="53" t="str">
        <f t="shared" si="21"/>
        <v>SIM</v>
      </c>
      <c r="M333" s="57" t="s">
        <v>1544</v>
      </c>
      <c r="N333" s="57" t="s">
        <v>79</v>
      </c>
      <c r="O333" s="57" t="s">
        <v>1545</v>
      </c>
      <c r="P333" s="57" t="s">
        <v>1546</v>
      </c>
      <c r="Q333" s="57" t="s">
        <v>1547</v>
      </c>
      <c r="R333" s="57" t="s">
        <v>2755</v>
      </c>
      <c r="S333" s="61" t="str">
        <f t="shared" ca="1" si="20"/>
        <v>EXECUTADA</v>
      </c>
    </row>
    <row r="334" spans="1:19" s="55" customFormat="1" ht="18" x14ac:dyDescent="0.25">
      <c r="A334" s="64" t="s">
        <v>1548</v>
      </c>
      <c r="B334" s="57" t="s">
        <v>30</v>
      </c>
      <c r="C334" s="58"/>
      <c r="D334" s="53" t="s">
        <v>1308</v>
      </c>
      <c r="E334" s="57">
        <v>34997628876</v>
      </c>
      <c r="F334" s="59">
        <v>46154</v>
      </c>
      <c r="G334" s="51" t="str">
        <f t="shared" si="19"/>
        <v>Ter</v>
      </c>
      <c r="H334" s="60">
        <v>0.625</v>
      </c>
      <c r="I334" s="57" t="s">
        <v>46</v>
      </c>
      <c r="J334" s="57" t="s">
        <v>1549</v>
      </c>
      <c r="K334" s="57" t="s">
        <v>87</v>
      </c>
      <c r="L334" s="53" t="str">
        <f>IF(A334="MUD END","NÃO","SIM")</f>
        <v>SIM</v>
      </c>
      <c r="M334" s="57" t="s">
        <v>1550</v>
      </c>
      <c r="N334" s="57" t="s">
        <v>79</v>
      </c>
      <c r="O334" s="57" t="s">
        <v>1551</v>
      </c>
      <c r="P334" s="57" t="s">
        <v>1552</v>
      </c>
      <c r="Q334" s="57" t="s">
        <v>1553</v>
      </c>
      <c r="R334" s="57" t="s">
        <v>1554</v>
      </c>
      <c r="S334" s="61" t="str">
        <f t="shared" ca="1" si="20"/>
        <v>EXECUTADA</v>
      </c>
    </row>
    <row r="335" spans="1:19" s="81" customFormat="1" ht="18" x14ac:dyDescent="0.25">
      <c r="A335" s="86" t="s">
        <v>2756</v>
      </c>
      <c r="B335" s="38" t="s">
        <v>27</v>
      </c>
      <c r="C335" s="39"/>
      <c r="D335" s="40" t="s">
        <v>1555</v>
      </c>
      <c r="E335" s="38">
        <v>34996553766</v>
      </c>
      <c r="F335" s="41">
        <v>46154</v>
      </c>
      <c r="G335" s="42" t="str">
        <f t="shared" si="19"/>
        <v>Ter</v>
      </c>
      <c r="H335" s="43">
        <v>0.70833333333333337</v>
      </c>
      <c r="I335" s="38" t="s">
        <v>42</v>
      </c>
      <c r="J335" s="38" t="s">
        <v>1556</v>
      </c>
      <c r="K335" s="38" t="s">
        <v>71</v>
      </c>
      <c r="L335" s="40" t="str">
        <f t="shared" ref="L335:L371" si="22">IF(B335="MUD END","NÃO","SIM")</f>
        <v>NÃO</v>
      </c>
      <c r="M335" s="38" t="s">
        <v>72</v>
      </c>
      <c r="N335" s="38" t="s">
        <v>89</v>
      </c>
      <c r="O335" s="38" t="s">
        <v>72</v>
      </c>
      <c r="P335" s="38" t="s">
        <v>72</v>
      </c>
      <c r="Q335" s="38" t="s">
        <v>208</v>
      </c>
      <c r="R335" s="38"/>
      <c r="S335" s="44" t="str">
        <f t="shared" ca="1" si="20"/>
        <v>EXECUTADA</v>
      </c>
    </row>
    <row r="336" spans="1:19" s="55" customFormat="1" ht="18" x14ac:dyDescent="0.25">
      <c r="A336" s="64" t="s">
        <v>1557</v>
      </c>
      <c r="B336" s="57" t="s">
        <v>27</v>
      </c>
      <c r="C336" s="58"/>
      <c r="D336" s="53" t="s">
        <v>1308</v>
      </c>
      <c r="E336" s="57">
        <v>34998933061</v>
      </c>
      <c r="F336" s="59">
        <v>46154</v>
      </c>
      <c r="G336" s="51" t="str">
        <f t="shared" si="19"/>
        <v>Ter</v>
      </c>
      <c r="H336" s="60">
        <v>0.70833333333333337</v>
      </c>
      <c r="I336" s="57" t="s">
        <v>42</v>
      </c>
      <c r="J336" s="57" t="s">
        <v>1558</v>
      </c>
      <c r="K336" s="57" t="s">
        <v>107</v>
      </c>
      <c r="L336" s="103" t="str">
        <f t="shared" si="22"/>
        <v>NÃO</v>
      </c>
      <c r="M336" s="57" t="s">
        <v>72</v>
      </c>
      <c r="N336" s="57" t="s">
        <v>89</v>
      </c>
      <c r="O336" s="57" t="s">
        <v>72</v>
      </c>
      <c r="P336" s="57" t="s">
        <v>72</v>
      </c>
      <c r="Q336" s="57" t="s">
        <v>1559</v>
      </c>
      <c r="R336" s="57" t="s">
        <v>1560</v>
      </c>
      <c r="S336" s="61" t="str">
        <f t="shared" ca="1" si="20"/>
        <v>EXECUTADA</v>
      </c>
    </row>
    <row r="337" spans="1:19" s="55" customFormat="1" ht="18" x14ac:dyDescent="0.25">
      <c r="A337" s="64" t="s">
        <v>2757</v>
      </c>
      <c r="B337" s="57" t="s">
        <v>30</v>
      </c>
      <c r="C337" s="58"/>
      <c r="D337" s="53" t="s">
        <v>1308</v>
      </c>
      <c r="E337" s="57" t="s">
        <v>1561</v>
      </c>
      <c r="F337" s="59">
        <v>46155</v>
      </c>
      <c r="G337" s="51" t="str">
        <f t="shared" si="19"/>
        <v>Qua</v>
      </c>
      <c r="H337" s="60">
        <v>0.33333333333333331</v>
      </c>
      <c r="I337" s="57" t="s">
        <v>46</v>
      </c>
      <c r="J337" s="57" t="s">
        <v>1562</v>
      </c>
      <c r="K337" s="115" t="s">
        <v>87</v>
      </c>
      <c r="L337" s="53" t="str">
        <f t="shared" si="22"/>
        <v>SIM</v>
      </c>
      <c r="M337" s="57" t="s">
        <v>1563</v>
      </c>
      <c r="N337" s="57" t="s">
        <v>79</v>
      </c>
      <c r="O337" s="57" t="s">
        <v>1564</v>
      </c>
      <c r="P337" s="57">
        <v>38998129349</v>
      </c>
      <c r="Q337" s="57" t="s">
        <v>1565</v>
      </c>
      <c r="R337" s="57" t="s">
        <v>1566</v>
      </c>
      <c r="S337" s="61" t="str">
        <f t="shared" ca="1" si="20"/>
        <v>EXECUTADA</v>
      </c>
    </row>
    <row r="338" spans="1:19" s="165" customFormat="1" ht="18" x14ac:dyDescent="0.25">
      <c r="A338" s="190" t="s">
        <v>2758</v>
      </c>
      <c r="B338" s="157" t="s">
        <v>30</v>
      </c>
      <c r="C338" s="158"/>
      <c r="D338" s="163" t="s">
        <v>218</v>
      </c>
      <c r="E338" s="157"/>
      <c r="F338" s="160">
        <v>46155</v>
      </c>
      <c r="G338" s="161" t="str">
        <f t="shared" si="19"/>
        <v>Qua</v>
      </c>
      <c r="H338" s="162">
        <v>0.33333333333333331</v>
      </c>
      <c r="I338" s="157" t="s">
        <v>46</v>
      </c>
      <c r="J338" s="157"/>
      <c r="K338" s="157"/>
      <c r="L338" s="103" t="str">
        <f t="shared" si="22"/>
        <v>SIM</v>
      </c>
      <c r="M338" s="157"/>
      <c r="N338" s="157"/>
      <c r="O338" s="157"/>
      <c r="P338" s="157"/>
      <c r="Q338" s="157"/>
      <c r="R338" s="157"/>
      <c r="S338" s="164" t="str">
        <f t="shared" ca="1" si="20"/>
        <v>EXECUTADA</v>
      </c>
    </row>
    <row r="339" spans="1:19" s="55" customFormat="1" ht="18" x14ac:dyDescent="0.25">
      <c r="A339" s="145" t="s">
        <v>1567</v>
      </c>
      <c r="B339" s="57" t="s">
        <v>30</v>
      </c>
      <c r="C339" s="58"/>
      <c r="D339" s="53" t="s">
        <v>1568</v>
      </c>
      <c r="E339" s="57">
        <v>34997393160</v>
      </c>
      <c r="F339" s="59">
        <v>46155</v>
      </c>
      <c r="G339" s="51" t="str">
        <f t="shared" si="19"/>
        <v>Qua</v>
      </c>
      <c r="H339" s="60">
        <v>0.33333333333333331</v>
      </c>
      <c r="I339" s="57" t="s">
        <v>46</v>
      </c>
      <c r="J339" s="57" t="s">
        <v>1569</v>
      </c>
      <c r="K339" s="57" t="s">
        <v>94</v>
      </c>
      <c r="L339" s="53" t="str">
        <f t="shared" si="22"/>
        <v>SIM</v>
      </c>
      <c r="M339" s="57" t="s">
        <v>1570</v>
      </c>
      <c r="N339" s="57" t="s">
        <v>89</v>
      </c>
      <c r="O339" s="57" t="s">
        <v>72</v>
      </c>
      <c r="P339" s="57" t="s">
        <v>72</v>
      </c>
      <c r="Q339" s="57" t="s">
        <v>1571</v>
      </c>
      <c r="R339" s="57" t="s">
        <v>1572</v>
      </c>
      <c r="S339" s="61" t="str">
        <f t="shared" ca="1" si="20"/>
        <v>EXECUTADA</v>
      </c>
    </row>
    <row r="340" spans="1:19" s="55" customFormat="1" ht="18" x14ac:dyDescent="0.25">
      <c r="A340" s="64" t="s">
        <v>2759</v>
      </c>
      <c r="B340" s="57" t="s">
        <v>30</v>
      </c>
      <c r="C340" s="58"/>
      <c r="D340" s="53" t="s">
        <v>1308</v>
      </c>
      <c r="E340" s="57">
        <v>34996597776</v>
      </c>
      <c r="F340" s="59">
        <v>46155</v>
      </c>
      <c r="G340" s="51" t="str">
        <f t="shared" si="19"/>
        <v>Qua</v>
      </c>
      <c r="H340" s="60">
        <v>0.41666666666666669</v>
      </c>
      <c r="I340" s="57" t="s">
        <v>46</v>
      </c>
      <c r="J340" s="57" t="s">
        <v>1573</v>
      </c>
      <c r="K340" s="57" t="s">
        <v>132</v>
      </c>
      <c r="L340" s="103" t="str">
        <f t="shared" si="22"/>
        <v>SIM</v>
      </c>
      <c r="M340" s="57" t="s">
        <v>234</v>
      </c>
      <c r="N340" s="57" t="s">
        <v>79</v>
      </c>
      <c r="O340" s="57" t="s">
        <v>1574</v>
      </c>
      <c r="P340" s="57">
        <v>3498711703</v>
      </c>
      <c r="Q340" s="57" t="s">
        <v>1575</v>
      </c>
      <c r="R340" s="57" t="s">
        <v>1576</v>
      </c>
      <c r="S340" s="61" t="str">
        <f t="shared" ca="1" si="20"/>
        <v>EXECUTADA</v>
      </c>
    </row>
    <row r="341" spans="1:19" s="55" customFormat="1" ht="18" x14ac:dyDescent="0.25">
      <c r="A341" s="151" t="s">
        <v>1577</v>
      </c>
      <c r="B341" s="57" t="s">
        <v>27</v>
      </c>
      <c r="C341" s="58"/>
      <c r="D341" s="53" t="s">
        <v>1308</v>
      </c>
      <c r="E341" s="57">
        <v>34987006405</v>
      </c>
      <c r="F341" s="59">
        <v>46155</v>
      </c>
      <c r="G341" s="51" t="str">
        <f t="shared" si="19"/>
        <v>Qua</v>
      </c>
      <c r="H341" s="60">
        <v>0.41666666666666669</v>
      </c>
      <c r="I341" s="57" t="s">
        <v>35</v>
      </c>
      <c r="J341" s="57" t="s">
        <v>1578</v>
      </c>
      <c r="K341" s="57" t="s">
        <v>87</v>
      </c>
      <c r="L341" s="53" t="str">
        <f t="shared" si="22"/>
        <v>NÃO</v>
      </c>
      <c r="M341" s="57" t="s">
        <v>72</v>
      </c>
      <c r="N341" s="57" t="s">
        <v>89</v>
      </c>
      <c r="O341" s="57" t="s">
        <v>72</v>
      </c>
      <c r="P341" s="57" t="s">
        <v>72</v>
      </c>
      <c r="Q341" s="57" t="s">
        <v>1579</v>
      </c>
      <c r="R341" s="57" t="s">
        <v>1580</v>
      </c>
      <c r="S341" s="61" t="str">
        <f t="shared" ca="1" si="20"/>
        <v>EXECUTADA</v>
      </c>
    </row>
    <row r="342" spans="1:19" s="55" customFormat="1" ht="18" x14ac:dyDescent="0.25">
      <c r="A342" s="64" t="s">
        <v>1581</v>
      </c>
      <c r="B342" s="57" t="s">
        <v>27</v>
      </c>
      <c r="C342" s="58"/>
      <c r="D342" s="53" t="s">
        <v>1308</v>
      </c>
      <c r="E342" s="57">
        <v>34993366866</v>
      </c>
      <c r="F342" s="59">
        <v>46155</v>
      </c>
      <c r="G342" s="51" t="str">
        <f t="shared" si="19"/>
        <v>Qua</v>
      </c>
      <c r="H342" s="60">
        <v>0.54166666666666663</v>
      </c>
      <c r="I342" s="57" t="s">
        <v>42</v>
      </c>
      <c r="J342" s="57" t="s">
        <v>1582</v>
      </c>
      <c r="K342" s="57" t="s">
        <v>87</v>
      </c>
      <c r="L342" s="53" t="str">
        <f t="shared" si="22"/>
        <v>NÃO</v>
      </c>
      <c r="M342" s="57" t="s">
        <v>72</v>
      </c>
      <c r="N342" s="57" t="s">
        <v>89</v>
      </c>
      <c r="O342" s="57" t="s">
        <v>72</v>
      </c>
      <c r="P342" s="57" t="s">
        <v>72</v>
      </c>
      <c r="Q342" s="57" t="s">
        <v>1583</v>
      </c>
      <c r="R342" s="57" t="s">
        <v>1584</v>
      </c>
      <c r="S342" s="61" t="str">
        <f t="shared" ca="1" si="20"/>
        <v>EXECUTADA</v>
      </c>
    </row>
    <row r="343" spans="1:19" s="55" customFormat="1" ht="18" x14ac:dyDescent="0.25">
      <c r="A343" s="68" t="s">
        <v>1585</v>
      </c>
      <c r="B343" s="95" t="s">
        <v>30</v>
      </c>
      <c r="C343" s="109"/>
      <c r="D343" s="53" t="s">
        <v>1308</v>
      </c>
      <c r="E343" s="57">
        <v>34988168892</v>
      </c>
      <c r="F343" s="59">
        <v>46155</v>
      </c>
      <c r="G343" s="51" t="str">
        <f t="shared" si="19"/>
        <v>Qua</v>
      </c>
      <c r="H343" s="60">
        <v>0.54166666666666663</v>
      </c>
      <c r="I343" s="57" t="s">
        <v>42</v>
      </c>
      <c r="J343" s="57" t="s">
        <v>1586</v>
      </c>
      <c r="K343" s="57" t="s">
        <v>71</v>
      </c>
      <c r="L343" s="53" t="str">
        <f t="shared" si="22"/>
        <v>SIM</v>
      </c>
      <c r="M343" s="57" t="s">
        <v>250</v>
      </c>
      <c r="N343" s="57" t="s">
        <v>79</v>
      </c>
      <c r="O343" s="57" t="s">
        <v>1587</v>
      </c>
      <c r="P343" s="57" t="s">
        <v>1588</v>
      </c>
      <c r="Q343" s="57" t="s">
        <v>1589</v>
      </c>
      <c r="R343" s="57" t="s">
        <v>1590</v>
      </c>
      <c r="S343" s="61" t="str">
        <f t="shared" ca="1" si="20"/>
        <v>EXECUTADA</v>
      </c>
    </row>
    <row r="344" spans="1:19" s="165" customFormat="1" ht="18" x14ac:dyDescent="0.25">
      <c r="A344" s="185" t="s">
        <v>2742</v>
      </c>
      <c r="B344" s="157" t="s">
        <v>289</v>
      </c>
      <c r="C344" s="158"/>
      <c r="D344" s="163" t="s">
        <v>218</v>
      </c>
      <c r="E344" s="157"/>
      <c r="F344" s="160">
        <v>46155</v>
      </c>
      <c r="G344" s="161" t="str">
        <f t="shared" si="19"/>
        <v>Qua</v>
      </c>
      <c r="H344" s="162">
        <v>0.54166666666666663</v>
      </c>
      <c r="I344" s="157"/>
      <c r="J344" s="157"/>
      <c r="K344" s="157"/>
      <c r="L344" s="103" t="str">
        <f t="shared" si="22"/>
        <v>SIM</v>
      </c>
      <c r="M344" s="157"/>
      <c r="N344" s="157"/>
      <c r="O344" s="157"/>
      <c r="P344" s="157"/>
      <c r="Q344" s="157"/>
      <c r="R344" s="157"/>
      <c r="S344" s="164" t="str">
        <f t="shared" ca="1" si="20"/>
        <v>EXECUTADA</v>
      </c>
    </row>
    <row r="345" spans="1:19" s="55" customFormat="1" ht="18" x14ac:dyDescent="0.25">
      <c r="A345" s="64" t="s">
        <v>1591</v>
      </c>
      <c r="B345" s="57" t="s">
        <v>27</v>
      </c>
      <c r="C345" s="58"/>
      <c r="D345" s="53" t="s">
        <v>1308</v>
      </c>
      <c r="E345" s="57">
        <v>34991419000</v>
      </c>
      <c r="F345" s="59">
        <v>46155</v>
      </c>
      <c r="G345" s="51" t="str">
        <f t="shared" si="19"/>
        <v>Qua</v>
      </c>
      <c r="H345" s="60">
        <v>0.625</v>
      </c>
      <c r="I345" s="57" t="s">
        <v>42</v>
      </c>
      <c r="J345" s="57" t="s">
        <v>1592</v>
      </c>
      <c r="K345" s="57" t="s">
        <v>87</v>
      </c>
      <c r="L345" s="53" t="str">
        <f t="shared" si="22"/>
        <v>NÃO</v>
      </c>
      <c r="M345" s="57" t="s">
        <v>72</v>
      </c>
      <c r="N345" s="57" t="s">
        <v>89</v>
      </c>
      <c r="O345" s="57" t="s">
        <v>72</v>
      </c>
      <c r="P345" s="57" t="s">
        <v>72</v>
      </c>
      <c r="Q345" s="57" t="s">
        <v>1593</v>
      </c>
      <c r="R345" s="57" t="s">
        <v>1594</v>
      </c>
      <c r="S345" s="61" t="str">
        <f t="shared" ca="1" si="20"/>
        <v>EXECUTADA</v>
      </c>
    </row>
    <row r="346" spans="1:19" s="55" customFormat="1" ht="18" x14ac:dyDescent="0.25">
      <c r="A346" s="64" t="s">
        <v>1595</v>
      </c>
      <c r="B346" s="57" t="s">
        <v>27</v>
      </c>
      <c r="C346" s="58"/>
      <c r="D346" s="53" t="s">
        <v>1308</v>
      </c>
      <c r="E346" s="57">
        <v>34996956341</v>
      </c>
      <c r="F346" s="59">
        <v>46155</v>
      </c>
      <c r="G346" s="51" t="str">
        <f t="shared" si="19"/>
        <v>Qua</v>
      </c>
      <c r="H346" s="60">
        <v>0.625</v>
      </c>
      <c r="I346" s="57" t="s">
        <v>42</v>
      </c>
      <c r="J346" s="57" t="s">
        <v>1596</v>
      </c>
      <c r="K346" s="57" t="s">
        <v>71</v>
      </c>
      <c r="L346" s="53" t="str">
        <f t="shared" si="22"/>
        <v>NÃO</v>
      </c>
      <c r="M346" s="57" t="s">
        <v>72</v>
      </c>
      <c r="N346" s="57" t="s">
        <v>79</v>
      </c>
      <c r="O346" s="57" t="s">
        <v>1597</v>
      </c>
      <c r="P346" s="57">
        <v>34998964296</v>
      </c>
      <c r="Q346" s="57" t="s">
        <v>1598</v>
      </c>
      <c r="R346" s="57" t="s">
        <v>1599</v>
      </c>
      <c r="S346" s="61" t="str">
        <f t="shared" ca="1" si="20"/>
        <v>EXECUTADA</v>
      </c>
    </row>
    <row r="347" spans="1:19" s="165" customFormat="1" ht="18" x14ac:dyDescent="0.25">
      <c r="A347" s="191" t="s">
        <v>2760</v>
      </c>
      <c r="B347" s="157" t="s">
        <v>289</v>
      </c>
      <c r="C347" s="158"/>
      <c r="D347" s="163" t="s">
        <v>218</v>
      </c>
      <c r="E347" s="157"/>
      <c r="F347" s="160">
        <v>46155</v>
      </c>
      <c r="G347" s="161" t="str">
        <f t="shared" si="19"/>
        <v>Qua</v>
      </c>
      <c r="H347" s="162">
        <v>0.625</v>
      </c>
      <c r="I347" s="157"/>
      <c r="J347" s="157"/>
      <c r="K347" s="157"/>
      <c r="L347" s="103" t="str">
        <f t="shared" si="22"/>
        <v>SIM</v>
      </c>
      <c r="M347" s="157"/>
      <c r="N347" s="157"/>
      <c r="O347" s="157"/>
      <c r="P347" s="157"/>
      <c r="Q347" s="157"/>
      <c r="R347" s="157"/>
      <c r="S347" s="164" t="str">
        <f t="shared" ca="1" si="20"/>
        <v>EXECUTADA</v>
      </c>
    </row>
    <row r="348" spans="1:19" s="55" customFormat="1" ht="18" x14ac:dyDescent="0.25">
      <c r="A348" s="64" t="s">
        <v>1600</v>
      </c>
      <c r="B348" s="57" t="s">
        <v>27</v>
      </c>
      <c r="C348" s="58"/>
      <c r="D348" s="53" t="s">
        <v>1308</v>
      </c>
      <c r="E348" s="57">
        <v>34992383499</v>
      </c>
      <c r="F348" s="59">
        <v>46155</v>
      </c>
      <c r="G348" s="51" t="str">
        <f t="shared" si="19"/>
        <v>Qua</v>
      </c>
      <c r="H348" s="60">
        <v>0.70833333333333337</v>
      </c>
      <c r="I348" s="57" t="s">
        <v>42</v>
      </c>
      <c r="J348" s="57" t="s">
        <v>1601</v>
      </c>
      <c r="K348" s="57" t="s">
        <v>71</v>
      </c>
      <c r="L348" s="53" t="str">
        <f t="shared" si="22"/>
        <v>NÃO</v>
      </c>
      <c r="M348" s="57" t="s">
        <v>72</v>
      </c>
      <c r="N348" s="57" t="s">
        <v>89</v>
      </c>
      <c r="O348" s="57" t="s">
        <v>72</v>
      </c>
      <c r="P348" s="57" t="s">
        <v>72</v>
      </c>
      <c r="Q348" s="57" t="s">
        <v>1602</v>
      </c>
      <c r="R348" s="57" t="s">
        <v>1603</v>
      </c>
      <c r="S348" s="61" t="str">
        <f t="shared" ca="1" si="20"/>
        <v>EXECUTADA</v>
      </c>
    </row>
    <row r="349" spans="1:19" s="55" customFormat="1" ht="18" x14ac:dyDescent="0.25">
      <c r="A349" s="64" t="s">
        <v>1604</v>
      </c>
      <c r="B349" s="139" t="s">
        <v>30</v>
      </c>
      <c r="C349" s="58"/>
      <c r="D349" s="53" t="s">
        <v>1308</v>
      </c>
      <c r="E349" s="57">
        <v>34992303508</v>
      </c>
      <c r="F349" s="59">
        <v>46155</v>
      </c>
      <c r="G349" s="51" t="str">
        <f t="shared" si="19"/>
        <v>Qua</v>
      </c>
      <c r="H349" s="60">
        <v>0.70833333333333337</v>
      </c>
      <c r="I349" s="57" t="s">
        <v>46</v>
      </c>
      <c r="J349" s="57" t="s">
        <v>1605</v>
      </c>
      <c r="K349" s="57" t="s">
        <v>100</v>
      </c>
      <c r="L349" s="53" t="str">
        <f t="shared" si="22"/>
        <v>SIM</v>
      </c>
      <c r="M349" s="57" t="s">
        <v>1606</v>
      </c>
      <c r="N349" s="57"/>
      <c r="O349" s="57"/>
      <c r="P349" s="57"/>
      <c r="Q349" s="57" t="s">
        <v>1607</v>
      </c>
      <c r="R349" s="57" t="s">
        <v>1608</v>
      </c>
      <c r="S349" s="61" t="str">
        <f t="shared" ca="1" si="20"/>
        <v>EXECUTADA</v>
      </c>
    </row>
    <row r="350" spans="1:19" s="55" customFormat="1" ht="18" x14ac:dyDescent="0.25">
      <c r="A350" s="71" t="s">
        <v>1609</v>
      </c>
      <c r="B350" s="57" t="s">
        <v>30</v>
      </c>
      <c r="C350" s="171"/>
      <c r="D350" s="53" t="s">
        <v>1610</v>
      </c>
      <c r="E350" s="57">
        <v>34991099219</v>
      </c>
      <c r="F350" s="59">
        <v>46156</v>
      </c>
      <c r="G350" s="51" t="str">
        <f t="shared" si="19"/>
        <v>Qui</v>
      </c>
      <c r="H350" s="60">
        <v>0.33333333333333331</v>
      </c>
      <c r="I350" s="57" t="s">
        <v>46</v>
      </c>
      <c r="J350" s="57" t="s">
        <v>1611</v>
      </c>
      <c r="K350" s="57" t="s">
        <v>146</v>
      </c>
      <c r="L350" s="53" t="str">
        <f t="shared" si="22"/>
        <v>SIM</v>
      </c>
      <c r="M350" s="57" t="s">
        <v>1498</v>
      </c>
      <c r="N350" s="57" t="s">
        <v>79</v>
      </c>
      <c r="O350" s="57" t="s">
        <v>1612</v>
      </c>
      <c r="P350" s="57"/>
      <c r="Q350" s="57" t="s">
        <v>1613</v>
      </c>
      <c r="R350" s="57" t="s">
        <v>1614</v>
      </c>
      <c r="S350" s="61" t="str">
        <f t="shared" ca="1" si="20"/>
        <v>EXECUTADA</v>
      </c>
    </row>
    <row r="351" spans="1:19" s="55" customFormat="1" ht="18" x14ac:dyDescent="0.25">
      <c r="A351" s="64" t="s">
        <v>1615</v>
      </c>
      <c r="B351" s="57" t="s">
        <v>27</v>
      </c>
      <c r="C351" s="171"/>
      <c r="D351" s="53" t="s">
        <v>1308</v>
      </c>
      <c r="E351" s="57">
        <v>34984475428</v>
      </c>
      <c r="F351" s="59">
        <v>46156</v>
      </c>
      <c r="G351" s="51" t="str">
        <f t="shared" si="19"/>
        <v>Qui</v>
      </c>
      <c r="H351" s="60">
        <v>0.33333333333333331</v>
      </c>
      <c r="I351" s="57" t="s">
        <v>42</v>
      </c>
      <c r="J351" s="57" t="s">
        <v>1616</v>
      </c>
      <c r="K351" s="57" t="s">
        <v>107</v>
      </c>
      <c r="L351" s="53" t="str">
        <f t="shared" si="22"/>
        <v>NÃO</v>
      </c>
      <c r="M351" s="57" t="s">
        <v>72</v>
      </c>
      <c r="N351" s="57" t="s">
        <v>89</v>
      </c>
      <c r="O351" s="57" t="s">
        <v>72</v>
      </c>
      <c r="P351" s="57" t="s">
        <v>72</v>
      </c>
      <c r="Q351" s="57" t="s">
        <v>1617</v>
      </c>
      <c r="R351" s="57" t="s">
        <v>1618</v>
      </c>
      <c r="S351" s="61" t="str">
        <f t="shared" ca="1" si="20"/>
        <v>EXECUTADA</v>
      </c>
    </row>
    <row r="352" spans="1:19" s="81" customFormat="1" ht="18" x14ac:dyDescent="0.25">
      <c r="A352" s="192" t="s">
        <v>1619</v>
      </c>
      <c r="B352" s="38" t="s">
        <v>30</v>
      </c>
      <c r="C352" s="193"/>
      <c r="D352" s="40" t="s">
        <v>1620</v>
      </c>
      <c r="E352" s="38">
        <v>35997153330</v>
      </c>
      <c r="F352" s="41">
        <v>46156</v>
      </c>
      <c r="G352" s="42" t="str">
        <f t="shared" si="19"/>
        <v>Qui</v>
      </c>
      <c r="H352" s="43">
        <v>0.33333333333333331</v>
      </c>
      <c r="I352" s="38" t="s">
        <v>46</v>
      </c>
      <c r="J352" s="38" t="s">
        <v>1621</v>
      </c>
      <c r="K352" s="38" t="s">
        <v>107</v>
      </c>
      <c r="L352" s="40" t="str">
        <f t="shared" si="22"/>
        <v>SIM</v>
      </c>
      <c r="M352" s="38" t="s">
        <v>1622</v>
      </c>
      <c r="N352" s="38" t="s">
        <v>89</v>
      </c>
      <c r="O352" s="38" t="s">
        <v>72</v>
      </c>
      <c r="P352" s="38" t="s">
        <v>72</v>
      </c>
      <c r="Q352" s="38" t="s">
        <v>1623</v>
      </c>
      <c r="R352" s="38" t="s">
        <v>2761</v>
      </c>
      <c r="S352" s="44" t="str">
        <f t="shared" ca="1" si="20"/>
        <v>EXECUTADA</v>
      </c>
    </row>
    <row r="353" spans="1:19" s="55" customFormat="1" ht="18" x14ac:dyDescent="0.25">
      <c r="A353" s="194" t="s">
        <v>2762</v>
      </c>
      <c r="B353" s="57" t="s">
        <v>30</v>
      </c>
      <c r="C353" s="171"/>
      <c r="D353" s="53" t="s">
        <v>1308</v>
      </c>
      <c r="E353" s="57">
        <v>34996488800</v>
      </c>
      <c r="F353" s="59">
        <v>46156</v>
      </c>
      <c r="G353" s="51" t="str">
        <f t="shared" si="19"/>
        <v>Qui</v>
      </c>
      <c r="H353" s="60">
        <v>0.41666666666666669</v>
      </c>
      <c r="I353" s="57" t="s">
        <v>46</v>
      </c>
      <c r="J353" s="57" t="s">
        <v>1624</v>
      </c>
      <c r="K353" s="57" t="s">
        <v>566</v>
      </c>
      <c r="L353" s="53" t="str">
        <f t="shared" si="22"/>
        <v>SIM</v>
      </c>
      <c r="M353" s="57" t="s">
        <v>1625</v>
      </c>
      <c r="N353" s="57" t="s">
        <v>89</v>
      </c>
      <c r="O353" s="57" t="s">
        <v>72</v>
      </c>
      <c r="P353" s="57" t="s">
        <v>72</v>
      </c>
      <c r="Q353" s="57" t="s">
        <v>1626</v>
      </c>
      <c r="R353" s="57" t="s">
        <v>1627</v>
      </c>
      <c r="S353" s="61" t="str">
        <f t="shared" ca="1" si="20"/>
        <v>EXECUTADA</v>
      </c>
    </row>
    <row r="354" spans="1:19" s="55" customFormat="1" ht="18" x14ac:dyDescent="0.25">
      <c r="A354" s="194" t="s">
        <v>1628</v>
      </c>
      <c r="B354" s="57" t="s">
        <v>30</v>
      </c>
      <c r="C354" s="171"/>
      <c r="D354" s="53" t="s">
        <v>1308</v>
      </c>
      <c r="E354" s="57">
        <v>34991972973</v>
      </c>
      <c r="F354" s="59">
        <v>46156</v>
      </c>
      <c r="G354" s="51" t="str">
        <f t="shared" si="19"/>
        <v>Qui</v>
      </c>
      <c r="H354" s="60">
        <v>0.41666666666666669</v>
      </c>
      <c r="I354" s="57" t="s">
        <v>46</v>
      </c>
      <c r="J354" s="57" t="s">
        <v>1629</v>
      </c>
      <c r="K354" s="57" t="s">
        <v>87</v>
      </c>
      <c r="L354" s="53" t="str">
        <f t="shared" si="22"/>
        <v>SIM</v>
      </c>
      <c r="M354" s="57" t="s">
        <v>1630</v>
      </c>
      <c r="N354" s="57" t="s">
        <v>89</v>
      </c>
      <c r="O354" s="57" t="s">
        <v>72</v>
      </c>
      <c r="P354" s="57" t="s">
        <v>72</v>
      </c>
      <c r="Q354" s="57" t="s">
        <v>1631</v>
      </c>
      <c r="R354" s="57" t="s">
        <v>1632</v>
      </c>
      <c r="S354" s="61" t="str">
        <f t="shared" ca="1" si="20"/>
        <v>EXECUTADA</v>
      </c>
    </row>
    <row r="355" spans="1:19" s="55" customFormat="1" ht="18" x14ac:dyDescent="0.25">
      <c r="A355" s="194" t="s">
        <v>2763</v>
      </c>
      <c r="B355" s="57" t="s">
        <v>27</v>
      </c>
      <c r="C355" s="171"/>
      <c r="D355" s="53" t="s">
        <v>1308</v>
      </c>
      <c r="E355" s="57">
        <v>34984282430</v>
      </c>
      <c r="F355" s="59">
        <v>46156</v>
      </c>
      <c r="G355" s="51" t="str">
        <f t="shared" si="19"/>
        <v>Qui</v>
      </c>
      <c r="H355" s="60">
        <v>0.54166666666666663</v>
      </c>
      <c r="I355" s="57" t="s">
        <v>42</v>
      </c>
      <c r="J355" s="57" t="s">
        <v>1633</v>
      </c>
      <c r="K355" s="57" t="s">
        <v>146</v>
      </c>
      <c r="L355" s="53" t="str">
        <f t="shared" si="22"/>
        <v>NÃO</v>
      </c>
      <c r="M355" s="57" t="s">
        <v>72</v>
      </c>
      <c r="N355" s="57" t="s">
        <v>89</v>
      </c>
      <c r="O355" s="57" t="s">
        <v>1634</v>
      </c>
      <c r="P355" s="57">
        <v>34984282430</v>
      </c>
      <c r="Q355" s="57" t="s">
        <v>1635</v>
      </c>
      <c r="R355" s="57" t="s">
        <v>1636</v>
      </c>
      <c r="S355" s="61" t="str">
        <f t="shared" ca="1" si="20"/>
        <v>EXECUTADA</v>
      </c>
    </row>
    <row r="356" spans="1:19" s="55" customFormat="1" ht="18" x14ac:dyDescent="0.25">
      <c r="A356" s="71" t="s">
        <v>1637</v>
      </c>
      <c r="B356" s="57" t="s">
        <v>30</v>
      </c>
      <c r="C356" s="171"/>
      <c r="D356" s="53" t="s">
        <v>1308</v>
      </c>
      <c r="E356" s="57">
        <v>34991815548</v>
      </c>
      <c r="F356" s="59">
        <v>46156</v>
      </c>
      <c r="G356" s="51" t="str">
        <f t="shared" si="19"/>
        <v>Qui</v>
      </c>
      <c r="H356" s="60">
        <v>0.54166666666666663</v>
      </c>
      <c r="I356" s="57" t="s">
        <v>46</v>
      </c>
      <c r="J356" s="57" t="s">
        <v>1638</v>
      </c>
      <c r="K356" s="57" t="s">
        <v>1639</v>
      </c>
      <c r="L356" s="53" t="str">
        <f t="shared" si="22"/>
        <v>SIM</v>
      </c>
      <c r="M356" s="57" t="s">
        <v>1640</v>
      </c>
      <c r="N356" s="57" t="s">
        <v>79</v>
      </c>
      <c r="O356" s="57" t="s">
        <v>1641</v>
      </c>
      <c r="P356" s="57" t="s">
        <v>1642</v>
      </c>
      <c r="Q356" s="57" t="s">
        <v>1643</v>
      </c>
      <c r="R356" s="57" t="s">
        <v>2764</v>
      </c>
      <c r="S356" s="61" t="str">
        <f t="shared" ca="1" si="20"/>
        <v>EXECUTADA</v>
      </c>
    </row>
    <row r="357" spans="1:19" s="165" customFormat="1" ht="18" x14ac:dyDescent="0.25">
      <c r="A357" s="195" t="s">
        <v>1644</v>
      </c>
      <c r="B357" s="157" t="s">
        <v>30</v>
      </c>
      <c r="C357" s="196"/>
      <c r="D357" s="163" t="s">
        <v>218</v>
      </c>
      <c r="E357" s="157"/>
      <c r="F357" s="160">
        <v>46156</v>
      </c>
      <c r="G357" s="161" t="str">
        <f t="shared" si="19"/>
        <v>Qui</v>
      </c>
      <c r="H357" s="162">
        <v>0.625</v>
      </c>
      <c r="I357" s="157" t="s">
        <v>46</v>
      </c>
      <c r="J357" s="157"/>
      <c r="K357" s="157"/>
      <c r="L357" s="163" t="str">
        <f t="shared" si="22"/>
        <v>SIM</v>
      </c>
      <c r="M357" s="157"/>
      <c r="N357" s="157"/>
      <c r="O357" s="157"/>
      <c r="P357" s="157"/>
      <c r="Q357" s="157"/>
      <c r="R357" s="157"/>
      <c r="S357" s="164" t="str">
        <f t="shared" ca="1" si="20"/>
        <v>EXECUTADA</v>
      </c>
    </row>
    <row r="358" spans="1:19" s="55" customFormat="1" ht="18" x14ac:dyDescent="0.25">
      <c r="A358" s="117" t="s">
        <v>2765</v>
      </c>
      <c r="B358" s="57" t="s">
        <v>27</v>
      </c>
      <c r="C358" s="171"/>
      <c r="D358" s="53" t="s">
        <v>1645</v>
      </c>
      <c r="E358" s="57">
        <v>34991263069</v>
      </c>
      <c r="F358" s="59">
        <v>46156</v>
      </c>
      <c r="G358" s="51" t="str">
        <f t="shared" si="19"/>
        <v>Qui</v>
      </c>
      <c r="H358" s="60">
        <v>0.625</v>
      </c>
      <c r="I358" s="57" t="s">
        <v>42</v>
      </c>
      <c r="J358" s="57" t="s">
        <v>1646</v>
      </c>
      <c r="K358" s="57"/>
      <c r="L358" s="53" t="str">
        <f t="shared" si="22"/>
        <v>NÃO</v>
      </c>
      <c r="M358" s="57"/>
      <c r="N358" s="57"/>
      <c r="O358" s="57"/>
      <c r="P358" s="57"/>
      <c r="Q358" s="57" t="s">
        <v>1647</v>
      </c>
      <c r="R358" s="57" t="s">
        <v>1648</v>
      </c>
      <c r="S358" s="61" t="str">
        <f t="shared" ca="1" si="20"/>
        <v>EXECUTADA</v>
      </c>
    </row>
    <row r="359" spans="1:19" s="55" customFormat="1" ht="18" x14ac:dyDescent="0.25">
      <c r="A359" s="71" t="s">
        <v>2766</v>
      </c>
      <c r="B359" s="57" t="s">
        <v>30</v>
      </c>
      <c r="C359" s="171"/>
      <c r="D359" s="53" t="s">
        <v>1649</v>
      </c>
      <c r="E359" s="57">
        <v>34984432086</v>
      </c>
      <c r="F359" s="59">
        <v>46156</v>
      </c>
      <c r="G359" s="51" t="str">
        <f t="shared" si="19"/>
        <v>Qui</v>
      </c>
      <c r="H359" s="60">
        <v>0.70833333333333337</v>
      </c>
      <c r="I359" s="57" t="s">
        <v>46</v>
      </c>
      <c r="J359" s="57" t="s">
        <v>1650</v>
      </c>
      <c r="K359" s="57" t="s">
        <v>94</v>
      </c>
      <c r="L359" s="53" t="str">
        <f t="shared" si="22"/>
        <v>SIM</v>
      </c>
      <c r="M359" s="57" t="s">
        <v>1651</v>
      </c>
      <c r="N359" s="57" t="s">
        <v>79</v>
      </c>
      <c r="O359" s="57" t="s">
        <v>1652</v>
      </c>
      <c r="P359" s="57">
        <v>34996884367</v>
      </c>
      <c r="Q359" s="57" t="s">
        <v>1653</v>
      </c>
      <c r="R359" s="57" t="s">
        <v>1654</v>
      </c>
      <c r="S359" s="61" t="str">
        <f t="shared" ca="1" si="20"/>
        <v>EXECUTADA</v>
      </c>
    </row>
    <row r="360" spans="1:19" s="55" customFormat="1" ht="18" x14ac:dyDescent="0.25">
      <c r="A360" s="194" t="s">
        <v>1655</v>
      </c>
      <c r="B360" s="57" t="s">
        <v>30</v>
      </c>
      <c r="C360" s="171"/>
      <c r="D360" s="53" t="s">
        <v>1308</v>
      </c>
      <c r="E360" s="57">
        <v>34992359630</v>
      </c>
      <c r="F360" s="59">
        <v>46156</v>
      </c>
      <c r="G360" s="51" t="str">
        <f t="shared" si="19"/>
        <v>Qui</v>
      </c>
      <c r="H360" s="60">
        <v>0.70833333333333337</v>
      </c>
      <c r="I360" s="57" t="s">
        <v>46</v>
      </c>
      <c r="J360" s="57" t="s">
        <v>1656</v>
      </c>
      <c r="K360" s="57" t="s">
        <v>107</v>
      </c>
      <c r="L360" s="53" t="str">
        <f t="shared" si="22"/>
        <v>SIM</v>
      </c>
      <c r="M360" s="57" t="s">
        <v>1657</v>
      </c>
      <c r="N360" s="57" t="s">
        <v>89</v>
      </c>
      <c r="O360" s="57" t="s">
        <v>72</v>
      </c>
      <c r="P360" s="57" t="s">
        <v>72</v>
      </c>
      <c r="Q360" s="57" t="s">
        <v>1658</v>
      </c>
      <c r="R360" s="57" t="s">
        <v>1659</v>
      </c>
      <c r="S360" s="61" t="str">
        <f t="shared" ca="1" si="20"/>
        <v>EXECUTADA</v>
      </c>
    </row>
    <row r="361" spans="1:19" s="180" customFormat="1" ht="18.75" thickBot="1" x14ac:dyDescent="0.3">
      <c r="A361" s="172" t="s">
        <v>1660</v>
      </c>
      <c r="B361" s="179" t="s">
        <v>30</v>
      </c>
      <c r="C361" s="174"/>
      <c r="D361" s="53" t="s">
        <v>1661</v>
      </c>
      <c r="E361" s="173">
        <v>34991088188</v>
      </c>
      <c r="F361" s="176">
        <v>46156</v>
      </c>
      <c r="G361" s="177" t="str">
        <f t="shared" si="19"/>
        <v>Qui</v>
      </c>
      <c r="H361" s="178">
        <v>0.70833333333333337</v>
      </c>
      <c r="I361" s="173" t="s">
        <v>46</v>
      </c>
      <c r="J361" s="173" t="s">
        <v>1662</v>
      </c>
      <c r="K361" s="173" t="s">
        <v>146</v>
      </c>
      <c r="L361" s="175" t="str">
        <f t="shared" si="22"/>
        <v>SIM</v>
      </c>
      <c r="M361" s="173" t="s">
        <v>1254</v>
      </c>
      <c r="N361" s="173" t="s">
        <v>89</v>
      </c>
      <c r="O361" s="173" t="s">
        <v>72</v>
      </c>
      <c r="P361" s="173" t="s">
        <v>72</v>
      </c>
      <c r="Q361" s="173" t="s">
        <v>1663</v>
      </c>
      <c r="R361" s="173" t="s">
        <v>1664</v>
      </c>
      <c r="S361" s="179" t="str">
        <f t="shared" ca="1" si="20"/>
        <v>EXECUTADA</v>
      </c>
    </row>
    <row r="362" spans="1:19" s="199" customFormat="1" ht="15.75" customHeight="1" thickTop="1" x14ac:dyDescent="0.25">
      <c r="A362" s="197" t="s">
        <v>1739</v>
      </c>
      <c r="B362" s="61" t="s">
        <v>30</v>
      </c>
      <c r="C362" s="198"/>
      <c r="D362" s="182" t="s">
        <v>1308</v>
      </c>
      <c r="E362" s="61">
        <v>34992322706</v>
      </c>
      <c r="F362" s="183">
        <v>46156</v>
      </c>
      <c r="G362" s="51" t="str">
        <f t="shared" si="19"/>
        <v>Qui</v>
      </c>
      <c r="H362" s="144"/>
      <c r="I362" s="61" t="s">
        <v>46</v>
      </c>
      <c r="J362" s="61" t="s">
        <v>1740</v>
      </c>
      <c r="K362" s="61" t="s">
        <v>1348</v>
      </c>
      <c r="L362" s="182" t="str">
        <f t="shared" si="22"/>
        <v>SIM</v>
      </c>
      <c r="M362" s="61" t="s">
        <v>1741</v>
      </c>
      <c r="N362" s="61" t="s">
        <v>89</v>
      </c>
      <c r="O362" s="61" t="s">
        <v>72</v>
      </c>
      <c r="P362" s="61" t="s">
        <v>72</v>
      </c>
      <c r="Q362" s="61" t="s">
        <v>1742</v>
      </c>
      <c r="R362" s="61" t="s">
        <v>1743</v>
      </c>
      <c r="S362" s="61" t="str">
        <f t="shared" ca="1" si="20"/>
        <v>EXECUTADA</v>
      </c>
    </row>
    <row r="363" spans="1:19" s="55" customFormat="1" ht="15" customHeight="1" x14ac:dyDescent="0.25">
      <c r="A363" s="200" t="s">
        <v>1619</v>
      </c>
      <c r="B363" s="61" t="s">
        <v>30</v>
      </c>
      <c r="C363" s="198" t="s">
        <v>2188</v>
      </c>
      <c r="D363" s="182" t="s">
        <v>1620</v>
      </c>
      <c r="E363" s="61">
        <v>35997153330</v>
      </c>
      <c r="F363" s="183">
        <v>46156</v>
      </c>
      <c r="G363" s="51" t="str">
        <f t="shared" si="19"/>
        <v>Qui</v>
      </c>
      <c r="H363" s="144">
        <v>0.33333333333333331</v>
      </c>
      <c r="I363" s="61" t="s">
        <v>46</v>
      </c>
      <c r="J363" s="61" t="s">
        <v>1621</v>
      </c>
      <c r="K363" s="61" t="s">
        <v>107</v>
      </c>
      <c r="L363" s="182" t="str">
        <f t="shared" si="22"/>
        <v>SIM</v>
      </c>
      <c r="M363" s="61" t="s">
        <v>1622</v>
      </c>
      <c r="N363" s="61" t="s">
        <v>89</v>
      </c>
      <c r="O363" s="61" t="s">
        <v>72</v>
      </c>
      <c r="P363" s="61" t="s">
        <v>72</v>
      </c>
      <c r="Q363" s="61" t="s">
        <v>1623</v>
      </c>
      <c r="R363" s="61" t="s">
        <v>2761</v>
      </c>
      <c r="S363" s="61" t="str">
        <f t="shared" ca="1" si="20"/>
        <v>EXECUTADA</v>
      </c>
    </row>
    <row r="364" spans="1:19" s="55" customFormat="1" ht="18" x14ac:dyDescent="0.25">
      <c r="A364" s="201" t="s">
        <v>2767</v>
      </c>
      <c r="B364" s="57" t="s">
        <v>30</v>
      </c>
      <c r="C364" s="58"/>
      <c r="D364" s="53" t="s">
        <v>1308</v>
      </c>
      <c r="E364" s="57">
        <v>34999903000</v>
      </c>
      <c r="F364" s="59">
        <v>46157</v>
      </c>
      <c r="G364" s="51" t="str">
        <f t="shared" si="19"/>
        <v>Sex</v>
      </c>
      <c r="H364" s="60">
        <v>0.33333333333333331</v>
      </c>
      <c r="I364" s="57" t="s">
        <v>46</v>
      </c>
      <c r="J364" s="57" t="s">
        <v>1665</v>
      </c>
      <c r="K364" s="57" t="s">
        <v>107</v>
      </c>
      <c r="L364" s="53" t="str">
        <f t="shared" si="22"/>
        <v>SIM</v>
      </c>
      <c r="M364" s="57" t="s">
        <v>421</v>
      </c>
      <c r="N364" s="57" t="s">
        <v>89</v>
      </c>
      <c r="O364" s="57" t="s">
        <v>72</v>
      </c>
      <c r="P364" s="57" t="s">
        <v>72</v>
      </c>
      <c r="Q364" s="57" t="s">
        <v>1666</v>
      </c>
      <c r="R364" s="57" t="s">
        <v>1667</v>
      </c>
      <c r="S364" s="61" t="str">
        <f t="shared" ca="1" si="20"/>
        <v>EXECUTADA</v>
      </c>
    </row>
    <row r="365" spans="1:19" s="55" customFormat="1" ht="18" x14ac:dyDescent="0.25">
      <c r="A365" s="63" t="s">
        <v>2768</v>
      </c>
      <c r="B365" s="57" t="s">
        <v>30</v>
      </c>
      <c r="C365" s="58"/>
      <c r="D365" s="53" t="s">
        <v>1308</v>
      </c>
      <c r="E365" s="57">
        <v>34991286932</v>
      </c>
      <c r="F365" s="59">
        <v>46157</v>
      </c>
      <c r="G365" s="51" t="str">
        <f t="shared" si="19"/>
        <v>Sex</v>
      </c>
      <c r="H365" s="60">
        <v>0.33333333333333331</v>
      </c>
      <c r="I365" s="57" t="s">
        <v>46</v>
      </c>
      <c r="J365" s="57" t="s">
        <v>1668</v>
      </c>
      <c r="K365" s="57" t="s">
        <v>781</v>
      </c>
      <c r="L365" s="53" t="str">
        <f t="shared" si="22"/>
        <v>SIM</v>
      </c>
      <c r="M365" s="57" t="s">
        <v>1669</v>
      </c>
      <c r="N365" s="57" t="s">
        <v>89</v>
      </c>
      <c r="O365" s="57" t="s">
        <v>72</v>
      </c>
      <c r="P365" s="57" t="s">
        <v>72</v>
      </c>
      <c r="Q365" s="57" t="s">
        <v>1670</v>
      </c>
      <c r="R365" s="57" t="s">
        <v>1671</v>
      </c>
      <c r="S365" s="61" t="str">
        <f t="shared" ca="1" si="20"/>
        <v>EXECUTADA</v>
      </c>
    </row>
    <row r="366" spans="1:19" s="55" customFormat="1" ht="18" x14ac:dyDescent="0.25">
      <c r="A366" s="64" t="s">
        <v>2769</v>
      </c>
      <c r="B366" s="57" t="s">
        <v>27</v>
      </c>
      <c r="C366" s="58"/>
      <c r="D366" s="53" t="s">
        <v>1672</v>
      </c>
      <c r="E366" s="57">
        <v>34998961746</v>
      </c>
      <c r="F366" s="59">
        <v>46157</v>
      </c>
      <c r="G366" s="51" t="str">
        <f t="shared" si="19"/>
        <v>Sex</v>
      </c>
      <c r="H366" s="60">
        <v>0.33333333333333331</v>
      </c>
      <c r="I366" s="57" t="s">
        <v>42</v>
      </c>
      <c r="J366" s="57" t="s">
        <v>1673</v>
      </c>
      <c r="K366" s="57" t="s">
        <v>71</v>
      </c>
      <c r="L366" s="53" t="str">
        <f t="shared" si="22"/>
        <v>NÃO</v>
      </c>
      <c r="M366" s="57" t="s">
        <v>72</v>
      </c>
      <c r="N366" s="57" t="s">
        <v>89</v>
      </c>
      <c r="O366" s="57" t="s">
        <v>72</v>
      </c>
      <c r="P366" s="57" t="s">
        <v>72</v>
      </c>
      <c r="Q366" s="57" t="s">
        <v>208</v>
      </c>
      <c r="R366" s="57"/>
      <c r="S366" s="61" t="str">
        <f t="shared" ca="1" si="20"/>
        <v>EXECUTADA</v>
      </c>
    </row>
    <row r="367" spans="1:19" s="81" customFormat="1" ht="15" customHeight="1" x14ac:dyDescent="0.25">
      <c r="A367" s="151" t="s">
        <v>1674</v>
      </c>
      <c r="B367" s="57" t="s">
        <v>30</v>
      </c>
      <c r="C367" s="58"/>
      <c r="D367" s="53" t="s">
        <v>1308</v>
      </c>
      <c r="E367" s="57">
        <v>34992486562</v>
      </c>
      <c r="F367" s="59">
        <v>46157</v>
      </c>
      <c r="G367" s="51" t="str">
        <f t="shared" si="19"/>
        <v>Sex</v>
      </c>
      <c r="H367" s="60">
        <v>0.33333333333333331</v>
      </c>
      <c r="I367" s="57" t="s">
        <v>46</v>
      </c>
      <c r="J367" s="57" t="s">
        <v>1675</v>
      </c>
      <c r="K367" s="57" t="s">
        <v>146</v>
      </c>
      <c r="L367" s="53" t="str">
        <f t="shared" si="22"/>
        <v>SIM</v>
      </c>
      <c r="M367" s="57" t="s">
        <v>1676</v>
      </c>
      <c r="N367" s="57" t="s">
        <v>79</v>
      </c>
      <c r="O367" s="57" t="s">
        <v>1677</v>
      </c>
      <c r="P367" s="57" t="s">
        <v>1678</v>
      </c>
      <c r="Q367" s="57" t="s">
        <v>1679</v>
      </c>
      <c r="R367" s="57" t="s">
        <v>1680</v>
      </c>
      <c r="S367" s="61" t="str">
        <f t="shared" ca="1" si="20"/>
        <v>EXECUTADA</v>
      </c>
    </row>
    <row r="368" spans="1:19" s="55" customFormat="1" ht="18" x14ac:dyDescent="0.25">
      <c r="A368" s="169" t="s">
        <v>1681</v>
      </c>
      <c r="B368" s="57" t="s">
        <v>30</v>
      </c>
      <c r="C368" s="58"/>
      <c r="D368" s="53" t="s">
        <v>1308</v>
      </c>
      <c r="E368" s="57">
        <v>34984315528</v>
      </c>
      <c r="F368" s="59">
        <v>46157</v>
      </c>
      <c r="G368" s="51" t="str">
        <f t="shared" si="19"/>
        <v>Sex</v>
      </c>
      <c r="H368" s="60">
        <v>0.41666666666666669</v>
      </c>
      <c r="I368" s="57" t="s">
        <v>46</v>
      </c>
      <c r="J368" s="57" t="s">
        <v>1682</v>
      </c>
      <c r="K368" s="57" t="s">
        <v>87</v>
      </c>
      <c r="L368" s="53" t="str">
        <f t="shared" si="22"/>
        <v>SIM</v>
      </c>
      <c r="M368" s="57" t="s">
        <v>1683</v>
      </c>
      <c r="N368" s="57" t="s">
        <v>89</v>
      </c>
      <c r="O368" s="57" t="s">
        <v>72</v>
      </c>
      <c r="P368" s="57" t="s">
        <v>72</v>
      </c>
      <c r="Q368" s="57" t="s">
        <v>1684</v>
      </c>
      <c r="R368" s="57" t="s">
        <v>1685</v>
      </c>
      <c r="S368" s="61" t="str">
        <f t="shared" ca="1" si="20"/>
        <v>EXECUTADA</v>
      </c>
    </row>
    <row r="369" spans="1:19" s="165" customFormat="1" ht="18" x14ac:dyDescent="0.25">
      <c r="A369" s="202" t="s">
        <v>2770</v>
      </c>
      <c r="B369" s="38" t="s">
        <v>27</v>
      </c>
      <c r="C369" s="39"/>
      <c r="D369" s="40" t="s">
        <v>1686</v>
      </c>
      <c r="E369" s="38"/>
      <c r="F369" s="41">
        <v>46157</v>
      </c>
      <c r="G369" s="42" t="str">
        <f t="shared" si="19"/>
        <v>Sex</v>
      </c>
      <c r="H369" s="43">
        <v>0.33333333333333331</v>
      </c>
      <c r="I369" s="38"/>
      <c r="J369" s="38" t="s">
        <v>1687</v>
      </c>
      <c r="K369" s="38" t="s">
        <v>87</v>
      </c>
      <c r="L369" s="40" t="str">
        <f t="shared" si="22"/>
        <v>NÃO</v>
      </c>
      <c r="M369" s="38"/>
      <c r="N369" s="38"/>
      <c r="O369" s="38"/>
      <c r="P369" s="38"/>
      <c r="Q369" s="38" t="s">
        <v>208</v>
      </c>
      <c r="R369" s="38"/>
      <c r="S369" s="44" t="str">
        <f t="shared" ca="1" si="20"/>
        <v>EXECUTADA</v>
      </c>
    </row>
    <row r="370" spans="1:19" s="55" customFormat="1" ht="18" x14ac:dyDescent="0.25">
      <c r="A370" s="64" t="s">
        <v>1688</v>
      </c>
      <c r="B370" s="57" t="s">
        <v>30</v>
      </c>
      <c r="C370" s="58"/>
      <c r="D370" s="53" t="s">
        <v>1308</v>
      </c>
      <c r="E370" s="57">
        <v>34991261947</v>
      </c>
      <c r="F370" s="59">
        <v>46157</v>
      </c>
      <c r="G370" s="51" t="str">
        <f t="shared" si="19"/>
        <v>Sex</v>
      </c>
      <c r="H370" s="60">
        <v>0.33333333333333331</v>
      </c>
      <c r="I370" s="57" t="s">
        <v>46</v>
      </c>
      <c r="J370" s="57" t="s">
        <v>1689</v>
      </c>
      <c r="K370" s="57" t="s">
        <v>100</v>
      </c>
      <c r="L370" s="53" t="str">
        <f t="shared" si="22"/>
        <v>SIM</v>
      </c>
      <c r="M370" s="57" t="s">
        <v>401</v>
      </c>
      <c r="N370" s="57" t="s">
        <v>89</v>
      </c>
      <c r="O370" s="57" t="s">
        <v>72</v>
      </c>
      <c r="P370" s="57" t="s">
        <v>72</v>
      </c>
      <c r="Q370" s="57" t="s">
        <v>1690</v>
      </c>
      <c r="R370" s="57" t="s">
        <v>2771</v>
      </c>
      <c r="S370" s="61" t="str">
        <f t="shared" ca="1" si="20"/>
        <v>EXECUTADA</v>
      </c>
    </row>
    <row r="371" spans="1:19" s="55" customFormat="1" ht="18" x14ac:dyDescent="0.25">
      <c r="A371" s="184" t="s">
        <v>2772</v>
      </c>
      <c r="B371" s="157" t="s">
        <v>30</v>
      </c>
      <c r="C371" s="158"/>
      <c r="D371" s="163" t="s">
        <v>1691</v>
      </c>
      <c r="E371" s="157"/>
      <c r="F371" s="160">
        <v>46157</v>
      </c>
      <c r="G371" s="161" t="str">
        <f t="shared" si="19"/>
        <v>Sex</v>
      </c>
      <c r="H371" s="162">
        <v>0.54166666666666663</v>
      </c>
      <c r="I371" s="157" t="s">
        <v>46</v>
      </c>
      <c r="J371" s="157"/>
      <c r="K371" s="157"/>
      <c r="L371" s="163" t="str">
        <f t="shared" si="22"/>
        <v>SIM</v>
      </c>
      <c r="M371" s="157"/>
      <c r="N371" s="157"/>
      <c r="O371" s="157"/>
      <c r="P371" s="157"/>
      <c r="Q371" s="157"/>
      <c r="R371" s="157"/>
      <c r="S371" s="164" t="str">
        <f t="shared" ca="1" si="20"/>
        <v>EXECUTADA</v>
      </c>
    </row>
    <row r="372" spans="1:19" s="165" customFormat="1" ht="18" x14ac:dyDescent="0.25">
      <c r="A372" s="64" t="s">
        <v>2773</v>
      </c>
      <c r="B372" s="57" t="s">
        <v>27</v>
      </c>
      <c r="C372" s="58"/>
      <c r="D372" s="53" t="s">
        <v>1692</v>
      </c>
      <c r="E372" s="57">
        <v>34996458059</v>
      </c>
      <c r="F372" s="59">
        <v>46157</v>
      </c>
      <c r="G372" s="51" t="str">
        <f t="shared" si="19"/>
        <v>Sex</v>
      </c>
      <c r="H372" s="60">
        <v>0.54166666666666663</v>
      </c>
      <c r="I372" s="57" t="s">
        <v>35</v>
      </c>
      <c r="J372" s="57" t="s">
        <v>1693</v>
      </c>
      <c r="K372" s="57" t="s">
        <v>146</v>
      </c>
      <c r="L372" s="53" t="str">
        <f>IF(A372="MUD END","NÃO","SIM")</f>
        <v>SIM</v>
      </c>
      <c r="M372" s="57"/>
      <c r="N372" s="57" t="s">
        <v>89</v>
      </c>
      <c r="O372" s="57" t="s">
        <v>72</v>
      </c>
      <c r="P372" s="57" t="s">
        <v>72</v>
      </c>
      <c r="Q372" s="57" t="s">
        <v>1694</v>
      </c>
      <c r="R372" s="57" t="s">
        <v>1695</v>
      </c>
      <c r="S372" s="61" t="str">
        <f t="shared" ca="1" si="20"/>
        <v>EXECUTADA</v>
      </c>
    </row>
    <row r="373" spans="1:19" s="55" customFormat="1" ht="15" customHeight="1" x14ac:dyDescent="0.25">
      <c r="A373" s="64" t="s">
        <v>1696</v>
      </c>
      <c r="B373" s="57" t="s">
        <v>30</v>
      </c>
      <c r="C373" s="58"/>
      <c r="D373" s="53" t="s">
        <v>1308</v>
      </c>
      <c r="E373" s="57">
        <v>34984154353</v>
      </c>
      <c r="F373" s="59">
        <v>46157</v>
      </c>
      <c r="G373" s="51" t="str">
        <f t="shared" si="19"/>
        <v>Sex</v>
      </c>
      <c r="H373" s="60">
        <v>0.54166666666666663</v>
      </c>
      <c r="I373" s="57" t="s">
        <v>46</v>
      </c>
      <c r="J373" s="57" t="s">
        <v>1697</v>
      </c>
      <c r="K373" s="57" t="s">
        <v>1698</v>
      </c>
      <c r="L373" s="53" t="str">
        <f>IF(B373="MUD END","NÃO","SIM")</f>
        <v>SIM</v>
      </c>
      <c r="M373" s="57" t="s">
        <v>1676</v>
      </c>
      <c r="N373" s="57" t="s">
        <v>89</v>
      </c>
      <c r="O373" s="57" t="s">
        <v>72</v>
      </c>
      <c r="P373" s="57" t="s">
        <v>72</v>
      </c>
      <c r="Q373" s="57" t="s">
        <v>1699</v>
      </c>
      <c r="R373" s="57" t="s">
        <v>1700</v>
      </c>
      <c r="S373" s="61" t="str">
        <f t="shared" ca="1" si="20"/>
        <v>EXECUTADA</v>
      </c>
    </row>
    <row r="374" spans="1:19" s="55" customFormat="1" ht="15" customHeight="1" x14ac:dyDescent="0.25">
      <c r="A374" s="188" t="s">
        <v>1468</v>
      </c>
      <c r="B374" s="157" t="s">
        <v>30</v>
      </c>
      <c r="C374" s="158"/>
      <c r="D374" s="163" t="s">
        <v>1691</v>
      </c>
      <c r="E374" s="157">
        <v>34999277788</v>
      </c>
      <c r="F374" s="160">
        <v>46157</v>
      </c>
      <c r="G374" s="161" t="str">
        <f t="shared" si="19"/>
        <v>Sex</v>
      </c>
      <c r="H374" s="162">
        <v>0.625</v>
      </c>
      <c r="I374" s="157" t="s">
        <v>46</v>
      </c>
      <c r="J374" s="157" t="s">
        <v>1469</v>
      </c>
      <c r="K374" s="157" t="s">
        <v>94</v>
      </c>
      <c r="L374" s="163" t="str">
        <f>IF(B374="MUD END","NÃO","SIM")</f>
        <v>SIM</v>
      </c>
      <c r="M374" s="157" t="s">
        <v>1470</v>
      </c>
      <c r="N374" s="157" t="s">
        <v>89</v>
      </c>
      <c r="O374" s="157" t="s">
        <v>72</v>
      </c>
      <c r="P374" s="157" t="s">
        <v>72</v>
      </c>
      <c r="Q374" s="157" t="s">
        <v>1471</v>
      </c>
      <c r="R374" s="157" t="s">
        <v>1472</v>
      </c>
      <c r="S374" s="164" t="str">
        <f t="shared" ca="1" si="20"/>
        <v>EXECUTADA</v>
      </c>
    </row>
    <row r="375" spans="1:19" s="55" customFormat="1" ht="18" x14ac:dyDescent="0.25">
      <c r="A375" s="72" t="s">
        <v>1701</v>
      </c>
      <c r="B375" s="57" t="s">
        <v>30</v>
      </c>
      <c r="C375" s="58"/>
      <c r="D375" s="53" t="s">
        <v>1308</v>
      </c>
      <c r="E375" s="57">
        <v>34996762514</v>
      </c>
      <c r="F375" s="59">
        <v>46157</v>
      </c>
      <c r="G375" s="51" t="str">
        <f t="shared" si="19"/>
        <v>Sex</v>
      </c>
      <c r="H375" s="60">
        <v>0.625</v>
      </c>
      <c r="I375" s="57" t="s">
        <v>46</v>
      </c>
      <c r="J375" s="57" t="s">
        <v>1702</v>
      </c>
      <c r="K375" s="57" t="s">
        <v>87</v>
      </c>
      <c r="L375" s="53" t="str">
        <f>IF(B375="MUD END","NÃO","SIM")</f>
        <v>SIM</v>
      </c>
      <c r="M375" s="57" t="s">
        <v>1703</v>
      </c>
      <c r="N375" s="57" t="s">
        <v>79</v>
      </c>
      <c r="O375" s="57" t="s">
        <v>1704</v>
      </c>
      <c r="P375" s="57" t="s">
        <v>1705</v>
      </c>
      <c r="Q375" s="57" t="s">
        <v>1706</v>
      </c>
      <c r="R375" s="57" t="s">
        <v>1707</v>
      </c>
      <c r="S375" s="61" t="str">
        <f t="shared" ca="1" si="20"/>
        <v>EXECUTADA</v>
      </c>
    </row>
    <row r="376" spans="1:19" s="55" customFormat="1" ht="18" x14ac:dyDescent="0.25">
      <c r="A376" s="72" t="s">
        <v>2774</v>
      </c>
      <c r="B376" s="57" t="s">
        <v>30</v>
      </c>
      <c r="C376" s="58"/>
      <c r="D376" s="53" t="s">
        <v>1708</v>
      </c>
      <c r="E376" s="57">
        <v>68999377781</v>
      </c>
      <c r="F376" s="59">
        <v>46157</v>
      </c>
      <c r="G376" s="51" t="str">
        <f t="shared" si="19"/>
        <v>Sex</v>
      </c>
      <c r="H376" s="60">
        <v>0.70833333333333337</v>
      </c>
      <c r="I376" s="57" t="s">
        <v>46</v>
      </c>
      <c r="J376" s="57" t="s">
        <v>1709</v>
      </c>
      <c r="K376" s="57" t="s">
        <v>107</v>
      </c>
      <c r="L376" s="53" t="str">
        <f>IF(B376="MUD END","NÃO","SIM")</f>
        <v>SIM</v>
      </c>
      <c r="M376" s="57" t="s">
        <v>401</v>
      </c>
      <c r="N376" s="57" t="s">
        <v>79</v>
      </c>
      <c r="O376" s="57" t="s">
        <v>1710</v>
      </c>
      <c r="P376" s="57">
        <v>68999377781</v>
      </c>
      <c r="Q376" s="57" t="s">
        <v>1711</v>
      </c>
      <c r="R376" s="57" t="s">
        <v>2775</v>
      </c>
      <c r="S376" s="61" t="str">
        <f t="shared" ca="1" si="20"/>
        <v>EXECUTADA</v>
      </c>
    </row>
    <row r="377" spans="1:19" s="55" customFormat="1" ht="18" x14ac:dyDescent="0.25">
      <c r="A377" s="72" t="s">
        <v>2776</v>
      </c>
      <c r="B377" s="57" t="s">
        <v>27</v>
      </c>
      <c r="C377" s="58"/>
      <c r="D377" s="53" t="s">
        <v>1308</v>
      </c>
      <c r="E377" s="57"/>
      <c r="F377" s="59">
        <v>46157</v>
      </c>
      <c r="G377" s="51" t="str">
        <f t="shared" si="19"/>
        <v>Sex</v>
      </c>
      <c r="H377" s="60">
        <v>0.35416666666666669</v>
      </c>
      <c r="I377" s="57" t="s">
        <v>46</v>
      </c>
      <c r="J377" s="57" t="s">
        <v>1744</v>
      </c>
      <c r="K377" s="57" t="s">
        <v>71</v>
      </c>
      <c r="L377" s="53" t="str">
        <f>IF(B377="MUD END","NÃO","SIM")</f>
        <v>NÃO</v>
      </c>
      <c r="M377" s="57" t="s">
        <v>72</v>
      </c>
      <c r="N377" s="57" t="s">
        <v>79</v>
      </c>
      <c r="O377" s="57" t="s">
        <v>1745</v>
      </c>
      <c r="P377" s="57">
        <v>34999180073</v>
      </c>
      <c r="Q377" s="57" t="s">
        <v>1746</v>
      </c>
      <c r="R377" s="57" t="s">
        <v>1747</v>
      </c>
      <c r="S377" s="61" t="str">
        <f t="shared" ca="1" si="20"/>
        <v>EXECUTADA</v>
      </c>
    </row>
    <row r="378" spans="1:19" s="165" customFormat="1" ht="15" customHeight="1" x14ac:dyDescent="0.25">
      <c r="A378" s="71" t="s">
        <v>2773</v>
      </c>
      <c r="B378" s="57" t="s">
        <v>27</v>
      </c>
      <c r="C378" s="58" t="s">
        <v>2001</v>
      </c>
      <c r="D378" s="53" t="s">
        <v>1308</v>
      </c>
      <c r="E378" s="57">
        <v>34996458059</v>
      </c>
      <c r="F378" s="59">
        <v>46157</v>
      </c>
      <c r="G378" s="51" t="str">
        <f t="shared" si="19"/>
        <v>Sex</v>
      </c>
      <c r="H378" s="60">
        <v>0.54166666666666663</v>
      </c>
      <c r="I378" s="57" t="s">
        <v>35</v>
      </c>
      <c r="J378" s="57" t="s">
        <v>1693</v>
      </c>
      <c r="K378" s="57" t="s">
        <v>146</v>
      </c>
      <c r="L378" s="53" t="str">
        <f>IF(A378="MUD END","NÃO","SIM")</f>
        <v>SIM</v>
      </c>
      <c r="M378" s="57" t="s">
        <v>72</v>
      </c>
      <c r="N378" s="57" t="s">
        <v>89</v>
      </c>
      <c r="O378" s="57" t="s">
        <v>72</v>
      </c>
      <c r="P378" s="57" t="s">
        <v>72</v>
      </c>
      <c r="Q378" s="57" t="s">
        <v>1694</v>
      </c>
      <c r="R378" s="57" t="s">
        <v>1695</v>
      </c>
      <c r="S378" s="61" t="str">
        <f t="shared" ca="1" si="20"/>
        <v>EXECUTADA</v>
      </c>
    </row>
    <row r="379" spans="1:19" s="55" customFormat="1" ht="15" customHeight="1" x14ac:dyDescent="0.25">
      <c r="A379" s="72" t="s">
        <v>1712</v>
      </c>
      <c r="B379" s="57" t="s">
        <v>27</v>
      </c>
      <c r="C379" s="58"/>
      <c r="D379" s="53" t="s">
        <v>1308</v>
      </c>
      <c r="E379" s="57">
        <v>34984318499</v>
      </c>
      <c r="F379" s="59">
        <v>46158</v>
      </c>
      <c r="G379" s="51" t="str">
        <f t="shared" si="19"/>
        <v>Sáb</v>
      </c>
      <c r="H379" s="60">
        <v>0.33333333333333331</v>
      </c>
      <c r="I379" s="57" t="s">
        <v>42</v>
      </c>
      <c r="J379" s="57" t="s">
        <v>1713</v>
      </c>
      <c r="K379" s="57" t="s">
        <v>87</v>
      </c>
      <c r="L379" s="53" t="str">
        <f t="shared" ref="L379:L400" si="23">IF(B379="MUD END","NÃO","SIM")</f>
        <v>NÃO</v>
      </c>
      <c r="M379" s="57" t="s">
        <v>72</v>
      </c>
      <c r="N379" s="57" t="s">
        <v>89</v>
      </c>
      <c r="O379" s="57" t="s">
        <v>72</v>
      </c>
      <c r="P379" s="57" t="s">
        <v>72</v>
      </c>
      <c r="Q379" s="57" t="s">
        <v>1714</v>
      </c>
      <c r="R379" s="57" t="s">
        <v>1715</v>
      </c>
      <c r="S379" s="61" t="str">
        <f t="shared" ca="1" si="20"/>
        <v>EXECUTADA</v>
      </c>
    </row>
    <row r="380" spans="1:19" s="55" customFormat="1" ht="15" customHeight="1" x14ac:dyDescent="0.25">
      <c r="A380" s="117" t="s">
        <v>1716</v>
      </c>
      <c r="B380" s="57" t="s">
        <v>27</v>
      </c>
      <c r="C380" s="58"/>
      <c r="D380" s="53" t="s">
        <v>1308</v>
      </c>
      <c r="E380" s="57">
        <v>34984396769</v>
      </c>
      <c r="F380" s="59">
        <v>46158</v>
      </c>
      <c r="G380" s="51" t="str">
        <f t="shared" si="19"/>
        <v>Sáb</v>
      </c>
      <c r="H380" s="60">
        <v>0.33333333333333331</v>
      </c>
      <c r="I380" s="57" t="s">
        <v>42</v>
      </c>
      <c r="J380" s="57" t="s">
        <v>1717</v>
      </c>
      <c r="K380" s="57" t="s">
        <v>146</v>
      </c>
      <c r="L380" s="53" t="str">
        <f t="shared" si="23"/>
        <v>NÃO</v>
      </c>
      <c r="M380" s="57" t="s">
        <v>72</v>
      </c>
      <c r="N380" s="57" t="s">
        <v>89</v>
      </c>
      <c r="O380" s="57" t="s">
        <v>72</v>
      </c>
      <c r="P380" s="57" t="s">
        <v>72</v>
      </c>
      <c r="Q380" s="57" t="s">
        <v>1718</v>
      </c>
      <c r="R380" s="57" t="s">
        <v>1719</v>
      </c>
      <c r="S380" s="61" t="str">
        <f t="shared" ca="1" si="20"/>
        <v>EXECUTADA</v>
      </c>
    </row>
    <row r="381" spans="1:19" s="55" customFormat="1" ht="15" customHeight="1" x14ac:dyDescent="0.25">
      <c r="A381" s="117" t="s">
        <v>1720</v>
      </c>
      <c r="B381" s="57" t="s">
        <v>27</v>
      </c>
      <c r="C381" s="58"/>
      <c r="D381" s="53" t="s">
        <v>1308</v>
      </c>
      <c r="E381" s="57">
        <v>34996451475</v>
      </c>
      <c r="F381" s="59">
        <v>46158</v>
      </c>
      <c r="G381" s="51" t="str">
        <f t="shared" si="19"/>
        <v>Sáb</v>
      </c>
      <c r="H381" s="60">
        <v>0.33333333333333331</v>
      </c>
      <c r="I381" s="57" t="s">
        <v>42</v>
      </c>
      <c r="J381" s="57" t="s">
        <v>1721</v>
      </c>
      <c r="K381" s="57" t="s">
        <v>107</v>
      </c>
      <c r="L381" s="53" t="str">
        <f t="shared" si="23"/>
        <v>NÃO</v>
      </c>
      <c r="M381" s="57" t="s">
        <v>72</v>
      </c>
      <c r="N381" s="57" t="s">
        <v>89</v>
      </c>
      <c r="O381" s="57" t="s">
        <v>72</v>
      </c>
      <c r="P381" s="57" t="s">
        <v>72</v>
      </c>
      <c r="Q381" s="57" t="s">
        <v>1722</v>
      </c>
      <c r="R381" s="57" t="s">
        <v>1723</v>
      </c>
      <c r="S381" s="61" t="str">
        <f t="shared" ca="1" si="20"/>
        <v>EXECUTADA</v>
      </c>
    </row>
    <row r="382" spans="1:19" s="55" customFormat="1" ht="18" x14ac:dyDescent="0.25">
      <c r="A382" s="203" t="s">
        <v>2748</v>
      </c>
      <c r="B382" s="157" t="s">
        <v>27</v>
      </c>
      <c r="C382" s="158"/>
      <c r="D382" s="163" t="s">
        <v>1691</v>
      </c>
      <c r="E382" s="157"/>
      <c r="F382" s="160">
        <v>46158</v>
      </c>
      <c r="G382" s="161" t="str">
        <f t="shared" si="19"/>
        <v>Sáb</v>
      </c>
      <c r="H382" s="162">
        <v>0.41666666666666669</v>
      </c>
      <c r="I382" s="157" t="s">
        <v>35</v>
      </c>
      <c r="J382" s="157"/>
      <c r="K382" s="157"/>
      <c r="L382" s="163" t="str">
        <f t="shared" si="23"/>
        <v>NÃO</v>
      </c>
      <c r="M382" s="157"/>
      <c r="N382" s="157"/>
      <c r="O382" s="157"/>
      <c r="P382" s="157"/>
      <c r="Q382" s="157"/>
      <c r="R382" s="157"/>
      <c r="S382" s="164" t="str">
        <f t="shared" ca="1" si="20"/>
        <v>EXECUTADA</v>
      </c>
    </row>
    <row r="383" spans="1:19" s="55" customFormat="1" ht="15" customHeight="1" x14ac:dyDescent="0.25">
      <c r="A383" s="64" t="s">
        <v>2777</v>
      </c>
      <c r="B383" s="57" t="s">
        <v>27</v>
      </c>
      <c r="C383" s="58"/>
      <c r="D383" s="53" t="s">
        <v>1308</v>
      </c>
      <c r="E383" s="57">
        <v>34991316573</v>
      </c>
      <c r="F383" s="59">
        <v>46158</v>
      </c>
      <c r="G383" s="51" t="str">
        <f t="shared" si="19"/>
        <v>Sáb</v>
      </c>
      <c r="H383" s="60">
        <v>0.41666666666666669</v>
      </c>
      <c r="I383" s="57" t="s">
        <v>35</v>
      </c>
      <c r="J383" s="57" t="s">
        <v>1724</v>
      </c>
      <c r="K383" s="57" t="s">
        <v>71</v>
      </c>
      <c r="L383" s="163" t="str">
        <f t="shared" si="23"/>
        <v>NÃO</v>
      </c>
      <c r="M383" s="57" t="s">
        <v>72</v>
      </c>
      <c r="N383" s="57" t="s">
        <v>89</v>
      </c>
      <c r="O383" s="57" t="s">
        <v>72</v>
      </c>
      <c r="P383" s="57" t="s">
        <v>72</v>
      </c>
      <c r="Q383" s="57" t="s">
        <v>1725</v>
      </c>
      <c r="R383" s="57" t="s">
        <v>2778</v>
      </c>
      <c r="S383" s="61" t="str">
        <f t="shared" ca="1" si="20"/>
        <v>EXECUTADA</v>
      </c>
    </row>
    <row r="384" spans="1:19" s="55" customFormat="1" ht="18" x14ac:dyDescent="0.25">
      <c r="A384" s="64" t="s">
        <v>1726</v>
      </c>
      <c r="B384" s="57" t="s">
        <v>30</v>
      </c>
      <c r="C384" s="58"/>
      <c r="D384" s="53" t="s">
        <v>1727</v>
      </c>
      <c r="E384" s="57" t="s">
        <v>1728</v>
      </c>
      <c r="F384" s="59">
        <v>46158</v>
      </c>
      <c r="G384" s="51" t="str">
        <f t="shared" si="19"/>
        <v>Sáb</v>
      </c>
      <c r="H384" s="60" t="s">
        <v>183</v>
      </c>
      <c r="I384" s="57" t="s">
        <v>46</v>
      </c>
      <c r="J384" s="57" t="s">
        <v>1729</v>
      </c>
      <c r="K384" s="57" t="s">
        <v>566</v>
      </c>
      <c r="L384" s="53" t="str">
        <f t="shared" si="23"/>
        <v>SIM</v>
      </c>
      <c r="M384" s="57" t="s">
        <v>1730</v>
      </c>
      <c r="N384" s="57"/>
      <c r="O384" s="57" t="s">
        <v>1731</v>
      </c>
      <c r="P384" s="57" t="s">
        <v>1732</v>
      </c>
      <c r="Q384" s="57" t="s">
        <v>1733</v>
      </c>
      <c r="R384" s="57" t="s">
        <v>1734</v>
      </c>
      <c r="S384" s="61" t="str">
        <f t="shared" ca="1" si="20"/>
        <v>EXECUTADA</v>
      </c>
    </row>
    <row r="385" spans="1:19" s="55" customFormat="1" ht="15" customHeight="1" x14ac:dyDescent="0.25">
      <c r="A385" s="64" t="s">
        <v>1735</v>
      </c>
      <c r="B385" s="57" t="s">
        <v>30</v>
      </c>
      <c r="C385" s="58"/>
      <c r="D385" s="53" t="s">
        <v>1308</v>
      </c>
      <c r="E385" s="57">
        <v>34992598023</v>
      </c>
      <c r="F385" s="59">
        <v>46158</v>
      </c>
      <c r="G385" s="51" t="str">
        <f t="shared" si="19"/>
        <v>Sáb</v>
      </c>
      <c r="H385" s="60" t="s">
        <v>183</v>
      </c>
      <c r="I385" s="57" t="s">
        <v>46</v>
      </c>
      <c r="J385" s="57" t="s">
        <v>1736</v>
      </c>
      <c r="K385" s="57" t="s">
        <v>87</v>
      </c>
      <c r="L385" s="53" t="str">
        <f t="shared" si="23"/>
        <v>SIM</v>
      </c>
      <c r="M385" s="57" t="s">
        <v>684</v>
      </c>
      <c r="N385" s="57" t="s">
        <v>89</v>
      </c>
      <c r="O385" s="57" t="s">
        <v>72</v>
      </c>
      <c r="P385" s="57" t="s">
        <v>72</v>
      </c>
      <c r="Q385" s="57" t="s">
        <v>1737</v>
      </c>
      <c r="R385" s="57" t="s">
        <v>1738</v>
      </c>
      <c r="S385" s="61" t="str">
        <f t="shared" ca="1" si="20"/>
        <v>EXECUTADA</v>
      </c>
    </row>
    <row r="386" spans="1:19" s="55" customFormat="1" ht="18" x14ac:dyDescent="0.25">
      <c r="A386" s="64" t="s">
        <v>1748</v>
      </c>
      <c r="B386" s="57" t="s">
        <v>30</v>
      </c>
      <c r="C386" s="58"/>
      <c r="D386" s="53" t="s">
        <v>1749</v>
      </c>
      <c r="E386" s="57">
        <v>34991531123</v>
      </c>
      <c r="F386" s="59">
        <v>46160</v>
      </c>
      <c r="G386" s="51" t="str">
        <f t="shared" ref="G386:G449" si="24">PROPER(TEXT(F386,"DDD"))</f>
        <v>Seg</v>
      </c>
      <c r="H386" s="60">
        <v>0.33333333333333331</v>
      </c>
      <c r="I386" s="57" t="s">
        <v>46</v>
      </c>
      <c r="J386" s="57" t="s">
        <v>1750</v>
      </c>
      <c r="K386" s="57" t="s">
        <v>162</v>
      </c>
      <c r="L386" s="53" t="str">
        <f t="shared" si="23"/>
        <v>SIM</v>
      </c>
      <c r="M386" s="57" t="s">
        <v>1751</v>
      </c>
      <c r="N386" s="57" t="s">
        <v>79</v>
      </c>
      <c r="O386" s="115" t="s">
        <v>1752</v>
      </c>
      <c r="P386" s="115" t="s">
        <v>1753</v>
      </c>
      <c r="Q386" s="57" t="s">
        <v>1754</v>
      </c>
      <c r="R386" s="57" t="s">
        <v>2779</v>
      </c>
      <c r="S386" s="61" t="str">
        <f t="shared" ref="S386:S449" ca="1" si="25">IF(F386&lt;TODAY(),"EXECUTADA",IF(F386=TODAY(),"EM EXECUÇÃO",IF(F386=TODAY()+1,"VALIDAR HOJE",IF(F386&gt;TODAY()+1,"VALIDAR DEPOIS","-"))))</f>
        <v>EXECUTADA</v>
      </c>
    </row>
    <row r="387" spans="1:19" s="55" customFormat="1" ht="15" customHeight="1" x14ac:dyDescent="0.25">
      <c r="A387" s="72" t="s">
        <v>1755</v>
      </c>
      <c r="B387" s="57" t="s">
        <v>30</v>
      </c>
      <c r="C387" s="58"/>
      <c r="D387" s="53" t="s">
        <v>1308</v>
      </c>
      <c r="E387" s="57">
        <v>34992133858</v>
      </c>
      <c r="F387" s="59">
        <v>46160</v>
      </c>
      <c r="G387" s="51" t="str">
        <f t="shared" si="24"/>
        <v>Seg</v>
      </c>
      <c r="H387" s="60">
        <v>0.41666666666666669</v>
      </c>
      <c r="I387" s="57" t="s">
        <v>46</v>
      </c>
      <c r="J387" s="57" t="s">
        <v>1756</v>
      </c>
      <c r="K387" s="57" t="s">
        <v>87</v>
      </c>
      <c r="L387" s="53" t="str">
        <f t="shared" si="23"/>
        <v>SIM</v>
      </c>
      <c r="M387" s="57" t="s">
        <v>1757</v>
      </c>
      <c r="N387" s="57" t="s">
        <v>89</v>
      </c>
      <c r="O387" s="57" t="s">
        <v>72</v>
      </c>
      <c r="P387" s="57" t="s">
        <v>72</v>
      </c>
      <c r="Q387" s="57" t="s">
        <v>1758</v>
      </c>
      <c r="R387" s="57" t="s">
        <v>1759</v>
      </c>
      <c r="S387" s="61" t="str">
        <f t="shared" ca="1" si="25"/>
        <v>EXECUTADA</v>
      </c>
    </row>
    <row r="388" spans="1:19" s="55" customFormat="1" ht="15" customHeight="1" x14ac:dyDescent="0.25">
      <c r="A388" s="64" t="s">
        <v>1760</v>
      </c>
      <c r="B388" s="57" t="s">
        <v>30</v>
      </c>
      <c r="C388" s="58"/>
      <c r="D388" s="53" t="s">
        <v>1308</v>
      </c>
      <c r="E388" s="57">
        <v>34992014660</v>
      </c>
      <c r="F388" s="59">
        <v>46160</v>
      </c>
      <c r="G388" s="51" t="str">
        <f t="shared" si="24"/>
        <v>Seg</v>
      </c>
      <c r="H388" s="60">
        <v>0.41666666666666669</v>
      </c>
      <c r="I388" s="57" t="s">
        <v>46</v>
      </c>
      <c r="J388" s="57" t="s">
        <v>1761</v>
      </c>
      <c r="K388" s="57" t="s">
        <v>87</v>
      </c>
      <c r="L388" s="53" t="str">
        <f t="shared" si="23"/>
        <v>SIM</v>
      </c>
      <c r="M388" s="57" t="s">
        <v>1762</v>
      </c>
      <c r="N388" s="57" t="s">
        <v>89</v>
      </c>
      <c r="O388" s="57" t="s">
        <v>72</v>
      </c>
      <c r="P388" s="57" t="s">
        <v>72</v>
      </c>
      <c r="Q388" s="57" t="s">
        <v>1763</v>
      </c>
      <c r="R388" s="57" t="s">
        <v>1764</v>
      </c>
      <c r="S388" s="61" t="str">
        <f t="shared" ca="1" si="25"/>
        <v>EXECUTADA</v>
      </c>
    </row>
    <row r="389" spans="1:19" s="55" customFormat="1" ht="18" x14ac:dyDescent="0.25">
      <c r="A389" s="64" t="s">
        <v>2780</v>
      </c>
      <c r="B389" s="57" t="s">
        <v>27</v>
      </c>
      <c r="C389" s="58"/>
      <c r="D389" s="53" t="s">
        <v>1308</v>
      </c>
      <c r="E389" s="57">
        <v>34996709577</v>
      </c>
      <c r="F389" s="59">
        <v>46160</v>
      </c>
      <c r="G389" s="51" t="str">
        <f t="shared" si="24"/>
        <v>Seg</v>
      </c>
      <c r="H389" s="60">
        <v>0.54166666666666663</v>
      </c>
      <c r="I389" s="57" t="s">
        <v>42</v>
      </c>
      <c r="J389" s="57" t="s">
        <v>1765</v>
      </c>
      <c r="K389" s="57" t="s">
        <v>1766</v>
      </c>
      <c r="L389" s="53" t="str">
        <f t="shared" si="23"/>
        <v>NÃO</v>
      </c>
      <c r="M389" s="57" t="s">
        <v>72</v>
      </c>
      <c r="N389" s="57" t="s">
        <v>79</v>
      </c>
      <c r="O389" s="57" t="s">
        <v>1767</v>
      </c>
      <c r="P389" s="57" t="s">
        <v>1768</v>
      </c>
      <c r="Q389" s="57" t="s">
        <v>1769</v>
      </c>
      <c r="R389" s="57" t="s">
        <v>2781</v>
      </c>
      <c r="S389" s="61" t="str">
        <f t="shared" ca="1" si="25"/>
        <v>EXECUTADA</v>
      </c>
    </row>
    <row r="390" spans="1:19" s="55" customFormat="1" ht="15" customHeight="1" x14ac:dyDescent="0.25">
      <c r="A390" s="151" t="s">
        <v>2782</v>
      </c>
      <c r="B390" s="57" t="s">
        <v>27</v>
      </c>
      <c r="C390" s="58"/>
      <c r="D390" s="53" t="s">
        <v>1308</v>
      </c>
      <c r="E390" s="57">
        <v>34996959452</v>
      </c>
      <c r="F390" s="59">
        <v>46160</v>
      </c>
      <c r="G390" s="51" t="str">
        <f t="shared" si="24"/>
        <v>Seg</v>
      </c>
      <c r="H390" s="60">
        <v>0.54166666666666663</v>
      </c>
      <c r="I390" s="57" t="s">
        <v>42</v>
      </c>
      <c r="J390" s="57" t="s">
        <v>1770</v>
      </c>
      <c r="K390" s="57" t="s">
        <v>71</v>
      </c>
      <c r="L390" s="53" t="str">
        <f t="shared" si="23"/>
        <v>NÃO</v>
      </c>
      <c r="M390" s="57" t="s">
        <v>72</v>
      </c>
      <c r="N390" s="57" t="s">
        <v>89</v>
      </c>
      <c r="O390" s="57" t="s">
        <v>72</v>
      </c>
      <c r="P390" s="57" t="s">
        <v>72</v>
      </c>
      <c r="Q390" s="57" t="s">
        <v>1771</v>
      </c>
      <c r="R390" s="57" t="s">
        <v>1772</v>
      </c>
      <c r="S390" s="61" t="str">
        <f t="shared" ca="1" si="25"/>
        <v>EXECUTADA</v>
      </c>
    </row>
    <row r="391" spans="1:19" s="55" customFormat="1" ht="18" x14ac:dyDescent="0.25">
      <c r="A391" s="64" t="s">
        <v>2783</v>
      </c>
      <c r="B391" s="57" t="s">
        <v>30</v>
      </c>
      <c r="C391" s="58"/>
      <c r="D391" s="53" t="s">
        <v>1773</v>
      </c>
      <c r="E391" s="57">
        <v>34996928238</v>
      </c>
      <c r="F391" s="59">
        <v>46160</v>
      </c>
      <c r="G391" s="51" t="str">
        <f t="shared" si="24"/>
        <v>Seg</v>
      </c>
      <c r="H391" s="60">
        <v>0.625</v>
      </c>
      <c r="I391" s="57" t="s">
        <v>46</v>
      </c>
      <c r="J391" s="57" t="s">
        <v>1774</v>
      </c>
      <c r="K391" s="57" t="s">
        <v>146</v>
      </c>
      <c r="L391" s="53" t="str">
        <f t="shared" si="23"/>
        <v>SIM</v>
      </c>
      <c r="M391" s="57" t="s">
        <v>1085</v>
      </c>
      <c r="N391" s="57" t="s">
        <v>89</v>
      </c>
      <c r="O391" s="57" t="s">
        <v>1775</v>
      </c>
      <c r="P391" s="57" t="s">
        <v>72</v>
      </c>
      <c r="Q391" s="57" t="s">
        <v>1776</v>
      </c>
      <c r="R391" s="57" t="s">
        <v>1777</v>
      </c>
      <c r="S391" s="61" t="str">
        <f t="shared" ca="1" si="25"/>
        <v>EXECUTADA</v>
      </c>
    </row>
    <row r="392" spans="1:19" s="180" customFormat="1" ht="18.75" thickBot="1" x14ac:dyDescent="0.3">
      <c r="A392" s="172" t="s">
        <v>1778</v>
      </c>
      <c r="B392" s="173" t="s">
        <v>27</v>
      </c>
      <c r="C392" s="174"/>
      <c r="D392" s="53" t="s">
        <v>1308</v>
      </c>
      <c r="E392" s="173">
        <v>34991879387</v>
      </c>
      <c r="F392" s="176">
        <v>46160</v>
      </c>
      <c r="G392" s="177" t="str">
        <f t="shared" si="24"/>
        <v>Seg</v>
      </c>
      <c r="H392" s="178">
        <v>0.625</v>
      </c>
      <c r="I392" s="173" t="s">
        <v>42</v>
      </c>
      <c r="J392" s="173" t="s">
        <v>1779</v>
      </c>
      <c r="K392" s="173" t="s">
        <v>87</v>
      </c>
      <c r="L392" s="175" t="str">
        <f t="shared" si="23"/>
        <v>NÃO</v>
      </c>
      <c r="M392" s="173" t="s">
        <v>72</v>
      </c>
      <c r="N392" s="173" t="s">
        <v>79</v>
      </c>
      <c r="O392" s="173" t="s">
        <v>1780</v>
      </c>
      <c r="P392" s="173">
        <v>64996608141</v>
      </c>
      <c r="Q392" s="204" t="s">
        <v>1781</v>
      </c>
      <c r="R392" s="173" t="s">
        <v>1782</v>
      </c>
      <c r="S392" s="179" t="str">
        <f t="shared" ca="1" si="25"/>
        <v>EXECUTADA</v>
      </c>
    </row>
    <row r="393" spans="1:19" s="55" customFormat="1" ht="18.75" thickTop="1" x14ac:dyDescent="0.25">
      <c r="A393" s="169" t="s">
        <v>1783</v>
      </c>
      <c r="B393" s="61" t="s">
        <v>27</v>
      </c>
      <c r="C393" s="198"/>
      <c r="D393" s="182" t="s">
        <v>1308</v>
      </c>
      <c r="E393" s="61">
        <v>34996553766</v>
      </c>
      <c r="F393" s="183">
        <v>46160</v>
      </c>
      <c r="G393" s="51" t="str">
        <f t="shared" si="24"/>
        <v>Seg</v>
      </c>
      <c r="H393" s="144">
        <v>0.70833333333333337</v>
      </c>
      <c r="I393" s="61" t="s">
        <v>42</v>
      </c>
      <c r="J393" s="61" t="s">
        <v>1556</v>
      </c>
      <c r="K393" s="61" t="s">
        <v>71</v>
      </c>
      <c r="L393" s="182" t="str">
        <f t="shared" si="23"/>
        <v>NÃO</v>
      </c>
      <c r="M393" s="61" t="s">
        <v>72</v>
      </c>
      <c r="N393" s="61" t="s">
        <v>79</v>
      </c>
      <c r="O393" s="61" t="s">
        <v>1784</v>
      </c>
      <c r="P393" s="61" t="s">
        <v>1785</v>
      </c>
      <c r="Q393" s="61" t="s">
        <v>1786</v>
      </c>
      <c r="R393" s="61" t="s">
        <v>1787</v>
      </c>
      <c r="S393" s="61" t="str">
        <f t="shared" ca="1" si="25"/>
        <v>EXECUTADA</v>
      </c>
    </row>
    <row r="394" spans="1:19" s="81" customFormat="1" ht="18" x14ac:dyDescent="0.25">
      <c r="A394" s="64" t="s">
        <v>2784</v>
      </c>
      <c r="B394" s="61" t="s">
        <v>27</v>
      </c>
      <c r="C394" s="58"/>
      <c r="D394" s="53" t="s">
        <v>1308</v>
      </c>
      <c r="E394" s="57">
        <v>34991344042</v>
      </c>
      <c r="F394" s="59">
        <v>46160</v>
      </c>
      <c r="G394" s="51" t="str">
        <f t="shared" si="24"/>
        <v>Seg</v>
      </c>
      <c r="H394" s="144">
        <v>0.70833333333333337</v>
      </c>
      <c r="I394" s="57" t="s">
        <v>42</v>
      </c>
      <c r="J394" s="57" t="s">
        <v>1788</v>
      </c>
      <c r="K394" s="57" t="s">
        <v>87</v>
      </c>
      <c r="L394" s="53" t="str">
        <f t="shared" si="23"/>
        <v>NÃO</v>
      </c>
      <c r="M394" s="57" t="s">
        <v>72</v>
      </c>
      <c r="N394" s="57" t="s">
        <v>89</v>
      </c>
      <c r="O394" s="57" t="s">
        <v>72</v>
      </c>
      <c r="P394" s="57" t="s">
        <v>72</v>
      </c>
      <c r="Q394" s="57" t="s">
        <v>1789</v>
      </c>
      <c r="R394" s="57" t="s">
        <v>1790</v>
      </c>
      <c r="S394" s="61" t="str">
        <f t="shared" ca="1" si="25"/>
        <v>EXECUTADA</v>
      </c>
    </row>
    <row r="395" spans="1:19" s="55" customFormat="1" ht="18" x14ac:dyDescent="0.25">
      <c r="A395" s="64" t="s">
        <v>2785</v>
      </c>
      <c r="B395" s="61" t="s">
        <v>27</v>
      </c>
      <c r="C395" s="58"/>
      <c r="D395" s="53" t="s">
        <v>1308</v>
      </c>
      <c r="E395" s="57">
        <v>34991047938</v>
      </c>
      <c r="F395" s="59">
        <v>46161</v>
      </c>
      <c r="G395" s="51" t="str">
        <f t="shared" si="24"/>
        <v>Ter</v>
      </c>
      <c r="H395" s="60">
        <v>0.33333333333333331</v>
      </c>
      <c r="I395" s="57" t="s">
        <v>42</v>
      </c>
      <c r="J395" s="57" t="s">
        <v>1791</v>
      </c>
      <c r="K395" s="57" t="s">
        <v>71</v>
      </c>
      <c r="L395" s="53" t="str">
        <f t="shared" si="23"/>
        <v>NÃO</v>
      </c>
      <c r="M395" s="57" t="s">
        <v>72</v>
      </c>
      <c r="N395" s="57" t="s">
        <v>89</v>
      </c>
      <c r="O395" s="57" t="s">
        <v>72</v>
      </c>
      <c r="P395" s="57" t="s">
        <v>72</v>
      </c>
      <c r="Q395" s="57" t="s">
        <v>1792</v>
      </c>
      <c r="R395" s="57" t="s">
        <v>1793</v>
      </c>
      <c r="S395" s="61" t="str">
        <f t="shared" ca="1" si="25"/>
        <v>EXECUTADA</v>
      </c>
    </row>
    <row r="396" spans="1:19" s="165" customFormat="1" ht="15" customHeight="1" x14ac:dyDescent="0.25">
      <c r="A396" s="152" t="s">
        <v>2786</v>
      </c>
      <c r="B396" s="38" t="s">
        <v>27</v>
      </c>
      <c r="C396" s="39"/>
      <c r="D396" s="40" t="s">
        <v>1794</v>
      </c>
      <c r="E396" s="38">
        <v>34984085999</v>
      </c>
      <c r="F396" s="41">
        <v>46161</v>
      </c>
      <c r="G396" s="42" t="str">
        <f t="shared" si="24"/>
        <v>Ter</v>
      </c>
      <c r="H396" s="43">
        <v>0.33333333333333331</v>
      </c>
      <c r="I396" s="38" t="s">
        <v>35</v>
      </c>
      <c r="J396" s="38" t="s">
        <v>1795</v>
      </c>
      <c r="K396" s="38" t="s">
        <v>1796</v>
      </c>
      <c r="L396" s="40" t="str">
        <f t="shared" si="23"/>
        <v>NÃO</v>
      </c>
      <c r="M396" s="38" t="s">
        <v>72</v>
      </c>
      <c r="N396" s="38" t="s">
        <v>89</v>
      </c>
      <c r="O396" s="38" t="s">
        <v>1797</v>
      </c>
      <c r="P396" s="38">
        <v>34996508090</v>
      </c>
      <c r="Q396" s="38" t="s">
        <v>208</v>
      </c>
      <c r="R396" s="38"/>
      <c r="S396" s="44" t="str">
        <f t="shared" ca="1" si="25"/>
        <v>EXECUTADA</v>
      </c>
    </row>
    <row r="397" spans="1:19" s="55" customFormat="1" ht="15" customHeight="1" x14ac:dyDescent="0.25">
      <c r="A397" s="64" t="s">
        <v>2787</v>
      </c>
      <c r="B397" s="57" t="s">
        <v>27</v>
      </c>
      <c r="C397" s="58"/>
      <c r="D397" s="53" t="s">
        <v>1798</v>
      </c>
      <c r="E397" s="57">
        <v>34984234468</v>
      </c>
      <c r="F397" s="59">
        <v>46161</v>
      </c>
      <c r="G397" s="51" t="str">
        <f t="shared" si="24"/>
        <v>Ter</v>
      </c>
      <c r="H397" s="60">
        <v>0.41666666666666669</v>
      </c>
      <c r="I397" s="57" t="s">
        <v>42</v>
      </c>
      <c r="J397" s="57" t="s">
        <v>1799</v>
      </c>
      <c r="K397" s="57" t="s">
        <v>146</v>
      </c>
      <c r="L397" s="53" t="str">
        <f t="shared" si="23"/>
        <v>NÃO</v>
      </c>
      <c r="M397" s="57" t="s">
        <v>72</v>
      </c>
      <c r="N397" s="57" t="s">
        <v>89</v>
      </c>
      <c r="O397" s="57" t="s">
        <v>72</v>
      </c>
      <c r="P397" s="57" t="s">
        <v>72</v>
      </c>
      <c r="Q397" s="57" t="s">
        <v>1800</v>
      </c>
      <c r="R397" s="57" t="s">
        <v>1801</v>
      </c>
      <c r="S397" s="61" t="str">
        <f t="shared" ca="1" si="25"/>
        <v>EXECUTADA</v>
      </c>
    </row>
    <row r="398" spans="1:19" s="55" customFormat="1" ht="15" customHeight="1" x14ac:dyDescent="0.25">
      <c r="A398" s="205" t="s">
        <v>2788</v>
      </c>
      <c r="B398" s="157" t="s">
        <v>289</v>
      </c>
      <c r="C398" s="158"/>
      <c r="D398" s="163" t="s">
        <v>1691</v>
      </c>
      <c r="E398" s="157"/>
      <c r="F398" s="160">
        <v>46161</v>
      </c>
      <c r="G398" s="161" t="str">
        <f t="shared" si="24"/>
        <v>Ter</v>
      </c>
      <c r="H398" s="162">
        <v>0.41666666666666669</v>
      </c>
      <c r="I398" s="157"/>
      <c r="J398" s="157"/>
      <c r="K398" s="157"/>
      <c r="L398" s="163" t="str">
        <f t="shared" si="23"/>
        <v>SIM</v>
      </c>
      <c r="M398" s="157"/>
      <c r="N398" s="157"/>
      <c r="O398" s="157"/>
      <c r="P398" s="157"/>
      <c r="Q398" s="157"/>
      <c r="R398" s="157"/>
      <c r="S398" s="164" t="str">
        <f t="shared" ca="1" si="25"/>
        <v>EXECUTADA</v>
      </c>
    </row>
    <row r="399" spans="1:19" s="55" customFormat="1" ht="18" x14ac:dyDescent="0.25">
      <c r="A399" s="206" t="s">
        <v>1802</v>
      </c>
      <c r="B399" s="57" t="s">
        <v>30</v>
      </c>
      <c r="C399" s="58"/>
      <c r="D399" s="53" t="s">
        <v>1308</v>
      </c>
      <c r="E399" s="57">
        <v>34991776148</v>
      </c>
      <c r="F399" s="59">
        <v>46161</v>
      </c>
      <c r="G399" s="51" t="str">
        <f t="shared" si="24"/>
        <v>Ter</v>
      </c>
      <c r="H399" s="60">
        <v>0.41666666666666669</v>
      </c>
      <c r="I399" s="57" t="s">
        <v>46</v>
      </c>
      <c r="J399" s="57" t="s">
        <v>1803</v>
      </c>
      <c r="K399" s="57" t="s">
        <v>100</v>
      </c>
      <c r="L399" s="53" t="str">
        <f t="shared" si="23"/>
        <v>SIM</v>
      </c>
      <c r="M399" s="57" t="s">
        <v>1804</v>
      </c>
      <c r="N399" s="57" t="s">
        <v>89</v>
      </c>
      <c r="O399" s="57" t="s">
        <v>72</v>
      </c>
      <c r="P399" s="57" t="s">
        <v>72</v>
      </c>
      <c r="Q399" s="57" t="s">
        <v>1805</v>
      </c>
      <c r="R399" s="57" t="s">
        <v>1806</v>
      </c>
      <c r="S399" s="61" t="str">
        <f t="shared" ca="1" si="25"/>
        <v>EXECUTADA</v>
      </c>
    </row>
    <row r="400" spans="1:19" s="55" customFormat="1" ht="18" x14ac:dyDescent="0.25">
      <c r="A400" s="64" t="s">
        <v>1807</v>
      </c>
      <c r="B400" s="57" t="s">
        <v>30</v>
      </c>
      <c r="C400" s="58"/>
      <c r="D400" s="53" t="s">
        <v>1808</v>
      </c>
      <c r="E400" s="57">
        <v>34996572961</v>
      </c>
      <c r="F400" s="183">
        <v>46161</v>
      </c>
      <c r="G400" s="51" t="str">
        <f t="shared" si="24"/>
        <v>Ter</v>
      </c>
      <c r="H400" s="60">
        <v>0.54166666666666663</v>
      </c>
      <c r="I400" s="57" t="s">
        <v>46</v>
      </c>
      <c r="J400" s="57" t="s">
        <v>1489</v>
      </c>
      <c r="K400" s="57"/>
      <c r="L400" s="53" t="str">
        <f t="shared" si="23"/>
        <v>SIM</v>
      </c>
      <c r="M400" s="57" t="s">
        <v>1490</v>
      </c>
      <c r="N400" s="57"/>
      <c r="O400" s="57"/>
      <c r="P400" s="57"/>
      <c r="Q400" s="57" t="s">
        <v>1809</v>
      </c>
      <c r="R400" s="57" t="s">
        <v>1492</v>
      </c>
      <c r="S400" s="61" t="str">
        <f t="shared" ca="1" si="25"/>
        <v>EXECUTADA</v>
      </c>
    </row>
    <row r="401" spans="1:19" s="55" customFormat="1" ht="15" customHeight="1" x14ac:dyDescent="0.25">
      <c r="A401" s="120" t="s">
        <v>2789</v>
      </c>
      <c r="B401" s="57" t="s">
        <v>30</v>
      </c>
      <c r="C401" s="58"/>
      <c r="D401" s="53" t="s">
        <v>1308</v>
      </c>
      <c r="E401" s="57" t="s">
        <v>1810</v>
      </c>
      <c r="F401" s="183">
        <v>46161</v>
      </c>
      <c r="G401" s="51" t="str">
        <f t="shared" si="24"/>
        <v>Ter</v>
      </c>
      <c r="H401" s="60">
        <v>0.54166666666666663</v>
      </c>
      <c r="I401" s="57" t="s">
        <v>46</v>
      </c>
      <c r="J401" s="57" t="s">
        <v>1811</v>
      </c>
      <c r="K401" s="57" t="s">
        <v>100</v>
      </c>
      <c r="L401" s="53" t="str">
        <f>IF(A401="MUD END","NÃO","SIM")</f>
        <v>SIM</v>
      </c>
      <c r="M401" s="57" t="s">
        <v>1812</v>
      </c>
      <c r="N401" s="57" t="s">
        <v>89</v>
      </c>
      <c r="O401" s="57" t="s">
        <v>1813</v>
      </c>
      <c r="P401" s="57">
        <v>34999467023</v>
      </c>
      <c r="Q401" s="57" t="s">
        <v>1814</v>
      </c>
      <c r="R401" s="57" t="s">
        <v>1815</v>
      </c>
      <c r="S401" s="61" t="str">
        <f t="shared" ca="1" si="25"/>
        <v>EXECUTADA</v>
      </c>
    </row>
    <row r="402" spans="1:19" s="55" customFormat="1" ht="15" customHeight="1" x14ac:dyDescent="0.25">
      <c r="A402" s="64" t="s">
        <v>1816</v>
      </c>
      <c r="B402" s="57" t="s">
        <v>30</v>
      </c>
      <c r="C402" s="58"/>
      <c r="D402" s="53" t="s">
        <v>1817</v>
      </c>
      <c r="E402" s="57">
        <v>82981846086</v>
      </c>
      <c r="F402" s="183">
        <v>46161</v>
      </c>
      <c r="G402" s="51" t="str">
        <f t="shared" si="24"/>
        <v>Ter</v>
      </c>
      <c r="H402" s="60">
        <v>0.625</v>
      </c>
      <c r="I402" s="57" t="s">
        <v>46</v>
      </c>
      <c r="J402" s="57" t="s">
        <v>1818</v>
      </c>
      <c r="K402" s="57" t="s">
        <v>162</v>
      </c>
      <c r="L402" s="53" t="str">
        <f t="shared" ref="L402:L409" si="26">IF(B402="MUD END","NÃO","SIM")</f>
        <v>SIM</v>
      </c>
      <c r="M402" s="57" t="s">
        <v>1819</v>
      </c>
      <c r="N402" s="57" t="s">
        <v>89</v>
      </c>
      <c r="O402" s="57" t="s">
        <v>72</v>
      </c>
      <c r="P402" s="57" t="s">
        <v>72</v>
      </c>
      <c r="Q402" s="57" t="s">
        <v>208</v>
      </c>
      <c r="R402" s="57"/>
      <c r="S402" s="61" t="str">
        <f t="shared" ca="1" si="25"/>
        <v>EXECUTADA</v>
      </c>
    </row>
    <row r="403" spans="1:19" s="55" customFormat="1" ht="18" x14ac:dyDescent="0.25">
      <c r="A403" s="64" t="s">
        <v>2790</v>
      </c>
      <c r="B403" s="57" t="s">
        <v>30</v>
      </c>
      <c r="C403" s="58"/>
      <c r="D403" s="53" t="s">
        <v>1308</v>
      </c>
      <c r="E403" s="57">
        <v>34987212935</v>
      </c>
      <c r="F403" s="183">
        <v>46161</v>
      </c>
      <c r="G403" s="51" t="str">
        <f t="shared" si="24"/>
        <v>Ter</v>
      </c>
      <c r="H403" s="60">
        <v>0.625</v>
      </c>
      <c r="I403" s="57" t="s">
        <v>46</v>
      </c>
      <c r="J403" s="57" t="s">
        <v>1820</v>
      </c>
      <c r="K403" s="57" t="s">
        <v>87</v>
      </c>
      <c r="L403" s="53" t="str">
        <f t="shared" si="26"/>
        <v>SIM</v>
      </c>
      <c r="M403" s="57" t="s">
        <v>1821</v>
      </c>
      <c r="N403" s="57" t="s">
        <v>79</v>
      </c>
      <c r="O403" s="57" t="s">
        <v>1822</v>
      </c>
      <c r="P403" s="57" t="s">
        <v>1823</v>
      </c>
      <c r="Q403" s="57" t="s">
        <v>1824</v>
      </c>
      <c r="R403" s="57" t="s">
        <v>1825</v>
      </c>
      <c r="S403" s="61" t="str">
        <f t="shared" ca="1" si="25"/>
        <v>EXECUTADA</v>
      </c>
    </row>
    <row r="404" spans="1:19" s="55" customFormat="1" ht="15" customHeight="1" x14ac:dyDescent="0.25">
      <c r="A404" s="151" t="s">
        <v>2791</v>
      </c>
      <c r="B404" s="57" t="s">
        <v>30</v>
      </c>
      <c r="C404" s="58"/>
      <c r="D404" s="53" t="s">
        <v>1308</v>
      </c>
      <c r="E404" s="57" t="s">
        <v>1826</v>
      </c>
      <c r="F404" s="59">
        <v>46161</v>
      </c>
      <c r="G404" s="51" t="str">
        <f t="shared" si="24"/>
        <v>Ter</v>
      </c>
      <c r="H404" s="60">
        <v>0.625</v>
      </c>
      <c r="I404" s="57" t="s">
        <v>46</v>
      </c>
      <c r="J404" s="57" t="s">
        <v>1827</v>
      </c>
      <c r="K404" s="57" t="s">
        <v>107</v>
      </c>
      <c r="L404" s="53" t="str">
        <f t="shared" si="26"/>
        <v>SIM</v>
      </c>
      <c r="M404" s="57" t="s">
        <v>214</v>
      </c>
      <c r="N404" s="57" t="s">
        <v>79</v>
      </c>
      <c r="O404" s="57" t="s">
        <v>1828</v>
      </c>
      <c r="P404" s="57">
        <v>34991271797</v>
      </c>
      <c r="Q404" s="57" t="s">
        <v>1829</v>
      </c>
      <c r="R404" s="57" t="s">
        <v>2792</v>
      </c>
      <c r="S404" s="61" t="str">
        <f t="shared" ca="1" si="25"/>
        <v>EXECUTADA</v>
      </c>
    </row>
    <row r="405" spans="1:19" s="55" customFormat="1" ht="18" x14ac:dyDescent="0.25">
      <c r="A405" s="64" t="s">
        <v>2793</v>
      </c>
      <c r="B405" s="57" t="s">
        <v>30</v>
      </c>
      <c r="C405" s="58"/>
      <c r="D405" s="53" t="s">
        <v>1308</v>
      </c>
      <c r="E405" s="57">
        <v>34999122535</v>
      </c>
      <c r="F405" s="59">
        <v>46161</v>
      </c>
      <c r="G405" s="51" t="str">
        <f t="shared" si="24"/>
        <v>Ter</v>
      </c>
      <c r="H405" s="60">
        <v>0.70833333333333337</v>
      </c>
      <c r="I405" s="57" t="s">
        <v>46</v>
      </c>
      <c r="J405" s="57" t="s">
        <v>1830</v>
      </c>
      <c r="K405" s="57" t="s">
        <v>71</v>
      </c>
      <c r="L405" s="53" t="str">
        <f t="shared" si="26"/>
        <v>SIM</v>
      </c>
      <c r="M405" s="57" t="s">
        <v>95</v>
      </c>
      <c r="N405" s="57" t="s">
        <v>79</v>
      </c>
      <c r="O405" s="57" t="s">
        <v>1831</v>
      </c>
      <c r="P405" s="57" t="s">
        <v>1832</v>
      </c>
      <c r="Q405" s="57" t="s">
        <v>1833</v>
      </c>
      <c r="R405" s="57" t="s">
        <v>1834</v>
      </c>
      <c r="S405" s="61" t="str">
        <f t="shared" ca="1" si="25"/>
        <v>EXECUTADA</v>
      </c>
    </row>
    <row r="406" spans="1:19" s="55" customFormat="1" ht="18" x14ac:dyDescent="0.25">
      <c r="A406" s="64" t="s">
        <v>1835</v>
      </c>
      <c r="B406" s="57" t="s">
        <v>30</v>
      </c>
      <c r="C406" s="58"/>
      <c r="D406" s="53" t="s">
        <v>1308</v>
      </c>
      <c r="E406" s="57">
        <v>34998053517</v>
      </c>
      <c r="F406" s="59">
        <v>46161</v>
      </c>
      <c r="G406" s="51" t="str">
        <f t="shared" si="24"/>
        <v>Ter</v>
      </c>
      <c r="H406" s="60">
        <v>0.70833333333333337</v>
      </c>
      <c r="I406" s="57" t="s">
        <v>46</v>
      </c>
      <c r="J406" s="57" t="s">
        <v>1836</v>
      </c>
      <c r="K406" s="57" t="s">
        <v>71</v>
      </c>
      <c r="L406" s="53" t="str">
        <f t="shared" si="26"/>
        <v>SIM</v>
      </c>
      <c r="M406" s="57" t="s">
        <v>1651</v>
      </c>
      <c r="N406" s="57" t="s">
        <v>79</v>
      </c>
      <c r="O406" s="57" t="s">
        <v>1837</v>
      </c>
      <c r="P406" s="57">
        <v>34998349455</v>
      </c>
      <c r="Q406" s="57" t="s">
        <v>1838</v>
      </c>
      <c r="R406" s="57" t="s">
        <v>1839</v>
      </c>
      <c r="S406" s="61" t="str">
        <f t="shared" ca="1" si="25"/>
        <v>EXECUTADA</v>
      </c>
    </row>
    <row r="407" spans="1:19" s="83" customFormat="1" ht="18" x14ac:dyDescent="0.25">
      <c r="A407" s="64" t="s">
        <v>1889</v>
      </c>
      <c r="B407" s="57" t="s">
        <v>27</v>
      </c>
      <c r="C407" s="58"/>
      <c r="D407" s="53" t="s">
        <v>1308</v>
      </c>
      <c r="E407" s="57">
        <v>34984230604</v>
      </c>
      <c r="F407" s="59">
        <v>46161</v>
      </c>
      <c r="G407" s="51" t="str">
        <f t="shared" si="24"/>
        <v>Ter</v>
      </c>
      <c r="H407" s="60">
        <v>0.41666666666666669</v>
      </c>
      <c r="I407" s="57" t="s">
        <v>42</v>
      </c>
      <c r="J407" s="57" t="s">
        <v>1687</v>
      </c>
      <c r="K407" s="57" t="s">
        <v>71</v>
      </c>
      <c r="L407" s="53" t="str">
        <f t="shared" si="26"/>
        <v>NÃO</v>
      </c>
      <c r="M407" s="57" t="s">
        <v>72</v>
      </c>
      <c r="N407" s="57" t="s">
        <v>79</v>
      </c>
      <c r="O407" s="57" t="s">
        <v>1890</v>
      </c>
      <c r="P407" s="57" t="s">
        <v>1891</v>
      </c>
      <c r="Q407" s="57" t="s">
        <v>1892</v>
      </c>
      <c r="R407" s="57" t="s">
        <v>1893</v>
      </c>
      <c r="S407" s="61" t="str">
        <f t="shared" ca="1" si="25"/>
        <v>EXECUTADA</v>
      </c>
    </row>
    <row r="408" spans="1:19" s="55" customFormat="1" ht="18" x14ac:dyDescent="0.25">
      <c r="A408" s="64" t="s">
        <v>2794</v>
      </c>
      <c r="B408" s="57" t="s">
        <v>27</v>
      </c>
      <c r="C408" s="58"/>
      <c r="D408" s="53" t="s">
        <v>1308</v>
      </c>
      <c r="E408" s="57">
        <v>34997398512</v>
      </c>
      <c r="F408" s="59">
        <v>46162</v>
      </c>
      <c r="G408" s="51" t="str">
        <f t="shared" si="24"/>
        <v>Qua</v>
      </c>
      <c r="H408" s="60">
        <v>0.33333333333333331</v>
      </c>
      <c r="I408" s="57" t="s">
        <v>38</v>
      </c>
      <c r="J408" s="57" t="s">
        <v>1840</v>
      </c>
      <c r="K408" s="57" t="s">
        <v>132</v>
      </c>
      <c r="L408" s="53" t="str">
        <f t="shared" si="26"/>
        <v>NÃO</v>
      </c>
      <c r="M408" s="57" t="s">
        <v>72</v>
      </c>
      <c r="N408" s="57" t="s">
        <v>89</v>
      </c>
      <c r="O408" s="57" t="s">
        <v>72</v>
      </c>
      <c r="P408" s="57" t="s">
        <v>72</v>
      </c>
      <c r="Q408" s="57" t="s">
        <v>1841</v>
      </c>
      <c r="R408" s="57" t="s">
        <v>1842</v>
      </c>
      <c r="S408" s="61" t="str">
        <f t="shared" ca="1" si="25"/>
        <v>EXECUTADA</v>
      </c>
    </row>
    <row r="409" spans="1:19" s="55" customFormat="1" ht="15" customHeight="1" x14ac:dyDescent="0.25">
      <c r="A409" s="64" t="s">
        <v>2795</v>
      </c>
      <c r="B409" s="57" t="s">
        <v>30</v>
      </c>
      <c r="C409" s="58"/>
      <c r="D409" s="53" t="s">
        <v>1308</v>
      </c>
      <c r="E409" s="57">
        <v>34996705482</v>
      </c>
      <c r="F409" s="59">
        <v>46162</v>
      </c>
      <c r="G409" s="51" t="str">
        <f t="shared" si="24"/>
        <v>Qua</v>
      </c>
      <c r="H409" s="60">
        <v>0.33333333333333331</v>
      </c>
      <c r="I409" s="57" t="s">
        <v>46</v>
      </c>
      <c r="J409" s="57" t="s">
        <v>1843</v>
      </c>
      <c r="K409" s="57" t="s">
        <v>781</v>
      </c>
      <c r="L409" s="53" t="str">
        <f t="shared" si="26"/>
        <v>SIM</v>
      </c>
      <c r="M409" s="57" t="s">
        <v>1844</v>
      </c>
      <c r="N409" s="57" t="s">
        <v>89</v>
      </c>
      <c r="O409" s="57" t="s">
        <v>72</v>
      </c>
      <c r="P409" s="57" t="s">
        <v>72</v>
      </c>
      <c r="Q409" s="57" t="s">
        <v>1845</v>
      </c>
      <c r="R409" s="57" t="s">
        <v>1846</v>
      </c>
      <c r="S409" s="61" t="str">
        <f t="shared" ca="1" si="25"/>
        <v>EXECUTADA</v>
      </c>
    </row>
    <row r="410" spans="1:19" s="165" customFormat="1" ht="15" customHeight="1" x14ac:dyDescent="0.25">
      <c r="A410" s="80" t="s">
        <v>1847</v>
      </c>
      <c r="B410" s="74" t="s">
        <v>30</v>
      </c>
      <c r="C410" s="75"/>
      <c r="D410" s="78" t="s">
        <v>1848</v>
      </c>
      <c r="E410" s="74">
        <v>34998911947</v>
      </c>
      <c r="F410" s="92">
        <v>46162</v>
      </c>
      <c r="G410" s="93" t="str">
        <f t="shared" si="24"/>
        <v>Qua</v>
      </c>
      <c r="H410" s="77">
        <v>0.41666666666666669</v>
      </c>
      <c r="I410" s="74" t="s">
        <v>46</v>
      </c>
      <c r="J410" s="74" t="s">
        <v>1849</v>
      </c>
      <c r="K410" s="74" t="s">
        <v>146</v>
      </c>
      <c r="L410" s="78" t="str">
        <f>IF(A410="MUD END","NÃO","SIM")</f>
        <v>SIM</v>
      </c>
      <c r="M410" s="74" t="s">
        <v>1850</v>
      </c>
      <c r="N410" s="74" t="s">
        <v>89</v>
      </c>
      <c r="O410" s="74" t="s">
        <v>72</v>
      </c>
      <c r="P410" s="74" t="s">
        <v>72</v>
      </c>
      <c r="Q410" s="74" t="s">
        <v>1851</v>
      </c>
      <c r="R410" s="74" t="s">
        <v>1852</v>
      </c>
      <c r="S410" s="79" t="str">
        <f t="shared" ca="1" si="25"/>
        <v>EXECUTADA</v>
      </c>
    </row>
    <row r="411" spans="1:19" s="55" customFormat="1" ht="18" x14ac:dyDescent="0.25">
      <c r="A411" s="64" t="s">
        <v>1853</v>
      </c>
      <c r="B411" s="57" t="s">
        <v>30</v>
      </c>
      <c r="C411" s="58"/>
      <c r="D411" s="53" t="s">
        <v>1308</v>
      </c>
      <c r="E411" s="57">
        <v>34997956100</v>
      </c>
      <c r="F411" s="59">
        <v>46162</v>
      </c>
      <c r="G411" s="51" t="str">
        <f t="shared" si="24"/>
        <v>Qua</v>
      </c>
      <c r="H411" s="60">
        <v>0.41666666666666669</v>
      </c>
      <c r="I411" s="57" t="s">
        <v>46</v>
      </c>
      <c r="J411" s="57" t="s">
        <v>1854</v>
      </c>
      <c r="K411" s="57" t="s">
        <v>87</v>
      </c>
      <c r="L411" s="53" t="str">
        <f t="shared" ref="L411:L417" si="27">IF(B411="MUD END","NÃO","SIM")</f>
        <v>SIM</v>
      </c>
      <c r="M411" s="57" t="s">
        <v>1855</v>
      </c>
      <c r="N411" s="57" t="s">
        <v>89</v>
      </c>
      <c r="O411" s="57" t="s">
        <v>72</v>
      </c>
      <c r="P411" s="57" t="s">
        <v>72</v>
      </c>
      <c r="Q411" s="57" t="s">
        <v>1856</v>
      </c>
      <c r="R411" s="57" t="s">
        <v>1857</v>
      </c>
      <c r="S411" s="61" t="str">
        <f t="shared" ca="1" si="25"/>
        <v>EXECUTADA</v>
      </c>
    </row>
    <row r="412" spans="1:19" s="55" customFormat="1" ht="15" customHeight="1" x14ac:dyDescent="0.25">
      <c r="A412" s="151" t="s">
        <v>1858</v>
      </c>
      <c r="B412" s="57" t="s">
        <v>30</v>
      </c>
      <c r="C412" s="58"/>
      <c r="D412" s="53" t="s">
        <v>1308</v>
      </c>
      <c r="E412" s="57">
        <v>34991788020</v>
      </c>
      <c r="F412" s="59">
        <v>46162</v>
      </c>
      <c r="G412" s="51" t="str">
        <f t="shared" si="24"/>
        <v>Qua</v>
      </c>
      <c r="H412" s="60">
        <v>0.41666666666666669</v>
      </c>
      <c r="I412" s="57" t="s">
        <v>46</v>
      </c>
      <c r="J412" s="57" t="s">
        <v>1859</v>
      </c>
      <c r="K412" s="57" t="s">
        <v>71</v>
      </c>
      <c r="L412" s="53" t="str">
        <f t="shared" si="27"/>
        <v>SIM</v>
      </c>
      <c r="M412" s="57" t="s">
        <v>421</v>
      </c>
      <c r="N412" s="57" t="s">
        <v>89</v>
      </c>
      <c r="O412" s="57" t="s">
        <v>72</v>
      </c>
      <c r="P412" s="57" t="s">
        <v>72</v>
      </c>
      <c r="Q412" s="57" t="s">
        <v>1860</v>
      </c>
      <c r="R412" s="57" t="s">
        <v>2796</v>
      </c>
      <c r="S412" s="61" t="str">
        <f t="shared" ca="1" si="25"/>
        <v>EXECUTADA</v>
      </c>
    </row>
    <row r="413" spans="1:19" s="55" customFormat="1" ht="15" customHeight="1" x14ac:dyDescent="0.25">
      <c r="A413" s="203" t="s">
        <v>2797</v>
      </c>
      <c r="B413" s="157" t="s">
        <v>289</v>
      </c>
      <c r="C413" s="158"/>
      <c r="D413" s="163"/>
      <c r="E413" s="157"/>
      <c r="F413" s="160">
        <v>46162</v>
      </c>
      <c r="G413" s="161" t="str">
        <f t="shared" si="24"/>
        <v>Qua</v>
      </c>
      <c r="H413" s="162">
        <v>0.54166666666666663</v>
      </c>
      <c r="I413" s="157"/>
      <c r="J413" s="157"/>
      <c r="K413" s="157"/>
      <c r="L413" s="163" t="str">
        <f t="shared" si="27"/>
        <v>SIM</v>
      </c>
      <c r="M413" s="157"/>
      <c r="N413" s="157"/>
      <c r="O413" s="157"/>
      <c r="P413" s="157"/>
      <c r="Q413" s="157"/>
      <c r="R413" s="157"/>
      <c r="S413" s="164" t="str">
        <f t="shared" ca="1" si="25"/>
        <v>EXECUTADA</v>
      </c>
    </row>
    <row r="414" spans="1:19" s="55" customFormat="1" ht="18" x14ac:dyDescent="0.25">
      <c r="A414" s="64" t="s">
        <v>1861</v>
      </c>
      <c r="B414" s="57" t="s">
        <v>30</v>
      </c>
      <c r="C414" s="58"/>
      <c r="D414" s="53" t="s">
        <v>1308</v>
      </c>
      <c r="E414" s="57">
        <v>34996470252</v>
      </c>
      <c r="F414" s="59">
        <v>46162</v>
      </c>
      <c r="G414" s="51" t="str">
        <f t="shared" si="24"/>
        <v>Qua</v>
      </c>
      <c r="H414" s="60">
        <v>0.54166666666666663</v>
      </c>
      <c r="I414" s="57" t="s">
        <v>46</v>
      </c>
      <c r="J414" s="57" t="s">
        <v>1862</v>
      </c>
      <c r="K414" s="57" t="s">
        <v>781</v>
      </c>
      <c r="L414" s="53" t="str">
        <f t="shared" si="27"/>
        <v>SIM</v>
      </c>
      <c r="M414" s="57" t="s">
        <v>1863</v>
      </c>
      <c r="N414" s="57" t="s">
        <v>89</v>
      </c>
      <c r="O414" s="57" t="s">
        <v>72</v>
      </c>
      <c r="P414" s="57" t="s">
        <v>72</v>
      </c>
      <c r="Q414" s="57" t="s">
        <v>1864</v>
      </c>
      <c r="R414" s="57" t="s">
        <v>1865</v>
      </c>
      <c r="S414" s="61" t="str">
        <f t="shared" ca="1" si="25"/>
        <v>EXECUTADA</v>
      </c>
    </row>
    <row r="415" spans="1:19" s="55" customFormat="1" ht="15" customHeight="1" x14ac:dyDescent="0.25">
      <c r="A415" s="64" t="s">
        <v>1866</v>
      </c>
      <c r="B415" s="55" t="s">
        <v>30</v>
      </c>
      <c r="C415" s="58"/>
      <c r="D415" s="53" t="s">
        <v>1308</v>
      </c>
      <c r="E415" s="57">
        <v>35984277743</v>
      </c>
      <c r="F415" s="59">
        <v>46162</v>
      </c>
      <c r="G415" s="51" t="str">
        <f t="shared" si="24"/>
        <v>Qua</v>
      </c>
      <c r="H415" s="60">
        <v>0.625</v>
      </c>
      <c r="I415" s="57" t="s">
        <v>46</v>
      </c>
      <c r="J415" s="57" t="s">
        <v>1867</v>
      </c>
      <c r="K415" s="57" t="s">
        <v>107</v>
      </c>
      <c r="L415" s="53" t="str">
        <f t="shared" si="27"/>
        <v>SIM</v>
      </c>
      <c r="M415" s="57" t="s">
        <v>1868</v>
      </c>
      <c r="N415" s="57" t="s">
        <v>89</v>
      </c>
      <c r="O415" s="57" t="s">
        <v>72</v>
      </c>
      <c r="P415" s="57" t="s">
        <v>72</v>
      </c>
      <c r="Q415" s="57" t="s">
        <v>1869</v>
      </c>
      <c r="R415" s="57" t="s">
        <v>1870</v>
      </c>
      <c r="S415" s="61" t="str">
        <f t="shared" ca="1" si="25"/>
        <v>EXECUTADA</v>
      </c>
    </row>
    <row r="416" spans="1:19" s="55" customFormat="1" ht="18" x14ac:dyDescent="0.25">
      <c r="A416" s="71" t="s">
        <v>2798</v>
      </c>
      <c r="B416" s="57" t="s">
        <v>30</v>
      </c>
      <c r="C416" s="58"/>
      <c r="D416" s="53" t="s">
        <v>1308</v>
      </c>
      <c r="E416" s="57">
        <v>34974008464</v>
      </c>
      <c r="F416" s="59">
        <v>46162</v>
      </c>
      <c r="G416" s="51" t="str">
        <f t="shared" si="24"/>
        <v>Qua</v>
      </c>
      <c r="H416" s="60">
        <v>0.70833333333333337</v>
      </c>
      <c r="I416" s="57" t="s">
        <v>46</v>
      </c>
      <c r="J416" s="57" t="s">
        <v>1871</v>
      </c>
      <c r="K416" s="57" t="s">
        <v>71</v>
      </c>
      <c r="L416" s="53" t="str">
        <f t="shared" si="27"/>
        <v>SIM</v>
      </c>
      <c r="M416" s="57" t="s">
        <v>1872</v>
      </c>
      <c r="N416" s="57" t="s">
        <v>89</v>
      </c>
      <c r="O416" s="57" t="s">
        <v>72</v>
      </c>
      <c r="P416" s="57" t="s">
        <v>72</v>
      </c>
      <c r="Q416" s="57" t="s">
        <v>1873</v>
      </c>
      <c r="R416" s="57" t="s">
        <v>1874</v>
      </c>
      <c r="S416" s="61" t="str">
        <f t="shared" ca="1" si="25"/>
        <v>EXECUTADA</v>
      </c>
    </row>
    <row r="417" spans="1:19" s="55" customFormat="1" ht="18" x14ac:dyDescent="0.25">
      <c r="A417" s="71" t="s">
        <v>1875</v>
      </c>
      <c r="B417" s="57" t="s">
        <v>27</v>
      </c>
      <c r="C417" s="58"/>
      <c r="D417" s="53" t="s">
        <v>1308</v>
      </c>
      <c r="E417" s="57">
        <v>34991528122</v>
      </c>
      <c r="F417" s="59">
        <v>46162</v>
      </c>
      <c r="G417" s="51" t="str">
        <f t="shared" si="24"/>
        <v>Qua</v>
      </c>
      <c r="H417" s="60">
        <v>0.70833333333333337</v>
      </c>
      <c r="I417" s="57" t="s">
        <v>46</v>
      </c>
      <c r="J417" s="57" t="s">
        <v>1876</v>
      </c>
      <c r="K417" s="57" t="s">
        <v>132</v>
      </c>
      <c r="L417" s="53" t="str">
        <f t="shared" si="27"/>
        <v>NÃO</v>
      </c>
      <c r="M417" s="57" t="s">
        <v>72</v>
      </c>
      <c r="N417" s="57" t="s">
        <v>89</v>
      </c>
      <c r="O417" s="57" t="s">
        <v>1877</v>
      </c>
      <c r="P417" s="57">
        <v>34991528122</v>
      </c>
      <c r="Q417" s="57" t="s">
        <v>1878</v>
      </c>
      <c r="R417" s="57" t="s">
        <v>1879</v>
      </c>
      <c r="S417" s="61" t="str">
        <f t="shared" ca="1" si="25"/>
        <v>EXECUTADA</v>
      </c>
    </row>
    <row r="418" spans="1:19" s="83" customFormat="1" ht="18" x14ac:dyDescent="0.25">
      <c r="A418" s="72" t="s">
        <v>1880</v>
      </c>
      <c r="B418" s="57" t="s">
        <v>27</v>
      </c>
      <c r="C418" s="58"/>
      <c r="D418" s="53" t="s">
        <v>1308</v>
      </c>
      <c r="E418" s="57">
        <v>34991210259</v>
      </c>
      <c r="F418" s="59">
        <v>46162</v>
      </c>
      <c r="G418" s="51" t="str">
        <f t="shared" si="24"/>
        <v>Qua</v>
      </c>
      <c r="H418" s="60">
        <v>0.54166666666666663</v>
      </c>
      <c r="I418" s="57" t="s">
        <v>42</v>
      </c>
      <c r="J418" s="57" t="s">
        <v>1881</v>
      </c>
      <c r="K418" s="57" t="s">
        <v>71</v>
      </c>
      <c r="L418" s="53" t="str">
        <f>IF(A418="MUD END","NÃO","SIM")</f>
        <v>SIM</v>
      </c>
      <c r="M418" s="57" t="s">
        <v>72</v>
      </c>
      <c r="N418" s="57" t="s">
        <v>89</v>
      </c>
      <c r="O418" s="57" t="s">
        <v>72</v>
      </c>
      <c r="P418" s="57" t="s">
        <v>72</v>
      </c>
      <c r="Q418" s="57" t="s">
        <v>1882</v>
      </c>
      <c r="R418" s="57" t="s">
        <v>1883</v>
      </c>
      <c r="S418" s="61" t="str">
        <f t="shared" ca="1" si="25"/>
        <v>EXECUTADA</v>
      </c>
    </row>
    <row r="419" spans="1:19" s="55" customFormat="1" ht="18" x14ac:dyDescent="0.25">
      <c r="A419" s="64" t="s">
        <v>1884</v>
      </c>
      <c r="B419" s="57" t="s">
        <v>30</v>
      </c>
      <c r="C419" s="58"/>
      <c r="D419" s="53" t="s">
        <v>1308</v>
      </c>
      <c r="E419" s="57">
        <v>34996994855</v>
      </c>
      <c r="F419" s="59">
        <v>46162</v>
      </c>
      <c r="G419" s="51" t="str">
        <f t="shared" si="24"/>
        <v>Qua</v>
      </c>
      <c r="H419" s="60">
        <v>0.625</v>
      </c>
      <c r="I419" s="57" t="s">
        <v>46</v>
      </c>
      <c r="J419" s="57" t="s">
        <v>1885</v>
      </c>
      <c r="K419" s="57" t="s">
        <v>71</v>
      </c>
      <c r="L419" s="53" t="str">
        <f t="shared" ref="L419:L427" si="28">IF(B419="MUD END","NÃO","SIM")</f>
        <v>SIM</v>
      </c>
      <c r="M419" s="57" t="s">
        <v>1886</v>
      </c>
      <c r="N419" s="57" t="s">
        <v>89</v>
      </c>
      <c r="O419" s="57" t="s">
        <v>72</v>
      </c>
      <c r="P419" s="57" t="s">
        <v>72</v>
      </c>
      <c r="Q419" s="57" t="s">
        <v>1887</v>
      </c>
      <c r="R419" s="57" t="s">
        <v>1888</v>
      </c>
      <c r="S419" s="61" t="str">
        <f t="shared" ca="1" si="25"/>
        <v>EXECUTADA</v>
      </c>
    </row>
    <row r="420" spans="1:19" s="81" customFormat="1" ht="18" x14ac:dyDescent="0.25">
      <c r="A420" s="207" t="s">
        <v>2799</v>
      </c>
      <c r="B420" s="74" t="s">
        <v>30</v>
      </c>
      <c r="C420" s="75"/>
      <c r="D420" s="78" t="s">
        <v>1894</v>
      </c>
      <c r="E420" s="74">
        <v>35997153330</v>
      </c>
      <c r="F420" s="92">
        <v>46163</v>
      </c>
      <c r="G420" s="93" t="str">
        <f t="shared" si="24"/>
        <v>Qui</v>
      </c>
      <c r="H420" s="77">
        <v>0.33333333333333331</v>
      </c>
      <c r="I420" s="74" t="s">
        <v>46</v>
      </c>
      <c r="J420" s="74" t="s">
        <v>1621</v>
      </c>
      <c r="K420" s="74" t="s">
        <v>1895</v>
      </c>
      <c r="L420" s="78" t="str">
        <f t="shared" si="28"/>
        <v>SIM</v>
      </c>
      <c r="M420" s="74" t="s">
        <v>1622</v>
      </c>
      <c r="N420" s="74" t="s">
        <v>79</v>
      </c>
      <c r="O420" s="74" t="s">
        <v>1896</v>
      </c>
      <c r="P420" s="74" t="s">
        <v>1897</v>
      </c>
      <c r="Q420" s="74" t="s">
        <v>1623</v>
      </c>
      <c r="R420" s="74" t="s">
        <v>2800</v>
      </c>
      <c r="S420" s="79" t="str">
        <f t="shared" ca="1" si="25"/>
        <v>EXECUTADA</v>
      </c>
    </row>
    <row r="421" spans="1:19" s="55" customFormat="1" ht="18" x14ac:dyDescent="0.25">
      <c r="A421" s="64" t="s">
        <v>1898</v>
      </c>
      <c r="B421" s="57" t="s">
        <v>27</v>
      </c>
      <c r="C421" s="58"/>
      <c r="D421" s="53" t="s">
        <v>1308</v>
      </c>
      <c r="E421" s="57">
        <v>34991484150</v>
      </c>
      <c r="F421" s="59">
        <v>46163</v>
      </c>
      <c r="G421" s="51" t="str">
        <f t="shared" si="24"/>
        <v>Qui</v>
      </c>
      <c r="H421" s="60">
        <v>0.33333333333333331</v>
      </c>
      <c r="I421" s="57" t="s">
        <v>42</v>
      </c>
      <c r="J421" s="57" t="s">
        <v>1899</v>
      </c>
      <c r="K421" s="57" t="s">
        <v>146</v>
      </c>
      <c r="L421" s="53" t="str">
        <f t="shared" si="28"/>
        <v>NÃO</v>
      </c>
      <c r="M421" s="57" t="s">
        <v>72</v>
      </c>
      <c r="N421" s="57" t="s">
        <v>89</v>
      </c>
      <c r="O421" s="57" t="s">
        <v>1900</v>
      </c>
      <c r="P421" s="57">
        <v>34991484150</v>
      </c>
      <c r="Q421" s="57" t="s">
        <v>1901</v>
      </c>
      <c r="R421" s="57" t="s">
        <v>1902</v>
      </c>
      <c r="S421" s="61" t="str">
        <f t="shared" ca="1" si="25"/>
        <v>EXECUTADA</v>
      </c>
    </row>
    <row r="422" spans="1:19" s="55" customFormat="1" ht="15" customHeight="1" x14ac:dyDescent="0.25">
      <c r="A422" s="37" t="s">
        <v>1903</v>
      </c>
      <c r="B422" s="38" t="s">
        <v>30</v>
      </c>
      <c r="C422" s="39"/>
      <c r="D422" s="40" t="s">
        <v>1904</v>
      </c>
      <c r="E422" s="38">
        <v>34999554983</v>
      </c>
      <c r="F422" s="41">
        <v>46163</v>
      </c>
      <c r="G422" s="42" t="str">
        <f t="shared" si="24"/>
        <v>Qui</v>
      </c>
      <c r="H422" s="43">
        <v>0.41666666666666669</v>
      </c>
      <c r="I422" s="38" t="s">
        <v>46</v>
      </c>
      <c r="J422" s="38" t="s">
        <v>1905</v>
      </c>
      <c r="K422" s="38" t="s">
        <v>146</v>
      </c>
      <c r="L422" s="40" t="str">
        <f t="shared" si="28"/>
        <v>SIM</v>
      </c>
      <c r="M422" s="38" t="s">
        <v>1072</v>
      </c>
      <c r="N422" s="38" t="s">
        <v>89</v>
      </c>
      <c r="O422" s="38" t="s">
        <v>72</v>
      </c>
      <c r="P422" s="38" t="s">
        <v>72</v>
      </c>
      <c r="Q422" s="38" t="s">
        <v>1906</v>
      </c>
      <c r="R422" s="38" t="s">
        <v>1907</v>
      </c>
      <c r="S422" s="44" t="str">
        <f t="shared" ca="1" si="25"/>
        <v>EXECUTADA</v>
      </c>
    </row>
    <row r="423" spans="1:19" s="165" customFormat="1" ht="18" x14ac:dyDescent="0.25">
      <c r="A423" s="167" t="s">
        <v>1908</v>
      </c>
      <c r="B423" s="57" t="s">
        <v>27</v>
      </c>
      <c r="C423" s="58"/>
      <c r="D423" s="53" t="s">
        <v>1308</v>
      </c>
      <c r="E423" s="57">
        <v>34996995670</v>
      </c>
      <c r="F423" s="59">
        <v>46163</v>
      </c>
      <c r="G423" s="51" t="str">
        <f t="shared" si="24"/>
        <v>Qui</v>
      </c>
      <c r="H423" s="60">
        <v>0.41666666666666669</v>
      </c>
      <c r="I423" s="57" t="s">
        <v>35</v>
      </c>
      <c r="J423" s="57" t="s">
        <v>1909</v>
      </c>
      <c r="K423" s="57" t="s">
        <v>71</v>
      </c>
      <c r="L423" s="53" t="str">
        <f t="shared" si="28"/>
        <v>NÃO</v>
      </c>
      <c r="M423" s="57" t="s">
        <v>72</v>
      </c>
      <c r="N423" s="57" t="s">
        <v>79</v>
      </c>
      <c r="O423" s="57" t="s">
        <v>1910</v>
      </c>
      <c r="P423" s="57" t="s">
        <v>1911</v>
      </c>
      <c r="Q423" s="57" t="s">
        <v>1912</v>
      </c>
      <c r="R423" s="57" t="s">
        <v>2801</v>
      </c>
      <c r="S423" s="61" t="str">
        <f t="shared" ca="1" si="25"/>
        <v>EXECUTADA</v>
      </c>
    </row>
    <row r="424" spans="1:19" s="55" customFormat="1" ht="18" x14ac:dyDescent="0.25">
      <c r="A424" s="64" t="s">
        <v>2802</v>
      </c>
      <c r="B424" s="57" t="s">
        <v>30</v>
      </c>
      <c r="C424" s="58"/>
      <c r="D424" s="53" t="s">
        <v>1308</v>
      </c>
      <c r="E424" s="57">
        <v>34998829628</v>
      </c>
      <c r="F424" s="59">
        <v>46163</v>
      </c>
      <c r="G424" s="51" t="str">
        <f t="shared" si="24"/>
        <v>Qui</v>
      </c>
      <c r="H424" s="60">
        <v>0.41666666666666669</v>
      </c>
      <c r="I424" s="57" t="s">
        <v>46</v>
      </c>
      <c r="J424" s="57" t="s">
        <v>1913</v>
      </c>
      <c r="K424" s="57" t="s">
        <v>566</v>
      </c>
      <c r="L424" s="53" t="str">
        <f t="shared" si="28"/>
        <v>SIM</v>
      </c>
      <c r="M424" s="57" t="s">
        <v>1914</v>
      </c>
      <c r="N424" s="57" t="s">
        <v>89</v>
      </c>
      <c r="O424" s="57" t="s">
        <v>72</v>
      </c>
      <c r="P424" s="57" t="s">
        <v>72</v>
      </c>
      <c r="Q424" s="57" t="s">
        <v>1915</v>
      </c>
      <c r="R424" s="57" t="s">
        <v>1916</v>
      </c>
      <c r="S424" s="61" t="str">
        <f t="shared" ca="1" si="25"/>
        <v>EXECUTADA</v>
      </c>
    </row>
    <row r="425" spans="1:19" s="55" customFormat="1" ht="18" x14ac:dyDescent="0.25">
      <c r="A425" s="184" t="s">
        <v>2803</v>
      </c>
      <c r="B425" s="157" t="s">
        <v>30</v>
      </c>
      <c r="C425" s="158"/>
      <c r="D425" s="163"/>
      <c r="E425" s="157"/>
      <c r="F425" s="160">
        <v>46163</v>
      </c>
      <c r="G425" s="161" t="str">
        <f t="shared" si="24"/>
        <v>Qui</v>
      </c>
      <c r="H425" s="162">
        <v>0.54166666666666663</v>
      </c>
      <c r="I425" s="157" t="s">
        <v>46</v>
      </c>
      <c r="J425" s="157"/>
      <c r="K425" s="157"/>
      <c r="L425" s="163" t="str">
        <f t="shared" si="28"/>
        <v>SIM</v>
      </c>
      <c r="M425" s="157"/>
      <c r="N425" s="157"/>
      <c r="O425" s="157"/>
      <c r="P425" s="157"/>
      <c r="Q425" s="157"/>
      <c r="R425" s="157"/>
      <c r="S425" s="164" t="str">
        <f t="shared" ca="1" si="25"/>
        <v>EXECUTADA</v>
      </c>
    </row>
    <row r="426" spans="1:19" s="55" customFormat="1" ht="18" x14ac:dyDescent="0.25">
      <c r="A426" s="64" t="s">
        <v>1917</v>
      </c>
      <c r="B426" s="57" t="s">
        <v>30</v>
      </c>
      <c r="C426" s="58"/>
      <c r="D426" s="53" t="s">
        <v>1308</v>
      </c>
      <c r="E426" s="57">
        <v>34997188814</v>
      </c>
      <c r="F426" s="59">
        <v>46163</v>
      </c>
      <c r="G426" s="51" t="str">
        <f t="shared" si="24"/>
        <v>Qui</v>
      </c>
      <c r="H426" s="60">
        <v>0.54166666666666663</v>
      </c>
      <c r="I426" s="57" t="s">
        <v>46</v>
      </c>
      <c r="J426" s="57" t="s">
        <v>1918</v>
      </c>
      <c r="K426" s="57" t="s">
        <v>107</v>
      </c>
      <c r="L426" s="53" t="str">
        <f t="shared" si="28"/>
        <v>SIM</v>
      </c>
      <c r="M426" s="57" t="s">
        <v>1919</v>
      </c>
      <c r="N426" s="57" t="s">
        <v>89</v>
      </c>
      <c r="O426" s="57" t="s">
        <v>72</v>
      </c>
      <c r="P426" s="57" t="s">
        <v>72</v>
      </c>
      <c r="Q426" s="57" t="s">
        <v>1920</v>
      </c>
      <c r="R426" s="57" t="s">
        <v>1921</v>
      </c>
      <c r="S426" s="61" t="str">
        <f t="shared" ca="1" si="25"/>
        <v>EXECUTADA</v>
      </c>
    </row>
    <row r="427" spans="1:19" s="55" customFormat="1" ht="18" x14ac:dyDescent="0.25">
      <c r="A427" s="64" t="s">
        <v>1922</v>
      </c>
      <c r="B427" s="57" t="s">
        <v>30</v>
      </c>
      <c r="C427" s="58"/>
      <c r="D427" s="53" t="s">
        <v>1308</v>
      </c>
      <c r="E427" s="57">
        <v>34998567413</v>
      </c>
      <c r="F427" s="59">
        <v>46163</v>
      </c>
      <c r="G427" s="51" t="str">
        <f t="shared" si="24"/>
        <v>Qui</v>
      </c>
      <c r="H427" s="60">
        <v>0.625</v>
      </c>
      <c r="I427" s="57" t="s">
        <v>46</v>
      </c>
      <c r="J427" s="57" t="s">
        <v>1923</v>
      </c>
      <c r="K427" s="57" t="s">
        <v>94</v>
      </c>
      <c r="L427" s="53" t="str">
        <f t="shared" si="28"/>
        <v>SIM</v>
      </c>
      <c r="M427" s="57" t="s">
        <v>1924</v>
      </c>
      <c r="N427" s="57" t="s">
        <v>89</v>
      </c>
      <c r="O427" s="57" t="s">
        <v>72</v>
      </c>
      <c r="P427" s="57" t="s">
        <v>72</v>
      </c>
      <c r="Q427" s="57" t="s">
        <v>1925</v>
      </c>
      <c r="R427" s="57" t="s">
        <v>1926</v>
      </c>
      <c r="S427" s="61" t="str">
        <f t="shared" ca="1" si="25"/>
        <v>EXECUTADA</v>
      </c>
    </row>
    <row r="428" spans="1:19" s="81" customFormat="1" ht="18" x14ac:dyDescent="0.25">
      <c r="A428" s="64" t="s">
        <v>1927</v>
      </c>
      <c r="B428" s="57" t="s">
        <v>27</v>
      </c>
      <c r="C428" s="58"/>
      <c r="D428" s="53" t="s">
        <v>1308</v>
      </c>
      <c r="E428" s="57">
        <v>34984024670</v>
      </c>
      <c r="F428" s="59">
        <v>46163</v>
      </c>
      <c r="G428" s="51" t="str">
        <f t="shared" si="24"/>
        <v>Qui</v>
      </c>
      <c r="H428" s="60">
        <v>0.625</v>
      </c>
      <c r="I428" s="57" t="s">
        <v>38</v>
      </c>
      <c r="J428" s="57" t="s">
        <v>1928</v>
      </c>
      <c r="K428" s="57" t="s">
        <v>107</v>
      </c>
      <c r="L428" s="53" t="str">
        <f>IF(A428="MUD END","NÃO","SIM")</f>
        <v>SIM</v>
      </c>
      <c r="M428" s="57" t="s">
        <v>72</v>
      </c>
      <c r="N428" s="57" t="s">
        <v>89</v>
      </c>
      <c r="O428" s="57" t="s">
        <v>1929</v>
      </c>
      <c r="P428" s="57" t="s">
        <v>1930</v>
      </c>
      <c r="Q428" s="57" t="s">
        <v>1931</v>
      </c>
      <c r="R428" s="57" t="s">
        <v>1932</v>
      </c>
      <c r="S428" s="61" t="str">
        <f t="shared" ca="1" si="25"/>
        <v>EXECUTADA</v>
      </c>
    </row>
    <row r="429" spans="1:19" s="55" customFormat="1" ht="15" customHeight="1" x14ac:dyDescent="0.25">
      <c r="A429" s="64" t="s">
        <v>1933</v>
      </c>
      <c r="B429" s="57" t="s">
        <v>27</v>
      </c>
      <c r="C429" s="58"/>
      <c r="D429" s="53" t="s">
        <v>1308</v>
      </c>
      <c r="E429" s="57">
        <v>34999319763</v>
      </c>
      <c r="F429" s="59">
        <v>46163</v>
      </c>
      <c r="G429" s="51" t="str">
        <f t="shared" si="24"/>
        <v>Qui</v>
      </c>
      <c r="H429" s="60">
        <v>0.70833333333333337</v>
      </c>
      <c r="I429" s="57" t="s">
        <v>35</v>
      </c>
      <c r="J429" s="57" t="s">
        <v>1934</v>
      </c>
      <c r="K429" s="57" t="s">
        <v>87</v>
      </c>
      <c r="L429" s="53" t="str">
        <f t="shared" ref="L429:L434" si="29">IF(B429="MUD END","NÃO","SIM")</f>
        <v>NÃO</v>
      </c>
      <c r="M429" s="57" t="s">
        <v>72</v>
      </c>
      <c r="N429" s="57" t="s">
        <v>79</v>
      </c>
      <c r="O429" s="57" t="s">
        <v>1935</v>
      </c>
      <c r="P429" s="57" t="s">
        <v>1936</v>
      </c>
      <c r="Q429" s="57" t="s">
        <v>1937</v>
      </c>
      <c r="R429" s="57" t="s">
        <v>1938</v>
      </c>
      <c r="S429" s="61" t="str">
        <f t="shared" ca="1" si="25"/>
        <v>EXECUTADA</v>
      </c>
    </row>
    <row r="430" spans="1:19" s="55" customFormat="1" ht="18" x14ac:dyDescent="0.25">
      <c r="A430" s="208" t="s">
        <v>1939</v>
      </c>
      <c r="B430" s="38" t="s">
        <v>30</v>
      </c>
      <c r="C430" s="39"/>
      <c r="D430" s="40" t="s">
        <v>1940</v>
      </c>
      <c r="E430" s="38">
        <v>34996780614</v>
      </c>
      <c r="F430" s="41">
        <v>46163</v>
      </c>
      <c r="G430" s="42" t="str">
        <f t="shared" si="24"/>
        <v>Qui</v>
      </c>
      <c r="H430" s="43">
        <v>0.70833333333333337</v>
      </c>
      <c r="I430" s="38" t="s">
        <v>46</v>
      </c>
      <c r="J430" s="38" t="s">
        <v>1941</v>
      </c>
      <c r="K430" s="38"/>
      <c r="L430" s="40" t="str">
        <f t="shared" si="29"/>
        <v>SIM</v>
      </c>
      <c r="M430" s="38"/>
      <c r="N430" s="38"/>
      <c r="O430" s="38"/>
      <c r="P430" s="38"/>
      <c r="Q430" s="38"/>
      <c r="R430" s="38"/>
      <c r="S430" s="44" t="str">
        <f t="shared" ca="1" si="25"/>
        <v>EXECUTADA</v>
      </c>
    </row>
    <row r="431" spans="1:19" s="55" customFormat="1" ht="15" customHeight="1" x14ac:dyDescent="0.25">
      <c r="A431" s="146" t="s">
        <v>2804</v>
      </c>
      <c r="B431" s="57" t="s">
        <v>30</v>
      </c>
      <c r="C431" s="58"/>
      <c r="D431" s="53" t="s">
        <v>1308</v>
      </c>
      <c r="E431" s="57">
        <v>34998171593</v>
      </c>
      <c r="F431" s="59">
        <v>46164</v>
      </c>
      <c r="G431" s="51" t="str">
        <f t="shared" si="24"/>
        <v>Sex</v>
      </c>
      <c r="H431" s="60">
        <v>0.33333333333333331</v>
      </c>
      <c r="I431" s="57" t="s">
        <v>46</v>
      </c>
      <c r="J431" s="57" t="s">
        <v>1942</v>
      </c>
      <c r="K431" s="57" t="s">
        <v>146</v>
      </c>
      <c r="L431" s="53" t="str">
        <f t="shared" si="29"/>
        <v>SIM</v>
      </c>
      <c r="M431" s="57" t="s">
        <v>1943</v>
      </c>
      <c r="N431" s="57" t="s">
        <v>89</v>
      </c>
      <c r="O431" s="57" t="s">
        <v>72</v>
      </c>
      <c r="P431" s="57" t="s">
        <v>72</v>
      </c>
      <c r="Q431" s="57" t="s">
        <v>1944</v>
      </c>
      <c r="R431" s="57" t="s">
        <v>1945</v>
      </c>
      <c r="S431" s="61" t="str">
        <f t="shared" ca="1" si="25"/>
        <v>EXECUTADA</v>
      </c>
    </row>
    <row r="432" spans="1:19" s="165" customFormat="1" ht="18" x14ac:dyDescent="0.25">
      <c r="A432" s="71" t="s">
        <v>2805</v>
      </c>
      <c r="B432" s="57" t="s">
        <v>30</v>
      </c>
      <c r="C432" s="58"/>
      <c r="D432" s="53" t="s">
        <v>1946</v>
      </c>
      <c r="E432" s="57">
        <v>34998716963</v>
      </c>
      <c r="F432" s="59">
        <v>46164</v>
      </c>
      <c r="G432" s="51" t="str">
        <f t="shared" si="24"/>
        <v>Sex</v>
      </c>
      <c r="H432" s="60">
        <v>0.33333333333333331</v>
      </c>
      <c r="I432" s="57" t="s">
        <v>46</v>
      </c>
      <c r="J432" s="57" t="s">
        <v>1947</v>
      </c>
      <c r="K432" s="57" t="s">
        <v>107</v>
      </c>
      <c r="L432" s="53" t="str">
        <f t="shared" si="29"/>
        <v>SIM</v>
      </c>
      <c r="M432" s="57" t="s">
        <v>1053</v>
      </c>
      <c r="N432" s="57" t="s">
        <v>89</v>
      </c>
      <c r="O432" s="57" t="s">
        <v>72</v>
      </c>
      <c r="P432" s="57" t="s">
        <v>72</v>
      </c>
      <c r="Q432" s="57" t="s">
        <v>1948</v>
      </c>
      <c r="R432" s="57" t="s">
        <v>1949</v>
      </c>
      <c r="S432" s="61" t="str">
        <f t="shared" ca="1" si="25"/>
        <v>EXECUTADA</v>
      </c>
    </row>
    <row r="433" spans="1:19" s="55" customFormat="1" ht="18" x14ac:dyDescent="0.25">
      <c r="A433" s="64" t="s">
        <v>1950</v>
      </c>
      <c r="B433" s="57" t="s">
        <v>27</v>
      </c>
      <c r="C433" s="58"/>
      <c r="D433" s="53" t="s">
        <v>1308</v>
      </c>
      <c r="E433" s="57">
        <v>34992725295</v>
      </c>
      <c r="F433" s="59">
        <v>46164</v>
      </c>
      <c r="G433" s="51" t="str">
        <f t="shared" si="24"/>
        <v>Sex</v>
      </c>
      <c r="H433" s="60">
        <v>0.33333333333333331</v>
      </c>
      <c r="I433" s="57" t="s">
        <v>35</v>
      </c>
      <c r="J433" s="57" t="s">
        <v>1951</v>
      </c>
      <c r="K433" s="57" t="s">
        <v>71</v>
      </c>
      <c r="L433" s="53" t="str">
        <f t="shared" si="29"/>
        <v>NÃO</v>
      </c>
      <c r="M433" s="57" t="s">
        <v>72</v>
      </c>
      <c r="N433" s="57" t="s">
        <v>89</v>
      </c>
      <c r="O433" s="57" t="s">
        <v>72</v>
      </c>
      <c r="P433" s="57" t="s">
        <v>72</v>
      </c>
      <c r="Q433" s="57" t="s">
        <v>1952</v>
      </c>
      <c r="R433" s="57" t="s">
        <v>1953</v>
      </c>
      <c r="S433" s="61" t="str">
        <f t="shared" ca="1" si="25"/>
        <v>EXECUTADA</v>
      </c>
    </row>
    <row r="434" spans="1:19" s="55" customFormat="1" ht="18" x14ac:dyDescent="0.25">
      <c r="A434" s="188" t="s">
        <v>1778</v>
      </c>
      <c r="B434" s="157" t="s">
        <v>27</v>
      </c>
      <c r="C434" s="158"/>
      <c r="D434" s="163"/>
      <c r="E434" s="157"/>
      <c r="F434" s="160">
        <v>46164</v>
      </c>
      <c r="G434" s="161" t="str">
        <f t="shared" si="24"/>
        <v>Sex</v>
      </c>
      <c r="H434" s="162">
        <v>0.41666666666666669</v>
      </c>
      <c r="I434" s="157"/>
      <c r="J434" s="157"/>
      <c r="K434" s="157"/>
      <c r="L434" s="163" t="str">
        <f t="shared" si="29"/>
        <v>NÃO</v>
      </c>
      <c r="M434" s="157"/>
      <c r="N434" s="157"/>
      <c r="O434" s="157"/>
      <c r="P434" s="157"/>
      <c r="Q434" s="157"/>
      <c r="R434" s="157"/>
      <c r="S434" s="164" t="str">
        <f t="shared" ca="1" si="25"/>
        <v>EXECUTADA</v>
      </c>
    </row>
    <row r="435" spans="1:19" s="55" customFormat="1" ht="18" x14ac:dyDescent="0.25">
      <c r="A435" s="64" t="s">
        <v>1954</v>
      </c>
      <c r="B435" s="57" t="s">
        <v>30</v>
      </c>
      <c r="C435" s="58"/>
      <c r="D435" s="53" t="s">
        <v>1955</v>
      </c>
      <c r="E435" s="57">
        <v>34996474028</v>
      </c>
      <c r="F435" s="59">
        <v>46164</v>
      </c>
      <c r="G435" s="51" t="str">
        <f t="shared" si="24"/>
        <v>Sex</v>
      </c>
      <c r="H435" s="60">
        <v>0.54166666666666663</v>
      </c>
      <c r="I435" s="57" t="s">
        <v>46</v>
      </c>
      <c r="J435" s="57" t="s">
        <v>1956</v>
      </c>
      <c r="K435" s="57" t="s">
        <v>107</v>
      </c>
      <c r="L435" s="53" t="str">
        <f>IF(A435="MUD END","NÃO","SIM")</f>
        <v>SIM</v>
      </c>
      <c r="M435" s="57" t="s">
        <v>1957</v>
      </c>
      <c r="N435" s="57" t="s">
        <v>89</v>
      </c>
      <c r="O435" s="57" t="s">
        <v>72</v>
      </c>
      <c r="P435" s="57" t="s">
        <v>72</v>
      </c>
      <c r="Q435" s="57" t="s">
        <v>1958</v>
      </c>
      <c r="R435" s="57" t="s">
        <v>1959</v>
      </c>
      <c r="S435" s="61" t="str">
        <f t="shared" ca="1" si="25"/>
        <v>EXECUTADA</v>
      </c>
    </row>
    <row r="436" spans="1:19" s="55" customFormat="1" ht="15" customHeight="1" x14ac:dyDescent="0.25">
      <c r="A436" s="64" t="s">
        <v>2806</v>
      </c>
      <c r="B436" s="61" t="s">
        <v>30</v>
      </c>
      <c r="C436" s="58"/>
      <c r="D436" s="53" t="s">
        <v>1308</v>
      </c>
      <c r="E436" s="57">
        <v>34988245241</v>
      </c>
      <c r="F436" s="183">
        <v>46164</v>
      </c>
      <c r="G436" s="51" t="str">
        <f t="shared" si="24"/>
        <v>Sex</v>
      </c>
      <c r="H436" s="60">
        <v>0.625</v>
      </c>
      <c r="I436" s="57" t="s">
        <v>46</v>
      </c>
      <c r="J436" s="57" t="s">
        <v>1960</v>
      </c>
      <c r="K436" s="57" t="s">
        <v>132</v>
      </c>
      <c r="L436" s="53" t="str">
        <f t="shared" ref="L436:L444" si="30">IF(B436="MUD END","NÃO","SIM")</f>
        <v>SIM</v>
      </c>
      <c r="M436" s="57" t="s">
        <v>1961</v>
      </c>
      <c r="N436" s="57" t="s">
        <v>79</v>
      </c>
      <c r="O436" s="57" t="s">
        <v>1962</v>
      </c>
      <c r="P436" s="57"/>
      <c r="Q436" s="57" t="s">
        <v>1963</v>
      </c>
      <c r="R436" s="57" t="s">
        <v>1964</v>
      </c>
      <c r="S436" s="61" t="str">
        <f t="shared" ca="1" si="25"/>
        <v>EXECUTADA</v>
      </c>
    </row>
    <row r="437" spans="1:19" s="55" customFormat="1" ht="18" x14ac:dyDescent="0.25">
      <c r="A437" s="64" t="s">
        <v>1965</v>
      </c>
      <c r="B437" s="57" t="s">
        <v>27</v>
      </c>
      <c r="C437" s="58"/>
      <c r="D437" s="53" t="s">
        <v>1308</v>
      </c>
      <c r="E437" s="57">
        <v>34984234468</v>
      </c>
      <c r="F437" s="59">
        <v>46164</v>
      </c>
      <c r="G437" s="51" t="str">
        <f t="shared" si="24"/>
        <v>Sex</v>
      </c>
      <c r="H437" s="60">
        <v>0.625</v>
      </c>
      <c r="I437" s="57" t="s">
        <v>42</v>
      </c>
      <c r="J437" s="57" t="s">
        <v>1799</v>
      </c>
      <c r="K437" s="57" t="s">
        <v>146</v>
      </c>
      <c r="L437" s="53" t="str">
        <f t="shared" si="30"/>
        <v>NÃO</v>
      </c>
      <c r="M437" s="57" t="s">
        <v>72</v>
      </c>
      <c r="N437" s="57" t="s">
        <v>79</v>
      </c>
      <c r="O437" s="57" t="s">
        <v>1966</v>
      </c>
      <c r="P437" s="57">
        <v>34984234468</v>
      </c>
      <c r="Q437" s="57" t="s">
        <v>1800</v>
      </c>
      <c r="R437" s="57" t="s">
        <v>1967</v>
      </c>
      <c r="S437" s="61" t="str">
        <f t="shared" ca="1" si="25"/>
        <v>EXECUTADA</v>
      </c>
    </row>
    <row r="438" spans="1:19" s="165" customFormat="1" ht="15" customHeight="1" x14ac:dyDescent="0.25">
      <c r="A438" s="120" t="s">
        <v>1968</v>
      </c>
      <c r="B438" s="57" t="s">
        <v>27</v>
      </c>
      <c r="C438" s="58"/>
      <c r="D438" s="53" t="s">
        <v>1308</v>
      </c>
      <c r="E438" s="57">
        <v>34991041222</v>
      </c>
      <c r="F438" s="59">
        <v>46164</v>
      </c>
      <c r="G438" s="51" t="str">
        <f t="shared" si="24"/>
        <v>Sex</v>
      </c>
      <c r="H438" s="60">
        <v>0.70833333333333337</v>
      </c>
      <c r="I438" s="57" t="s">
        <v>42</v>
      </c>
      <c r="J438" s="57" t="s">
        <v>1969</v>
      </c>
      <c r="K438" s="57" t="s">
        <v>146</v>
      </c>
      <c r="L438" s="53" t="str">
        <f t="shared" si="30"/>
        <v>NÃO</v>
      </c>
      <c r="M438" s="57" t="s">
        <v>72</v>
      </c>
      <c r="N438" s="57" t="s">
        <v>89</v>
      </c>
      <c r="O438" s="57" t="s">
        <v>72</v>
      </c>
      <c r="P438" s="57" t="s">
        <v>72</v>
      </c>
      <c r="Q438" s="57" t="s">
        <v>1970</v>
      </c>
      <c r="R438" s="57" t="s">
        <v>1971</v>
      </c>
      <c r="S438" s="61" t="str">
        <f t="shared" ca="1" si="25"/>
        <v>EXECUTADA</v>
      </c>
    </row>
    <row r="439" spans="1:19" s="83" customFormat="1" ht="30" customHeight="1" x14ac:dyDescent="0.25">
      <c r="A439" s="64" t="s">
        <v>2807</v>
      </c>
      <c r="B439" s="57" t="s">
        <v>27</v>
      </c>
      <c r="C439" s="58"/>
      <c r="D439" s="53" t="s">
        <v>1308</v>
      </c>
      <c r="E439" s="57">
        <v>18991293620</v>
      </c>
      <c r="F439" s="59">
        <v>46164</v>
      </c>
      <c r="G439" s="51" t="str">
        <f t="shared" si="24"/>
        <v>Sex</v>
      </c>
      <c r="H439" s="60">
        <v>0.70833333333333337</v>
      </c>
      <c r="I439" s="57" t="s">
        <v>42</v>
      </c>
      <c r="J439" s="57" t="s">
        <v>1972</v>
      </c>
      <c r="K439" s="57" t="s">
        <v>87</v>
      </c>
      <c r="L439" s="53" t="str">
        <f t="shared" si="30"/>
        <v>NÃO</v>
      </c>
      <c r="M439" s="57" t="s">
        <v>72</v>
      </c>
      <c r="N439" s="57" t="s">
        <v>89</v>
      </c>
      <c r="O439" s="57" t="s">
        <v>72</v>
      </c>
      <c r="P439" s="57" t="s">
        <v>72</v>
      </c>
      <c r="Q439" s="57" t="s">
        <v>1973</v>
      </c>
      <c r="R439" s="57" t="s">
        <v>1974</v>
      </c>
      <c r="S439" s="61" t="str">
        <f t="shared" ca="1" si="25"/>
        <v>EXECUTADA</v>
      </c>
    </row>
    <row r="440" spans="1:19" s="81" customFormat="1" ht="18" x14ac:dyDescent="0.25">
      <c r="A440" s="188" t="s">
        <v>1975</v>
      </c>
      <c r="B440" s="157" t="s">
        <v>27</v>
      </c>
      <c r="C440" s="158"/>
      <c r="D440" s="163"/>
      <c r="E440" s="157"/>
      <c r="F440" s="160">
        <v>46164</v>
      </c>
      <c r="G440" s="161" t="str">
        <f t="shared" si="24"/>
        <v>Sex</v>
      </c>
      <c r="H440" s="162">
        <v>0.625</v>
      </c>
      <c r="I440" s="157"/>
      <c r="J440" s="157"/>
      <c r="K440" s="157"/>
      <c r="L440" s="163" t="str">
        <f t="shared" si="30"/>
        <v>NÃO</v>
      </c>
      <c r="M440" s="157"/>
      <c r="N440" s="157"/>
      <c r="O440" s="157"/>
      <c r="P440" s="157"/>
      <c r="Q440" s="157"/>
      <c r="R440" s="157"/>
      <c r="S440" s="164" t="str">
        <f t="shared" ca="1" si="25"/>
        <v>EXECUTADA</v>
      </c>
    </row>
    <row r="441" spans="1:19" s="55" customFormat="1" ht="30" customHeight="1" x14ac:dyDescent="0.25">
      <c r="A441" s="209" t="s">
        <v>2808</v>
      </c>
      <c r="B441" s="210" t="s">
        <v>30</v>
      </c>
      <c r="C441" s="211" t="s">
        <v>1976</v>
      </c>
      <c r="D441" s="212" t="s">
        <v>1977</v>
      </c>
      <c r="E441" s="74">
        <v>34992904400</v>
      </c>
      <c r="F441" s="92">
        <v>46165</v>
      </c>
      <c r="G441" s="93" t="str">
        <f t="shared" si="24"/>
        <v>Sáb</v>
      </c>
      <c r="H441" s="77">
        <v>0.54166666666666663</v>
      </c>
      <c r="I441" s="74" t="s">
        <v>46</v>
      </c>
      <c r="J441" s="74" t="s">
        <v>1978</v>
      </c>
      <c r="K441" s="74" t="s">
        <v>87</v>
      </c>
      <c r="L441" s="78" t="str">
        <f t="shared" si="30"/>
        <v>SIM</v>
      </c>
      <c r="M441" s="74" t="s">
        <v>1979</v>
      </c>
      <c r="N441" s="74" t="s">
        <v>79</v>
      </c>
      <c r="O441" s="74" t="s">
        <v>1980</v>
      </c>
      <c r="P441" s="74">
        <v>34984320110</v>
      </c>
      <c r="Q441" s="74" t="s">
        <v>1981</v>
      </c>
      <c r="R441" s="74" t="s">
        <v>2809</v>
      </c>
      <c r="S441" s="79" t="str">
        <f t="shared" ca="1" si="25"/>
        <v>EXECUTADA</v>
      </c>
    </row>
    <row r="442" spans="1:19" s="55" customFormat="1" ht="72" x14ac:dyDescent="0.25">
      <c r="A442" s="152" t="s">
        <v>1982</v>
      </c>
      <c r="B442" s="38" t="s">
        <v>27</v>
      </c>
      <c r="C442" s="39" t="s">
        <v>1983</v>
      </c>
      <c r="D442" s="40" t="s">
        <v>1984</v>
      </c>
      <c r="E442" s="213">
        <v>34996911717</v>
      </c>
      <c r="F442" s="41">
        <v>46165</v>
      </c>
      <c r="G442" s="42" t="str">
        <f t="shared" si="24"/>
        <v>Sáb</v>
      </c>
      <c r="H442" s="43">
        <v>0.33333333333333331</v>
      </c>
      <c r="I442" s="38" t="s">
        <v>35</v>
      </c>
      <c r="J442" s="38" t="s">
        <v>1985</v>
      </c>
      <c r="K442" s="38" t="s">
        <v>146</v>
      </c>
      <c r="L442" s="40" t="str">
        <f t="shared" si="30"/>
        <v>NÃO</v>
      </c>
      <c r="M442" s="38" t="s">
        <v>72</v>
      </c>
      <c r="N442" s="38" t="s">
        <v>89</v>
      </c>
      <c r="O442" s="38" t="s">
        <v>72</v>
      </c>
      <c r="P442" s="38" t="s">
        <v>72</v>
      </c>
      <c r="Q442" s="38" t="s">
        <v>1986</v>
      </c>
      <c r="R442" s="38"/>
      <c r="S442" s="44" t="str">
        <f t="shared" ca="1" si="25"/>
        <v>EXECUTADA</v>
      </c>
    </row>
    <row r="443" spans="1:19" s="55" customFormat="1" ht="36" x14ac:dyDescent="0.25">
      <c r="A443" s="64" t="s">
        <v>2810</v>
      </c>
      <c r="B443" s="57" t="s">
        <v>27</v>
      </c>
      <c r="C443" s="58" t="s">
        <v>1987</v>
      </c>
      <c r="D443" s="53" t="s">
        <v>1308</v>
      </c>
      <c r="E443" s="214">
        <v>34996560110</v>
      </c>
      <c r="F443" s="59">
        <v>46165</v>
      </c>
      <c r="G443" s="51" t="str">
        <f t="shared" si="24"/>
        <v>Sáb</v>
      </c>
      <c r="H443" s="60">
        <v>0.33333333333333331</v>
      </c>
      <c r="I443" s="57" t="s">
        <v>42</v>
      </c>
      <c r="J443" s="57" t="s">
        <v>1988</v>
      </c>
      <c r="K443" s="57" t="s">
        <v>71</v>
      </c>
      <c r="L443" s="53" t="str">
        <f t="shared" si="30"/>
        <v>NÃO</v>
      </c>
      <c r="M443" s="57" t="s">
        <v>72</v>
      </c>
      <c r="N443" s="57" t="s">
        <v>89</v>
      </c>
      <c r="O443" s="57" t="s">
        <v>72</v>
      </c>
      <c r="P443" s="57" t="s">
        <v>72</v>
      </c>
      <c r="Q443" s="57" t="s">
        <v>1989</v>
      </c>
      <c r="R443" s="57" t="s">
        <v>1990</v>
      </c>
      <c r="S443" s="61" t="str">
        <f t="shared" ca="1" si="25"/>
        <v>EXECUTADA</v>
      </c>
    </row>
    <row r="444" spans="1:19" s="55" customFormat="1" ht="36" x14ac:dyDescent="0.25">
      <c r="A444" s="64" t="s">
        <v>1991</v>
      </c>
      <c r="B444" s="57" t="s">
        <v>27</v>
      </c>
      <c r="C444" s="58" t="s">
        <v>1992</v>
      </c>
      <c r="D444" s="53" t="s">
        <v>1308</v>
      </c>
      <c r="E444" s="214">
        <v>34992665767</v>
      </c>
      <c r="F444" s="59">
        <v>46165</v>
      </c>
      <c r="G444" s="51" t="str">
        <f t="shared" si="24"/>
        <v>Sáb</v>
      </c>
      <c r="H444" s="60">
        <v>0.41666666666666669</v>
      </c>
      <c r="I444" s="139" t="s">
        <v>38</v>
      </c>
      <c r="J444" s="139" t="s">
        <v>1993</v>
      </c>
      <c r="K444" s="139" t="s">
        <v>87</v>
      </c>
      <c r="L444" s="53" t="str">
        <f t="shared" si="30"/>
        <v>NÃO</v>
      </c>
      <c r="M444" s="57" t="s">
        <v>72</v>
      </c>
      <c r="N444" s="57" t="s">
        <v>89</v>
      </c>
      <c r="O444" s="57" t="s">
        <v>72</v>
      </c>
      <c r="P444" s="57" t="s">
        <v>72</v>
      </c>
      <c r="Q444" s="57" t="s">
        <v>1994</v>
      </c>
      <c r="R444" s="57" t="s">
        <v>1995</v>
      </c>
      <c r="S444" s="61" t="str">
        <f t="shared" ca="1" si="25"/>
        <v>EXECUTADA</v>
      </c>
    </row>
    <row r="445" spans="1:19" ht="30" customHeight="1" x14ac:dyDescent="0.25">
      <c r="A445" s="64" t="s">
        <v>1996</v>
      </c>
      <c r="B445" s="57" t="s">
        <v>30</v>
      </c>
      <c r="C445" s="58" t="s">
        <v>1997</v>
      </c>
      <c r="D445" s="53" t="s">
        <v>1308</v>
      </c>
      <c r="E445" s="214">
        <v>34998797784</v>
      </c>
      <c r="F445" s="59">
        <v>46165</v>
      </c>
      <c r="G445" s="51" t="str">
        <f t="shared" si="24"/>
        <v>Sáb</v>
      </c>
      <c r="H445" s="60">
        <v>0.41666666666666669</v>
      </c>
      <c r="I445" s="57" t="s">
        <v>46</v>
      </c>
      <c r="J445" s="57" t="s">
        <v>1998</v>
      </c>
      <c r="K445" s="57" t="s">
        <v>146</v>
      </c>
      <c r="L445" s="53" t="str">
        <f>IF(A445="MUD END","NÃO","SIM")</f>
        <v>SIM</v>
      </c>
      <c r="M445" s="57" t="s">
        <v>1240</v>
      </c>
      <c r="N445" s="57" t="s">
        <v>89</v>
      </c>
      <c r="O445" s="57" t="s">
        <v>72</v>
      </c>
      <c r="P445" s="57" t="s">
        <v>72</v>
      </c>
      <c r="Q445" s="57" t="s">
        <v>1999</v>
      </c>
      <c r="R445" s="57" t="s">
        <v>2000</v>
      </c>
      <c r="S445" s="61" t="str">
        <f t="shared" ca="1" si="25"/>
        <v>EXECUTADA</v>
      </c>
    </row>
    <row r="446" spans="1:19" s="55" customFormat="1" ht="45" customHeight="1" x14ac:dyDescent="0.25">
      <c r="A446" s="117" t="s">
        <v>1903</v>
      </c>
      <c r="B446" s="57" t="s">
        <v>30</v>
      </c>
      <c r="C446" s="58" t="s">
        <v>2002</v>
      </c>
      <c r="D446" s="53" t="s">
        <v>1308</v>
      </c>
      <c r="E446" s="57">
        <v>34999554983</v>
      </c>
      <c r="F446" s="59">
        <v>46165</v>
      </c>
      <c r="G446" s="51" t="str">
        <f t="shared" si="24"/>
        <v>Sáb</v>
      </c>
      <c r="H446" s="215" t="s">
        <v>183</v>
      </c>
      <c r="I446" s="57" t="s">
        <v>46</v>
      </c>
      <c r="J446" s="57" t="s">
        <v>1905</v>
      </c>
      <c r="K446" s="57" t="s">
        <v>146</v>
      </c>
      <c r="L446" s="141" t="str">
        <f>IF(B446="MUD END","NÃO","SIM")</f>
        <v>SIM</v>
      </c>
      <c r="M446" s="57" t="s">
        <v>1072</v>
      </c>
      <c r="N446" s="55" t="s">
        <v>89</v>
      </c>
      <c r="O446" s="57" t="s">
        <v>72</v>
      </c>
      <c r="P446" s="57" t="s">
        <v>72</v>
      </c>
      <c r="Q446" s="57" t="s">
        <v>1906</v>
      </c>
      <c r="R446" s="57" t="s">
        <v>1907</v>
      </c>
      <c r="S446" s="61" t="str">
        <f t="shared" ca="1" si="25"/>
        <v>EXECUTADA</v>
      </c>
    </row>
    <row r="447" spans="1:19" s="81" customFormat="1" ht="36" x14ac:dyDescent="0.25">
      <c r="A447" s="152" t="s">
        <v>2811</v>
      </c>
      <c r="B447" s="38" t="s">
        <v>27</v>
      </c>
      <c r="C447" s="39" t="s">
        <v>2007</v>
      </c>
      <c r="D447" s="40" t="s">
        <v>2008</v>
      </c>
      <c r="E447" s="213">
        <v>34998914641</v>
      </c>
      <c r="F447" s="41">
        <v>46167</v>
      </c>
      <c r="G447" s="42" t="str">
        <f t="shared" si="24"/>
        <v>Seg</v>
      </c>
      <c r="H447" s="43">
        <v>0.33333333333333331</v>
      </c>
      <c r="I447" s="44"/>
      <c r="J447" s="44" t="s">
        <v>2009</v>
      </c>
      <c r="K447" s="44"/>
      <c r="L447" s="40" t="str">
        <f>IF(B447="MUD END","NÃO","SIM")</f>
        <v>NÃO</v>
      </c>
      <c r="M447" s="38" t="s">
        <v>2010</v>
      </c>
      <c r="N447" s="38"/>
      <c r="O447" s="38"/>
      <c r="P447" s="38"/>
      <c r="Q447" s="38"/>
      <c r="R447" s="38"/>
      <c r="S447" s="44" t="str">
        <f t="shared" ca="1" si="25"/>
        <v>EXECUTADA</v>
      </c>
    </row>
    <row r="448" spans="1:19" s="55" customFormat="1" ht="36" x14ac:dyDescent="0.25">
      <c r="A448" s="72" t="s">
        <v>2011</v>
      </c>
      <c r="B448" s="57" t="s">
        <v>27</v>
      </c>
      <c r="C448" s="58" t="s">
        <v>2012</v>
      </c>
      <c r="D448" s="53" t="s">
        <v>1308</v>
      </c>
      <c r="E448" s="57">
        <v>34997751984</v>
      </c>
      <c r="F448" s="59">
        <v>46167</v>
      </c>
      <c r="G448" s="51" t="str">
        <f t="shared" si="24"/>
        <v>Seg</v>
      </c>
      <c r="H448" s="60">
        <v>0.41666666666666669</v>
      </c>
      <c r="I448" s="57" t="s">
        <v>35</v>
      </c>
      <c r="J448" s="57" t="s">
        <v>2013</v>
      </c>
      <c r="K448" s="57" t="s">
        <v>87</v>
      </c>
      <c r="L448" s="53" t="str">
        <f>IF(B448="MUD END","NÃO","SIM")</f>
        <v>NÃO</v>
      </c>
      <c r="M448" s="57" t="s">
        <v>72</v>
      </c>
      <c r="N448" s="57" t="s">
        <v>89</v>
      </c>
      <c r="O448" s="57" t="s">
        <v>72</v>
      </c>
      <c r="P448" s="57" t="s">
        <v>72</v>
      </c>
      <c r="Q448" s="57" t="s">
        <v>2014</v>
      </c>
      <c r="R448" s="57" t="s">
        <v>2015</v>
      </c>
      <c r="S448" s="61" t="str">
        <f t="shared" ca="1" si="25"/>
        <v>EXECUTADA</v>
      </c>
    </row>
    <row r="449" spans="1:26" s="165" customFormat="1" ht="18" x14ac:dyDescent="0.25">
      <c r="A449" s="188" t="s">
        <v>2812</v>
      </c>
      <c r="B449" s="157" t="s">
        <v>289</v>
      </c>
      <c r="C449" s="158"/>
      <c r="D449" s="163" t="s">
        <v>218</v>
      </c>
      <c r="E449" s="216"/>
      <c r="F449" s="160">
        <v>46167</v>
      </c>
      <c r="G449" s="161" t="str">
        <f t="shared" si="24"/>
        <v>Seg</v>
      </c>
      <c r="H449" s="162">
        <v>0.41666666666666669</v>
      </c>
      <c r="I449" s="157"/>
      <c r="J449" s="157"/>
      <c r="K449" s="157"/>
      <c r="L449" s="163" t="str">
        <f>IF(B449="MUD END","NÃO","SIM")</f>
        <v>SIM</v>
      </c>
      <c r="M449" s="157"/>
      <c r="N449" s="157"/>
      <c r="O449" s="157"/>
      <c r="P449" s="157"/>
      <c r="Q449" s="157"/>
      <c r="R449" s="157"/>
      <c r="S449" s="164" t="str">
        <f t="shared" ca="1" si="25"/>
        <v>EXECUTADA</v>
      </c>
    </row>
    <row r="450" spans="1:26" s="55" customFormat="1" ht="36" x14ac:dyDescent="0.25">
      <c r="A450" s="64" t="s">
        <v>2016</v>
      </c>
      <c r="B450" s="57" t="s">
        <v>27</v>
      </c>
      <c r="C450" s="58" t="s">
        <v>2017</v>
      </c>
      <c r="D450" s="53" t="s">
        <v>2018</v>
      </c>
      <c r="E450" s="214" t="s">
        <v>2019</v>
      </c>
      <c r="F450" s="59">
        <v>46167</v>
      </c>
      <c r="G450" s="51" t="str">
        <f t="shared" ref="G450:G480" si="31">PROPER(TEXT(F450,"DDD"))</f>
        <v>Seg</v>
      </c>
      <c r="H450" s="60">
        <v>0.41666666666666669</v>
      </c>
      <c r="I450" s="57" t="s">
        <v>46</v>
      </c>
      <c r="J450" s="57" t="s">
        <v>2020</v>
      </c>
      <c r="K450" s="57" t="s">
        <v>1348</v>
      </c>
      <c r="L450" s="53" t="str">
        <f>IF(B450="MUD END","NÃO","SIM")</f>
        <v>NÃO</v>
      </c>
      <c r="M450" s="57" t="s">
        <v>1872</v>
      </c>
      <c r="N450" s="57" t="s">
        <v>79</v>
      </c>
      <c r="O450" s="57" t="s">
        <v>2021</v>
      </c>
      <c r="P450" s="57">
        <v>34991626650</v>
      </c>
      <c r="Q450" s="57" t="s">
        <v>2022</v>
      </c>
      <c r="R450" s="57" t="s">
        <v>2023</v>
      </c>
      <c r="S450" s="61" t="str">
        <f t="shared" ref="S450:S480" ca="1" si="32">IF(F450&lt;TODAY(),"EXECUTADA",IF(F450=TODAY(),"EM EXECUÇÃO",IF(F450=TODAY()+1,"VALIDAR HOJE",IF(F450&gt;TODAY()+1,"VALIDAR DEPOIS","-"))))</f>
        <v>EXECUTADA</v>
      </c>
    </row>
    <row r="451" spans="1:26" s="55" customFormat="1" ht="36" x14ac:dyDescent="0.25">
      <c r="A451" s="64" t="s">
        <v>2024</v>
      </c>
      <c r="B451" s="57" t="s">
        <v>30</v>
      </c>
      <c r="C451" s="58" t="s">
        <v>2025</v>
      </c>
      <c r="D451" s="53" t="s">
        <v>2026</v>
      </c>
      <c r="E451" s="214">
        <v>34998964590</v>
      </c>
      <c r="F451" s="59">
        <v>46167</v>
      </c>
      <c r="G451" s="51" t="str">
        <f t="shared" si="31"/>
        <v>Seg</v>
      </c>
      <c r="H451" s="60">
        <v>0.54166666666666663</v>
      </c>
      <c r="I451" s="57" t="s">
        <v>46</v>
      </c>
      <c r="J451" s="57" t="s">
        <v>2027</v>
      </c>
      <c r="K451" s="57" t="s">
        <v>1796</v>
      </c>
      <c r="L451" s="53" t="str">
        <f>IF(A451="MUD END","NÃO","SIM")</f>
        <v>SIM</v>
      </c>
      <c r="M451" s="57" t="s">
        <v>2028</v>
      </c>
      <c r="N451" s="57" t="s">
        <v>89</v>
      </c>
      <c r="O451" s="57" t="s">
        <v>72</v>
      </c>
      <c r="P451" s="57" t="s">
        <v>72</v>
      </c>
      <c r="Q451" s="57" t="s">
        <v>2029</v>
      </c>
      <c r="R451" s="57"/>
      <c r="S451" s="61" t="str">
        <f t="shared" ca="1" si="32"/>
        <v>EXECUTADA</v>
      </c>
    </row>
    <row r="452" spans="1:26" s="55" customFormat="1" ht="36" x14ac:dyDescent="0.25">
      <c r="A452" s="72" t="s">
        <v>2030</v>
      </c>
      <c r="B452" s="57" t="s">
        <v>30</v>
      </c>
      <c r="C452" s="58" t="s">
        <v>2031</v>
      </c>
      <c r="D452" s="53" t="s">
        <v>1308</v>
      </c>
      <c r="E452" s="214">
        <v>34996312068</v>
      </c>
      <c r="F452" s="59">
        <v>46167</v>
      </c>
      <c r="G452" s="51" t="str">
        <f t="shared" si="31"/>
        <v>Seg</v>
      </c>
      <c r="H452" s="60">
        <v>0.54166666666666663</v>
      </c>
      <c r="I452" s="57" t="s">
        <v>46</v>
      </c>
      <c r="J452" s="57" t="s">
        <v>2032</v>
      </c>
      <c r="K452" s="57" t="s">
        <v>71</v>
      </c>
      <c r="L452" s="53" t="str">
        <f t="shared" ref="L452:L459" si="33">IF(B452="MUD END","NÃO","SIM")</f>
        <v>SIM</v>
      </c>
      <c r="M452" s="57" t="s">
        <v>588</v>
      </c>
      <c r="N452" s="57" t="s">
        <v>89</v>
      </c>
      <c r="O452" s="57" t="s">
        <v>72</v>
      </c>
      <c r="P452" s="57" t="s">
        <v>72</v>
      </c>
      <c r="Q452" s="57" t="s">
        <v>2033</v>
      </c>
      <c r="R452" s="57" t="s">
        <v>2034</v>
      </c>
      <c r="S452" s="61" t="str">
        <f t="shared" ca="1" si="32"/>
        <v>EXECUTADA</v>
      </c>
    </row>
    <row r="453" spans="1:26" ht="36" x14ac:dyDescent="0.25">
      <c r="A453" s="64" t="s">
        <v>2783</v>
      </c>
      <c r="B453" s="57" t="s">
        <v>30</v>
      </c>
      <c r="C453" s="58" t="s">
        <v>2035</v>
      </c>
      <c r="D453" s="53" t="s">
        <v>1773</v>
      </c>
      <c r="E453" s="214">
        <v>34996928238</v>
      </c>
      <c r="F453" s="59">
        <v>46167</v>
      </c>
      <c r="G453" s="51" t="str">
        <f t="shared" si="31"/>
        <v>Seg</v>
      </c>
      <c r="H453" s="60">
        <v>0.625</v>
      </c>
      <c r="I453" s="57" t="s">
        <v>46</v>
      </c>
      <c r="J453" s="57" t="s">
        <v>1774</v>
      </c>
      <c r="K453" s="57" t="s">
        <v>146</v>
      </c>
      <c r="L453" s="53" t="str">
        <f t="shared" si="33"/>
        <v>SIM</v>
      </c>
      <c r="M453" s="57" t="s">
        <v>1085</v>
      </c>
      <c r="N453" s="57" t="s">
        <v>89</v>
      </c>
      <c r="O453" s="57" t="s">
        <v>1775</v>
      </c>
      <c r="P453" s="57" t="s">
        <v>72</v>
      </c>
      <c r="Q453" s="57" t="s">
        <v>1776</v>
      </c>
      <c r="R453" s="57" t="s">
        <v>1777</v>
      </c>
      <c r="S453" s="61" t="str">
        <f t="shared" ca="1" si="32"/>
        <v>EXECUTADA</v>
      </c>
      <c r="T453" s="55"/>
      <c r="U453" s="55"/>
      <c r="V453" s="55"/>
      <c r="W453" s="55"/>
      <c r="X453" s="55"/>
      <c r="Y453" s="55"/>
      <c r="Z453" s="55"/>
    </row>
    <row r="454" spans="1:26" s="55" customFormat="1" ht="54" x14ac:dyDescent="0.25">
      <c r="A454" s="64" t="s">
        <v>2036</v>
      </c>
      <c r="B454" s="57" t="s">
        <v>30</v>
      </c>
      <c r="C454" s="58" t="s">
        <v>2037</v>
      </c>
      <c r="D454" s="53"/>
      <c r="E454" s="214">
        <v>34991694326</v>
      </c>
      <c r="F454" s="59">
        <v>46167</v>
      </c>
      <c r="G454" s="51" t="str">
        <f t="shared" si="31"/>
        <v>Seg</v>
      </c>
      <c r="H454" s="60">
        <v>0.625</v>
      </c>
      <c r="I454" s="57" t="s">
        <v>46</v>
      </c>
      <c r="J454" s="57" t="s">
        <v>2038</v>
      </c>
      <c r="K454" s="57" t="s">
        <v>146</v>
      </c>
      <c r="L454" s="53" t="str">
        <f t="shared" si="33"/>
        <v>SIM</v>
      </c>
      <c r="M454" s="57" t="s">
        <v>2039</v>
      </c>
      <c r="N454" s="57" t="s">
        <v>79</v>
      </c>
      <c r="O454" s="57" t="s">
        <v>2040</v>
      </c>
      <c r="P454" s="57">
        <v>34996787889</v>
      </c>
      <c r="Q454" s="57" t="s">
        <v>2813</v>
      </c>
      <c r="R454" s="57" t="s">
        <v>2814</v>
      </c>
      <c r="S454" s="61" t="str">
        <f t="shared" ca="1" si="32"/>
        <v>EXECUTADA</v>
      </c>
    </row>
    <row r="455" spans="1:26" s="55" customFormat="1" ht="54" x14ac:dyDescent="0.25">
      <c r="A455" s="64" t="s">
        <v>2815</v>
      </c>
      <c r="B455" s="57" t="s">
        <v>27</v>
      </c>
      <c r="C455" s="58" t="s">
        <v>2041</v>
      </c>
      <c r="D455" s="53" t="s">
        <v>1308</v>
      </c>
      <c r="E455" s="214">
        <v>34992058310</v>
      </c>
      <c r="F455" s="59">
        <v>46167</v>
      </c>
      <c r="G455" s="51" t="str">
        <f t="shared" si="31"/>
        <v>Seg</v>
      </c>
      <c r="H455" s="60">
        <v>0.70833333333333337</v>
      </c>
      <c r="I455" s="57" t="s">
        <v>42</v>
      </c>
      <c r="J455" s="57" t="s">
        <v>2042</v>
      </c>
      <c r="K455" s="57" t="s">
        <v>107</v>
      </c>
      <c r="L455" s="53" t="str">
        <f t="shared" si="33"/>
        <v>NÃO</v>
      </c>
      <c r="M455" s="57" t="s">
        <v>72</v>
      </c>
      <c r="N455" s="57" t="s">
        <v>79</v>
      </c>
      <c r="O455" s="57" t="s">
        <v>2043</v>
      </c>
      <c r="P455" s="57">
        <v>34984421481</v>
      </c>
      <c r="Q455" s="57" t="s">
        <v>2044</v>
      </c>
      <c r="R455" s="57" t="s">
        <v>2045</v>
      </c>
      <c r="S455" s="61" t="str">
        <f t="shared" ca="1" si="32"/>
        <v>EXECUTADA</v>
      </c>
    </row>
    <row r="456" spans="1:26" s="55" customFormat="1" ht="36" x14ac:dyDescent="0.25">
      <c r="A456" s="64" t="s">
        <v>2046</v>
      </c>
      <c r="B456" s="57" t="s">
        <v>27</v>
      </c>
      <c r="C456" s="58" t="s">
        <v>2047</v>
      </c>
      <c r="D456" s="53" t="s">
        <v>1308</v>
      </c>
      <c r="E456" s="57">
        <v>34996418389</v>
      </c>
      <c r="F456" s="59">
        <v>46167</v>
      </c>
      <c r="G456" s="51" t="str">
        <f t="shared" si="31"/>
        <v>Seg</v>
      </c>
      <c r="H456" s="60">
        <v>0.70833333333333337</v>
      </c>
      <c r="I456" s="57" t="s">
        <v>42</v>
      </c>
      <c r="J456" s="57" t="s">
        <v>2048</v>
      </c>
      <c r="K456" s="57" t="s">
        <v>71</v>
      </c>
      <c r="L456" s="53" t="str">
        <f t="shared" si="33"/>
        <v>NÃO</v>
      </c>
      <c r="M456" s="57" t="s">
        <v>72</v>
      </c>
      <c r="N456" s="57" t="s">
        <v>89</v>
      </c>
      <c r="O456" s="57" t="s">
        <v>72</v>
      </c>
      <c r="P456" s="57" t="s">
        <v>72</v>
      </c>
      <c r="Q456" s="57" t="s">
        <v>2049</v>
      </c>
      <c r="R456" s="57" t="s">
        <v>2050</v>
      </c>
      <c r="S456" s="61" t="str">
        <f t="shared" ca="1" si="32"/>
        <v>EXECUTADA</v>
      </c>
    </row>
    <row r="457" spans="1:26" s="83" customFormat="1" ht="36" x14ac:dyDescent="0.25">
      <c r="A457" s="85" t="s">
        <v>2816</v>
      </c>
      <c r="B457" s="74" t="s">
        <v>30</v>
      </c>
      <c r="C457" s="75" t="s">
        <v>2051</v>
      </c>
      <c r="D457" s="78" t="s">
        <v>2052</v>
      </c>
      <c r="E457" s="74">
        <v>34991185728</v>
      </c>
      <c r="F457" s="92">
        <v>46167</v>
      </c>
      <c r="G457" s="93" t="str">
        <f t="shared" si="31"/>
        <v>Seg</v>
      </c>
      <c r="H457" s="77">
        <v>0.54166666666666663</v>
      </c>
      <c r="I457" s="74" t="s">
        <v>46</v>
      </c>
      <c r="J457" s="74" t="s">
        <v>2053</v>
      </c>
      <c r="K457" s="74" t="s">
        <v>781</v>
      </c>
      <c r="L457" s="78" t="str">
        <f t="shared" si="33"/>
        <v>SIM</v>
      </c>
      <c r="M457" s="74" t="s">
        <v>2054</v>
      </c>
      <c r="N457" s="74" t="s">
        <v>89</v>
      </c>
      <c r="O457" s="74" t="s">
        <v>72</v>
      </c>
      <c r="P457" s="74" t="s">
        <v>72</v>
      </c>
      <c r="Q457" s="74" t="s">
        <v>208</v>
      </c>
      <c r="R457" s="74"/>
      <c r="S457" s="79" t="str">
        <f t="shared" ca="1" si="32"/>
        <v>EXECUTADA</v>
      </c>
    </row>
    <row r="458" spans="1:26" s="55" customFormat="1" ht="54" x14ac:dyDescent="0.25">
      <c r="A458" s="72" t="s">
        <v>2055</v>
      </c>
      <c r="B458" s="57" t="s">
        <v>30</v>
      </c>
      <c r="C458" s="58" t="s">
        <v>2056</v>
      </c>
      <c r="D458" s="53" t="s">
        <v>2057</v>
      </c>
      <c r="E458" s="57">
        <v>34991275598</v>
      </c>
      <c r="F458" s="59">
        <v>46167</v>
      </c>
      <c r="G458" s="51" t="str">
        <f t="shared" si="31"/>
        <v>Seg</v>
      </c>
      <c r="H458" s="60">
        <v>0.70833333333333337</v>
      </c>
      <c r="I458" s="57" t="s">
        <v>46</v>
      </c>
      <c r="J458" s="57" t="s">
        <v>2058</v>
      </c>
      <c r="K458" s="57" t="s">
        <v>87</v>
      </c>
      <c r="L458" s="53" t="str">
        <f t="shared" si="33"/>
        <v>SIM</v>
      </c>
      <c r="M458" s="57" t="s">
        <v>2059</v>
      </c>
      <c r="N458" s="57" t="s">
        <v>89</v>
      </c>
      <c r="O458" s="57" t="s">
        <v>72</v>
      </c>
      <c r="P458" s="57" t="s">
        <v>72</v>
      </c>
      <c r="Q458" s="57" t="s">
        <v>2060</v>
      </c>
      <c r="R458" s="57" t="s">
        <v>2061</v>
      </c>
      <c r="S458" s="61" t="str">
        <f t="shared" ca="1" si="32"/>
        <v>EXECUTADA</v>
      </c>
    </row>
    <row r="459" spans="1:26" s="55" customFormat="1" ht="54" x14ac:dyDescent="0.25">
      <c r="A459" s="64" t="s">
        <v>2062</v>
      </c>
      <c r="B459" s="57" t="s">
        <v>30</v>
      </c>
      <c r="C459" s="58" t="s">
        <v>2063</v>
      </c>
      <c r="D459" s="53" t="s">
        <v>2064</v>
      </c>
      <c r="E459" s="57">
        <v>34999009671</v>
      </c>
      <c r="F459" s="59">
        <v>46167</v>
      </c>
      <c r="G459" s="51" t="str">
        <f t="shared" si="31"/>
        <v>Seg</v>
      </c>
      <c r="H459" s="60">
        <v>0.70833333333333337</v>
      </c>
      <c r="I459" s="57" t="s">
        <v>46</v>
      </c>
      <c r="J459" s="57" t="s">
        <v>2065</v>
      </c>
      <c r="K459" s="57" t="s">
        <v>139</v>
      </c>
      <c r="L459" s="53" t="str">
        <f t="shared" si="33"/>
        <v>SIM</v>
      </c>
      <c r="M459" s="57" t="s">
        <v>2066</v>
      </c>
      <c r="N459" s="57" t="s">
        <v>89</v>
      </c>
      <c r="O459" s="57" t="s">
        <v>2067</v>
      </c>
      <c r="P459" s="57">
        <v>34997691536</v>
      </c>
      <c r="Q459" s="57" t="s">
        <v>2068</v>
      </c>
      <c r="R459" s="57" t="s">
        <v>2069</v>
      </c>
      <c r="S459" s="61" t="str">
        <f t="shared" ca="1" si="32"/>
        <v>EXECUTADA</v>
      </c>
    </row>
    <row r="460" spans="1:26" s="55" customFormat="1" ht="36" x14ac:dyDescent="0.25">
      <c r="A460" s="151" t="s">
        <v>2070</v>
      </c>
      <c r="B460" s="57" t="s">
        <v>30</v>
      </c>
      <c r="C460" s="58" t="s">
        <v>2071</v>
      </c>
      <c r="D460" s="53" t="s">
        <v>868</v>
      </c>
      <c r="E460" s="57">
        <v>34991825907</v>
      </c>
      <c r="F460" s="59">
        <v>46167</v>
      </c>
      <c r="G460" s="51" t="str">
        <f t="shared" si="31"/>
        <v>Seg</v>
      </c>
      <c r="H460" s="60">
        <v>0.70833333333333337</v>
      </c>
      <c r="I460" s="57" t="s">
        <v>46</v>
      </c>
      <c r="J460" s="57" t="s">
        <v>2072</v>
      </c>
      <c r="K460" s="57" t="s">
        <v>71</v>
      </c>
      <c r="L460" s="53" t="str">
        <f>IF(A460="MUD END","NÃO","SIM")</f>
        <v>SIM</v>
      </c>
      <c r="M460" s="57" t="s">
        <v>604</v>
      </c>
      <c r="N460" s="57" t="s">
        <v>89</v>
      </c>
      <c r="O460" s="57" t="s">
        <v>72</v>
      </c>
      <c r="P460" s="57" t="s">
        <v>72</v>
      </c>
      <c r="Q460" s="57" t="s">
        <v>2073</v>
      </c>
      <c r="R460" s="57" t="s">
        <v>2074</v>
      </c>
      <c r="S460" s="61" t="str">
        <f t="shared" ca="1" si="32"/>
        <v>EXECUTADA</v>
      </c>
    </row>
    <row r="461" spans="1:26" s="55" customFormat="1" ht="36" x14ac:dyDescent="0.25">
      <c r="A461" s="72" t="s">
        <v>2817</v>
      </c>
      <c r="B461" s="57" t="s">
        <v>27</v>
      </c>
      <c r="C461" s="58" t="s">
        <v>2075</v>
      </c>
      <c r="D461" s="53" t="s">
        <v>1308</v>
      </c>
      <c r="E461" s="57" t="s">
        <v>2076</v>
      </c>
      <c r="F461" s="59">
        <v>46168</v>
      </c>
      <c r="G461" s="51" t="str">
        <f t="shared" si="31"/>
        <v>Ter</v>
      </c>
      <c r="H461" s="60">
        <v>0.70833333333333337</v>
      </c>
      <c r="I461" s="57" t="s">
        <v>35</v>
      </c>
      <c r="J461" s="57" t="s">
        <v>2077</v>
      </c>
      <c r="K461" s="57" t="s">
        <v>87</v>
      </c>
      <c r="L461" s="53" t="str">
        <f>IF(B461="MUD END","NÃO","SIM")</f>
        <v>NÃO</v>
      </c>
      <c r="M461" s="57" t="s">
        <v>72</v>
      </c>
      <c r="N461" s="57" t="s">
        <v>79</v>
      </c>
      <c r="O461" s="57" t="s">
        <v>2078</v>
      </c>
      <c r="P461" s="57" t="s">
        <v>2079</v>
      </c>
      <c r="Q461" s="57" t="s">
        <v>2080</v>
      </c>
      <c r="R461" s="57" t="s">
        <v>2081</v>
      </c>
      <c r="S461" s="61" t="str">
        <f t="shared" ca="1" si="32"/>
        <v>EXECUTADA</v>
      </c>
    </row>
    <row r="462" spans="1:26" s="83" customFormat="1" ht="36" x14ac:dyDescent="0.25">
      <c r="A462" s="80" t="s">
        <v>2818</v>
      </c>
      <c r="B462" s="83" t="s">
        <v>30</v>
      </c>
      <c r="C462" s="75" t="s">
        <v>2082</v>
      </c>
      <c r="D462" s="78" t="s">
        <v>1163</v>
      </c>
      <c r="E462" s="74">
        <v>34991695242</v>
      </c>
      <c r="F462" s="92">
        <v>46168</v>
      </c>
      <c r="G462" s="93" t="str">
        <f t="shared" si="31"/>
        <v>Ter</v>
      </c>
      <c r="H462" s="77">
        <v>0.33333333333333331</v>
      </c>
      <c r="I462" s="74" t="s">
        <v>907</v>
      </c>
      <c r="J462" s="74" t="s">
        <v>2083</v>
      </c>
      <c r="K462" s="74" t="s">
        <v>781</v>
      </c>
      <c r="L462" s="78" t="str">
        <f>IF(A462="MUD END","NÃO","SIM")</f>
        <v>SIM</v>
      </c>
      <c r="M462" s="74" t="s">
        <v>2084</v>
      </c>
      <c r="N462" s="74" t="s">
        <v>89</v>
      </c>
      <c r="O462" s="74" t="s">
        <v>72</v>
      </c>
      <c r="P462" s="74" t="s">
        <v>72</v>
      </c>
      <c r="Q462" s="74" t="s">
        <v>2085</v>
      </c>
      <c r="R462" s="74" t="s">
        <v>2086</v>
      </c>
      <c r="S462" s="79" t="str">
        <f t="shared" ca="1" si="32"/>
        <v>EXECUTADA</v>
      </c>
    </row>
    <row r="463" spans="1:26" s="55" customFormat="1" ht="36" x14ac:dyDescent="0.25">
      <c r="A463" s="72" t="s">
        <v>2087</v>
      </c>
      <c r="B463" s="57" t="s">
        <v>27</v>
      </c>
      <c r="C463" s="58" t="s">
        <v>2088</v>
      </c>
      <c r="D463" s="53" t="s">
        <v>1308</v>
      </c>
      <c r="E463" s="57" t="s">
        <v>2089</v>
      </c>
      <c r="F463" s="59">
        <v>46168</v>
      </c>
      <c r="G463" s="51" t="str">
        <f t="shared" si="31"/>
        <v>Ter</v>
      </c>
      <c r="H463" s="60">
        <v>0.33333333333333331</v>
      </c>
      <c r="I463" s="57" t="s">
        <v>35</v>
      </c>
      <c r="J463" s="57" t="s">
        <v>2090</v>
      </c>
      <c r="K463" s="57" t="s">
        <v>87</v>
      </c>
      <c r="L463" s="53" t="str">
        <f t="shared" ref="L463:L479" si="34">IF(B463="MUD END","NÃO","SIM")</f>
        <v>NÃO</v>
      </c>
      <c r="M463" s="57" t="s">
        <v>72</v>
      </c>
      <c r="N463" s="57" t="s">
        <v>89</v>
      </c>
      <c r="O463" s="57" t="s">
        <v>72</v>
      </c>
      <c r="P463" s="57" t="s">
        <v>72</v>
      </c>
      <c r="Q463" s="57" t="s">
        <v>2091</v>
      </c>
      <c r="R463" s="57" t="s">
        <v>2092</v>
      </c>
      <c r="S463" s="61" t="str">
        <f t="shared" ca="1" si="32"/>
        <v>EXECUTADA</v>
      </c>
    </row>
    <row r="464" spans="1:26" s="55" customFormat="1" ht="36" x14ac:dyDescent="0.25">
      <c r="A464" s="64" t="s">
        <v>2093</v>
      </c>
      <c r="B464" s="57" t="s">
        <v>30</v>
      </c>
      <c r="C464" s="58" t="s">
        <v>2094</v>
      </c>
      <c r="D464" s="53" t="s">
        <v>868</v>
      </c>
      <c r="E464" s="57">
        <v>34999459379</v>
      </c>
      <c r="F464" s="59">
        <v>46168</v>
      </c>
      <c r="G464" s="51" t="str">
        <f t="shared" si="31"/>
        <v>Ter</v>
      </c>
      <c r="H464" s="60">
        <v>0.33333333333333331</v>
      </c>
      <c r="I464" s="57" t="s">
        <v>46</v>
      </c>
      <c r="J464" s="57" t="s">
        <v>2095</v>
      </c>
      <c r="K464" s="57" t="s">
        <v>107</v>
      </c>
      <c r="L464" s="53" t="str">
        <f t="shared" si="34"/>
        <v>SIM</v>
      </c>
      <c r="M464" s="57" t="s">
        <v>2096</v>
      </c>
      <c r="N464" s="57" t="s">
        <v>79</v>
      </c>
      <c r="O464" s="57" t="s">
        <v>2097</v>
      </c>
      <c r="P464" s="57">
        <v>34991562020</v>
      </c>
      <c r="Q464" s="57" t="s">
        <v>2098</v>
      </c>
      <c r="R464" s="57" t="s">
        <v>2099</v>
      </c>
      <c r="S464" s="61" t="str">
        <f t="shared" ca="1" si="32"/>
        <v>EXECUTADA</v>
      </c>
    </row>
    <row r="465" spans="1:19" s="55" customFormat="1" ht="36" x14ac:dyDescent="0.25">
      <c r="A465" s="194" t="s">
        <v>2819</v>
      </c>
      <c r="B465" s="57" t="s">
        <v>27</v>
      </c>
      <c r="C465" s="58" t="s">
        <v>2100</v>
      </c>
      <c r="D465" s="53" t="s">
        <v>868</v>
      </c>
      <c r="E465" s="57">
        <v>34996736207</v>
      </c>
      <c r="F465" s="59">
        <v>46168</v>
      </c>
      <c r="G465" s="51" t="str">
        <f t="shared" si="31"/>
        <v>Ter</v>
      </c>
      <c r="H465" s="60">
        <v>0.33333333333333331</v>
      </c>
      <c r="I465" s="57" t="s">
        <v>42</v>
      </c>
      <c r="J465" s="57" t="s">
        <v>2101</v>
      </c>
      <c r="K465" s="57" t="s">
        <v>71</v>
      </c>
      <c r="L465" s="53" t="str">
        <f t="shared" si="34"/>
        <v>NÃO</v>
      </c>
      <c r="M465" s="57" t="s">
        <v>72</v>
      </c>
      <c r="N465" s="57" t="s">
        <v>79</v>
      </c>
      <c r="O465" s="57" t="s">
        <v>2102</v>
      </c>
      <c r="P465" s="57" t="s">
        <v>2103</v>
      </c>
      <c r="Q465" s="57" t="s">
        <v>2104</v>
      </c>
      <c r="R465" s="57" t="s">
        <v>2105</v>
      </c>
      <c r="S465" s="61" t="str">
        <f t="shared" ca="1" si="32"/>
        <v>EXECUTADA</v>
      </c>
    </row>
    <row r="466" spans="1:19" s="55" customFormat="1" ht="36" x14ac:dyDescent="0.25">
      <c r="A466" s="64" t="s">
        <v>2106</v>
      </c>
      <c r="B466" s="57" t="s">
        <v>27</v>
      </c>
      <c r="C466" s="58" t="s">
        <v>2107</v>
      </c>
      <c r="D466" s="53" t="s">
        <v>868</v>
      </c>
      <c r="E466" s="57">
        <v>34991183105</v>
      </c>
      <c r="F466" s="59">
        <v>46168</v>
      </c>
      <c r="G466" s="51" t="str">
        <f t="shared" si="31"/>
        <v>Ter</v>
      </c>
      <c r="H466" s="60">
        <v>0.41666666666666669</v>
      </c>
      <c r="I466" s="57" t="s">
        <v>42</v>
      </c>
      <c r="J466" s="57" t="s">
        <v>2108</v>
      </c>
      <c r="K466" s="57" t="s">
        <v>71</v>
      </c>
      <c r="L466" s="53" t="str">
        <f t="shared" si="34"/>
        <v>NÃO</v>
      </c>
      <c r="M466" s="57" t="s">
        <v>72</v>
      </c>
      <c r="N466" s="57" t="s">
        <v>89</v>
      </c>
      <c r="O466" s="57" t="s">
        <v>72</v>
      </c>
      <c r="P466" s="57" t="s">
        <v>72</v>
      </c>
      <c r="Q466" s="57" t="s">
        <v>2109</v>
      </c>
      <c r="R466" s="57" t="s">
        <v>2110</v>
      </c>
      <c r="S466" s="61" t="str">
        <f t="shared" ca="1" si="32"/>
        <v>EXECUTADA</v>
      </c>
    </row>
    <row r="467" spans="1:19" s="55" customFormat="1" ht="36" x14ac:dyDescent="0.25">
      <c r="A467" s="72" t="s">
        <v>2820</v>
      </c>
      <c r="B467" s="57" t="s">
        <v>27</v>
      </c>
      <c r="C467" s="58" t="s">
        <v>2111</v>
      </c>
      <c r="D467" s="53" t="s">
        <v>868</v>
      </c>
      <c r="E467" s="57"/>
      <c r="F467" s="59">
        <v>46168</v>
      </c>
      <c r="G467" s="51" t="str">
        <f t="shared" si="31"/>
        <v>Ter</v>
      </c>
      <c r="H467" s="60"/>
      <c r="I467" s="57"/>
      <c r="J467" s="57"/>
      <c r="K467" s="57"/>
      <c r="L467" s="53" t="str">
        <f t="shared" si="34"/>
        <v>NÃO</v>
      </c>
      <c r="M467" s="57"/>
      <c r="N467" s="57"/>
      <c r="O467" s="57"/>
      <c r="P467" s="57"/>
      <c r="Q467" s="57"/>
      <c r="R467" s="57"/>
      <c r="S467" s="61" t="str">
        <f t="shared" ca="1" si="32"/>
        <v>EXECUTADA</v>
      </c>
    </row>
    <row r="468" spans="1:19" s="55" customFormat="1" ht="36" x14ac:dyDescent="0.25">
      <c r="A468" s="166" t="s">
        <v>2112</v>
      </c>
      <c r="B468" s="57" t="s">
        <v>30</v>
      </c>
      <c r="C468" s="58" t="s">
        <v>2113</v>
      </c>
      <c r="D468" s="53" t="s">
        <v>868</v>
      </c>
      <c r="E468" s="57">
        <v>34996417888</v>
      </c>
      <c r="F468" s="59">
        <v>46168</v>
      </c>
      <c r="G468" s="51" t="str">
        <f t="shared" si="31"/>
        <v>Ter</v>
      </c>
      <c r="H468" s="60">
        <v>0.41666666666666669</v>
      </c>
      <c r="I468" s="57" t="s">
        <v>46</v>
      </c>
      <c r="J468" s="57" t="s">
        <v>2114</v>
      </c>
      <c r="K468" s="57" t="s">
        <v>94</v>
      </c>
      <c r="L468" s="53" t="str">
        <f t="shared" si="34"/>
        <v>SIM</v>
      </c>
      <c r="M468" s="57" t="s">
        <v>2115</v>
      </c>
      <c r="N468" s="57" t="s">
        <v>89</v>
      </c>
      <c r="O468" s="57" t="s">
        <v>72</v>
      </c>
      <c r="P468" s="57" t="s">
        <v>72</v>
      </c>
      <c r="Q468" s="57" t="s">
        <v>2116</v>
      </c>
      <c r="R468" s="57" t="s">
        <v>2117</v>
      </c>
      <c r="S468" s="61" t="str">
        <f t="shared" ca="1" si="32"/>
        <v>EXECUTADA</v>
      </c>
    </row>
    <row r="469" spans="1:19" s="55" customFormat="1" ht="18" x14ac:dyDescent="0.25">
      <c r="A469" s="64" t="s">
        <v>2118</v>
      </c>
      <c r="B469" s="57" t="s">
        <v>30</v>
      </c>
      <c r="C469" s="58" t="s">
        <v>2119</v>
      </c>
      <c r="D469" s="53" t="s">
        <v>868</v>
      </c>
      <c r="E469" s="57">
        <v>64993046581</v>
      </c>
      <c r="F469" s="59">
        <v>46168</v>
      </c>
      <c r="G469" s="51" t="str">
        <f t="shared" si="31"/>
        <v>Ter</v>
      </c>
      <c r="H469" s="60">
        <v>0.70833333333333337</v>
      </c>
      <c r="I469" s="57" t="s">
        <v>46</v>
      </c>
      <c r="J469" s="57" t="s">
        <v>2120</v>
      </c>
      <c r="K469" s="57" t="s">
        <v>100</v>
      </c>
      <c r="L469" s="53" t="str">
        <f t="shared" si="34"/>
        <v>SIM</v>
      </c>
      <c r="M469" s="57" t="s">
        <v>1622</v>
      </c>
      <c r="N469" s="57" t="s">
        <v>89</v>
      </c>
      <c r="O469" s="57" t="s">
        <v>72</v>
      </c>
      <c r="P469" s="57" t="s">
        <v>72</v>
      </c>
      <c r="Q469" s="57" t="s">
        <v>2121</v>
      </c>
      <c r="R469" s="57" t="s">
        <v>2122</v>
      </c>
      <c r="S469" s="61" t="str">
        <f t="shared" ca="1" si="32"/>
        <v>EXECUTADA</v>
      </c>
    </row>
    <row r="470" spans="1:19" s="55" customFormat="1" ht="36" x14ac:dyDescent="0.25">
      <c r="A470" s="80" t="s">
        <v>2821</v>
      </c>
      <c r="B470" s="74" t="s">
        <v>30</v>
      </c>
      <c r="C470" s="75" t="s">
        <v>2128</v>
      </c>
      <c r="D470" s="217" t="s">
        <v>208</v>
      </c>
      <c r="E470" s="74">
        <v>34991828959</v>
      </c>
      <c r="F470" s="92">
        <v>46169</v>
      </c>
      <c r="G470" s="93" t="str">
        <f t="shared" si="31"/>
        <v>Qua</v>
      </c>
      <c r="H470" s="77"/>
      <c r="I470" s="74"/>
      <c r="J470" s="74" t="s">
        <v>2129</v>
      </c>
      <c r="K470" s="74"/>
      <c r="L470" s="78" t="str">
        <f t="shared" si="34"/>
        <v>SIM</v>
      </c>
      <c r="M470" s="74" t="s">
        <v>2130</v>
      </c>
      <c r="N470" s="74"/>
      <c r="O470" s="74" t="s">
        <v>2131</v>
      </c>
      <c r="P470" s="74">
        <v>33920003745</v>
      </c>
      <c r="Q470" s="74" t="s">
        <v>208</v>
      </c>
      <c r="R470" s="74"/>
      <c r="S470" s="79" t="str">
        <f t="shared" ca="1" si="32"/>
        <v>EXECUTADA</v>
      </c>
    </row>
    <row r="471" spans="1:19" s="83" customFormat="1" ht="36" x14ac:dyDescent="0.25">
      <c r="A471" s="64" t="s">
        <v>2132</v>
      </c>
      <c r="B471" s="57" t="s">
        <v>30</v>
      </c>
      <c r="C471" s="58" t="s">
        <v>2133</v>
      </c>
      <c r="D471" s="53" t="s">
        <v>868</v>
      </c>
      <c r="E471" s="57">
        <v>31993017070</v>
      </c>
      <c r="F471" s="59">
        <v>46169</v>
      </c>
      <c r="G471" s="51" t="str">
        <f t="shared" si="31"/>
        <v>Qua</v>
      </c>
      <c r="H471" s="60">
        <v>0.625</v>
      </c>
      <c r="I471" s="57" t="s">
        <v>46</v>
      </c>
      <c r="J471" s="57" t="s">
        <v>2822</v>
      </c>
      <c r="K471" s="57" t="s">
        <v>132</v>
      </c>
      <c r="L471" s="53" t="str">
        <f t="shared" si="34"/>
        <v>SIM</v>
      </c>
      <c r="M471" s="57" t="s">
        <v>1525</v>
      </c>
      <c r="N471" s="57" t="s">
        <v>79</v>
      </c>
      <c r="O471" s="57" t="s">
        <v>2134</v>
      </c>
      <c r="P471" s="57">
        <v>31991538981</v>
      </c>
      <c r="Q471" s="57" t="s">
        <v>2135</v>
      </c>
      <c r="R471" s="57" t="s">
        <v>2136</v>
      </c>
      <c r="S471" s="61" t="str">
        <f t="shared" ca="1" si="32"/>
        <v>EXECUTADA</v>
      </c>
    </row>
    <row r="472" spans="1:19" s="55" customFormat="1" ht="36" x14ac:dyDescent="0.25">
      <c r="A472" s="64" t="s">
        <v>2137</v>
      </c>
      <c r="B472" s="57" t="s">
        <v>27</v>
      </c>
      <c r="C472" s="58" t="s">
        <v>2138</v>
      </c>
      <c r="D472" s="53" t="s">
        <v>868</v>
      </c>
      <c r="E472" s="57">
        <v>34992567001</v>
      </c>
      <c r="F472" s="59">
        <v>46169</v>
      </c>
      <c r="G472" s="51" t="str">
        <f t="shared" si="31"/>
        <v>Qua</v>
      </c>
      <c r="H472" s="60">
        <v>0.33333333333333331</v>
      </c>
      <c r="I472" s="57" t="s">
        <v>35</v>
      </c>
      <c r="J472" s="57" t="s">
        <v>2139</v>
      </c>
      <c r="K472" s="57" t="s">
        <v>146</v>
      </c>
      <c r="L472" s="53" t="str">
        <f t="shared" si="34"/>
        <v>NÃO</v>
      </c>
      <c r="M472" s="57" t="s">
        <v>72</v>
      </c>
      <c r="N472" s="57" t="s">
        <v>79</v>
      </c>
      <c r="O472" s="57" t="s">
        <v>2140</v>
      </c>
      <c r="P472" s="57">
        <v>34988699647</v>
      </c>
      <c r="Q472" s="57" t="s">
        <v>2141</v>
      </c>
      <c r="R472" s="57" t="s">
        <v>2142</v>
      </c>
      <c r="S472" s="61" t="str">
        <f t="shared" ca="1" si="32"/>
        <v>EXECUTADA</v>
      </c>
    </row>
    <row r="473" spans="1:19" s="55" customFormat="1" ht="36" x14ac:dyDescent="0.25">
      <c r="A473" s="169" t="s">
        <v>2143</v>
      </c>
      <c r="B473" s="57" t="s">
        <v>30</v>
      </c>
      <c r="C473" s="58" t="s">
        <v>2144</v>
      </c>
      <c r="D473" s="53" t="s">
        <v>868</v>
      </c>
      <c r="E473" s="57">
        <v>34996839780</v>
      </c>
      <c r="F473" s="59">
        <v>46169</v>
      </c>
      <c r="G473" s="51" t="str">
        <f t="shared" si="31"/>
        <v>Qua</v>
      </c>
      <c r="H473" s="60">
        <v>0.41666666666666669</v>
      </c>
      <c r="I473" s="57" t="s">
        <v>46</v>
      </c>
      <c r="J473" s="57" t="s">
        <v>2145</v>
      </c>
      <c r="K473" s="57" t="s">
        <v>71</v>
      </c>
      <c r="L473" s="53" t="str">
        <f t="shared" si="34"/>
        <v>SIM</v>
      </c>
      <c r="M473" s="57" t="s">
        <v>2146</v>
      </c>
      <c r="N473" s="57" t="s">
        <v>89</v>
      </c>
      <c r="O473" s="57" t="s">
        <v>72</v>
      </c>
      <c r="P473" s="57" t="s">
        <v>72</v>
      </c>
      <c r="Q473" s="57" t="s">
        <v>2147</v>
      </c>
      <c r="R473" s="57" t="s">
        <v>2148</v>
      </c>
      <c r="S473" s="61" t="str">
        <f t="shared" ca="1" si="32"/>
        <v>EXECUTADA</v>
      </c>
    </row>
    <row r="474" spans="1:19" s="55" customFormat="1" ht="36" x14ac:dyDescent="0.25">
      <c r="A474" s="64" t="s">
        <v>2149</v>
      </c>
      <c r="B474" s="57" t="s">
        <v>27</v>
      </c>
      <c r="C474" s="58" t="s">
        <v>2150</v>
      </c>
      <c r="D474" s="53" t="s">
        <v>868</v>
      </c>
      <c r="E474" s="57">
        <v>34984292334</v>
      </c>
      <c r="F474" s="59">
        <v>46169</v>
      </c>
      <c r="G474" s="51" t="str">
        <f t="shared" si="31"/>
        <v>Qua</v>
      </c>
      <c r="H474" s="60">
        <v>0.70833333333333337</v>
      </c>
      <c r="I474" s="57" t="s">
        <v>35</v>
      </c>
      <c r="J474" s="57" t="s">
        <v>2151</v>
      </c>
      <c r="K474" s="57" t="s">
        <v>146</v>
      </c>
      <c r="L474" s="53" t="str">
        <f t="shared" si="34"/>
        <v>NÃO</v>
      </c>
      <c r="M474" s="57" t="s">
        <v>72</v>
      </c>
      <c r="N474" s="57" t="s">
        <v>89</v>
      </c>
      <c r="O474" s="57" t="s">
        <v>72</v>
      </c>
      <c r="P474" s="57" t="s">
        <v>72</v>
      </c>
      <c r="Q474" s="57" t="s">
        <v>2152</v>
      </c>
      <c r="R474" s="57" t="s">
        <v>2153</v>
      </c>
      <c r="S474" s="61" t="str">
        <f t="shared" ca="1" si="32"/>
        <v>EXECUTADA</v>
      </c>
    </row>
    <row r="475" spans="1:19" s="55" customFormat="1" ht="30" customHeight="1" x14ac:dyDescent="0.25">
      <c r="A475" s="72" t="s">
        <v>2154</v>
      </c>
      <c r="B475" s="57" t="s">
        <v>27</v>
      </c>
      <c r="C475" s="58" t="s">
        <v>2155</v>
      </c>
      <c r="D475" s="53" t="s">
        <v>868</v>
      </c>
      <c r="E475" s="57">
        <v>34991618361</v>
      </c>
      <c r="F475" s="59">
        <v>46169</v>
      </c>
      <c r="G475" s="51" t="str">
        <f t="shared" si="31"/>
        <v>Qua</v>
      </c>
      <c r="H475" s="60">
        <v>0.54166666666666663</v>
      </c>
      <c r="I475" s="57" t="s">
        <v>42</v>
      </c>
      <c r="J475" s="57" t="s">
        <v>2156</v>
      </c>
      <c r="K475" s="57" t="s">
        <v>87</v>
      </c>
      <c r="L475" s="53" t="str">
        <f t="shared" si="34"/>
        <v>NÃO</v>
      </c>
      <c r="M475" s="57" t="s">
        <v>72</v>
      </c>
      <c r="N475" s="57" t="s">
        <v>79</v>
      </c>
      <c r="O475" s="57" t="s">
        <v>2157</v>
      </c>
      <c r="P475" s="57" t="s">
        <v>2158</v>
      </c>
      <c r="Q475" s="57" t="s">
        <v>2159</v>
      </c>
      <c r="R475" s="57" t="s">
        <v>2160</v>
      </c>
      <c r="S475" s="61" t="str">
        <f t="shared" ca="1" si="32"/>
        <v>EXECUTADA</v>
      </c>
    </row>
    <row r="476" spans="1:19" s="55" customFormat="1" ht="54" x14ac:dyDescent="0.25">
      <c r="A476" s="218" t="s">
        <v>2823</v>
      </c>
      <c r="B476" s="74" t="s">
        <v>27</v>
      </c>
      <c r="C476" s="75" t="s">
        <v>2161</v>
      </c>
      <c r="D476" s="217" t="s">
        <v>2162</v>
      </c>
      <c r="E476" s="74">
        <v>34999079195</v>
      </c>
      <c r="F476" s="92">
        <v>46169</v>
      </c>
      <c r="G476" s="93" t="str">
        <f t="shared" si="31"/>
        <v>Qua</v>
      </c>
      <c r="H476" s="77">
        <v>0.70833333333333337</v>
      </c>
      <c r="I476" s="74" t="s">
        <v>35</v>
      </c>
      <c r="J476" s="74" t="s">
        <v>2824</v>
      </c>
      <c r="K476" s="74" t="s">
        <v>71</v>
      </c>
      <c r="L476" s="78" t="str">
        <f t="shared" si="34"/>
        <v>NÃO</v>
      </c>
      <c r="M476" s="74" t="s">
        <v>72</v>
      </c>
      <c r="N476" s="74" t="s">
        <v>89</v>
      </c>
      <c r="O476" s="74" t="s">
        <v>2163</v>
      </c>
      <c r="P476" s="74" t="s">
        <v>2164</v>
      </c>
      <c r="Q476" s="74" t="s">
        <v>2165</v>
      </c>
      <c r="R476" s="74" t="s">
        <v>2825</v>
      </c>
      <c r="S476" s="79" t="str">
        <f t="shared" ca="1" si="32"/>
        <v>EXECUTADA</v>
      </c>
    </row>
    <row r="477" spans="1:19" s="83" customFormat="1" ht="30" customHeight="1" x14ac:dyDescent="0.25">
      <c r="A477" s="169" t="s">
        <v>2826</v>
      </c>
      <c r="B477" s="57" t="s">
        <v>27</v>
      </c>
      <c r="C477" s="58" t="s">
        <v>2166</v>
      </c>
      <c r="D477" s="53" t="s">
        <v>868</v>
      </c>
      <c r="E477" s="57">
        <v>34999989570</v>
      </c>
      <c r="F477" s="59">
        <v>46170</v>
      </c>
      <c r="G477" s="51" t="str">
        <f t="shared" si="31"/>
        <v>Qui</v>
      </c>
      <c r="H477" s="60">
        <v>0.33333333333333331</v>
      </c>
      <c r="I477" s="57" t="s">
        <v>42</v>
      </c>
      <c r="J477" s="57" t="s">
        <v>2167</v>
      </c>
      <c r="K477" s="57" t="s">
        <v>107</v>
      </c>
      <c r="L477" s="53" t="str">
        <f t="shared" si="34"/>
        <v>NÃO</v>
      </c>
      <c r="M477" s="57" t="s">
        <v>72</v>
      </c>
      <c r="N477" s="57" t="s">
        <v>89</v>
      </c>
      <c r="O477" s="57" t="s">
        <v>72</v>
      </c>
      <c r="P477" s="57" t="s">
        <v>72</v>
      </c>
      <c r="Q477" s="57" t="s">
        <v>2168</v>
      </c>
      <c r="R477" s="57" t="s">
        <v>2169</v>
      </c>
      <c r="S477" s="61" t="str">
        <f t="shared" ca="1" si="32"/>
        <v>EXECUTADA</v>
      </c>
    </row>
    <row r="478" spans="1:19" s="55" customFormat="1" ht="15" customHeight="1" x14ac:dyDescent="0.25">
      <c r="A478" s="64" t="s">
        <v>2827</v>
      </c>
      <c r="B478" s="57" t="s">
        <v>30</v>
      </c>
      <c r="C478" s="58" t="s">
        <v>2170</v>
      </c>
      <c r="D478" s="53" t="s">
        <v>868</v>
      </c>
      <c r="E478" s="57">
        <v>34992904400</v>
      </c>
      <c r="F478" s="59">
        <v>46170</v>
      </c>
      <c r="G478" s="51" t="str">
        <f t="shared" si="31"/>
        <v>Qui</v>
      </c>
      <c r="H478" s="60">
        <v>0.33333333333333331</v>
      </c>
      <c r="I478" s="57" t="s">
        <v>46</v>
      </c>
      <c r="J478" s="57" t="s">
        <v>1978</v>
      </c>
      <c r="K478" s="57" t="s">
        <v>87</v>
      </c>
      <c r="L478" s="53" t="str">
        <f t="shared" si="34"/>
        <v>SIM</v>
      </c>
      <c r="M478" s="57" t="s">
        <v>1979</v>
      </c>
      <c r="N478" s="57" t="s">
        <v>79</v>
      </c>
      <c r="O478" s="57" t="s">
        <v>1980</v>
      </c>
      <c r="P478" s="57">
        <v>34984320110</v>
      </c>
      <c r="Q478" s="57" t="s">
        <v>1981</v>
      </c>
      <c r="R478" s="57" t="s">
        <v>2171</v>
      </c>
      <c r="S478" s="61" t="str">
        <f t="shared" ca="1" si="32"/>
        <v>EXECUTADA</v>
      </c>
    </row>
    <row r="479" spans="1:19" s="55" customFormat="1" ht="30" customHeight="1" x14ac:dyDescent="0.25">
      <c r="A479" s="219" t="s">
        <v>2172</v>
      </c>
      <c r="B479" s="139" t="s">
        <v>30</v>
      </c>
      <c r="C479" s="220" t="s">
        <v>2173</v>
      </c>
      <c r="D479" s="53" t="s">
        <v>868</v>
      </c>
      <c r="E479" s="57">
        <v>34992371016</v>
      </c>
      <c r="F479" s="59">
        <v>46170</v>
      </c>
      <c r="G479" s="51" t="str">
        <f t="shared" si="31"/>
        <v>Qui</v>
      </c>
      <c r="H479" s="60">
        <v>0.33333333333333331</v>
      </c>
      <c r="I479" s="57" t="s">
        <v>46</v>
      </c>
      <c r="J479" s="57" t="s">
        <v>2174</v>
      </c>
      <c r="K479" s="57" t="s">
        <v>139</v>
      </c>
      <c r="L479" s="53" t="str">
        <f t="shared" si="34"/>
        <v>SIM</v>
      </c>
      <c r="M479" s="57" t="s">
        <v>2175</v>
      </c>
      <c r="N479" s="57" t="s">
        <v>89</v>
      </c>
      <c r="O479" s="57" t="s">
        <v>2176</v>
      </c>
      <c r="P479" s="57">
        <v>34997987936</v>
      </c>
      <c r="Q479" s="57" t="s">
        <v>2177</v>
      </c>
      <c r="R479" s="57" t="s">
        <v>2178</v>
      </c>
      <c r="S479" s="61" t="str">
        <f t="shared" ca="1" si="32"/>
        <v>EXECUTADA</v>
      </c>
    </row>
    <row r="480" spans="1:19" s="55" customFormat="1" ht="36" x14ac:dyDescent="0.25">
      <c r="A480" s="64" t="s">
        <v>2828</v>
      </c>
      <c r="B480" s="57" t="s">
        <v>30</v>
      </c>
      <c r="C480" s="58" t="s">
        <v>2179</v>
      </c>
      <c r="D480" s="53" t="s">
        <v>868</v>
      </c>
      <c r="E480" s="57">
        <v>34984317587</v>
      </c>
      <c r="F480" s="59">
        <v>46170</v>
      </c>
      <c r="G480" s="51" t="str">
        <f t="shared" si="31"/>
        <v>Qui</v>
      </c>
      <c r="H480" s="60">
        <v>0.70833333333333337</v>
      </c>
      <c r="I480" s="57" t="s">
        <v>46</v>
      </c>
      <c r="J480" s="57" t="s">
        <v>2180</v>
      </c>
      <c r="K480" s="57" t="s">
        <v>146</v>
      </c>
      <c r="L480" s="53" t="str">
        <f>IF(A480="MUD END","NÃO","SIM")</f>
        <v>SIM</v>
      </c>
      <c r="M480" s="57" t="s">
        <v>1085</v>
      </c>
      <c r="N480" s="57" t="s">
        <v>89</v>
      </c>
      <c r="O480" s="57" t="s">
        <v>72</v>
      </c>
      <c r="P480" s="57" t="s">
        <v>72</v>
      </c>
      <c r="Q480" s="57" t="s">
        <v>2181</v>
      </c>
      <c r="R480" s="57" t="s">
        <v>2182</v>
      </c>
      <c r="S480" s="61" t="str">
        <f t="shared" ca="1" si="32"/>
        <v>EXECUTADA</v>
      </c>
    </row>
    <row r="481" spans="1:26" s="55" customFormat="1" ht="36" x14ac:dyDescent="0.25">
      <c r="A481" s="221" t="s">
        <v>2223</v>
      </c>
      <c r="B481" s="222" t="s">
        <v>27</v>
      </c>
      <c r="C481" s="223" t="s">
        <v>2224</v>
      </c>
      <c r="D481" s="224" t="s">
        <v>2225</v>
      </c>
      <c r="E481" s="225">
        <v>34999910290</v>
      </c>
      <c r="F481" s="226">
        <v>46170</v>
      </c>
      <c r="G481" s="227" t="s">
        <v>2226</v>
      </c>
      <c r="H481" s="228">
        <v>0.41666666666666669</v>
      </c>
      <c r="I481" s="225" t="s">
        <v>289</v>
      </c>
      <c r="J481" s="225" t="s">
        <v>2227</v>
      </c>
      <c r="K481" s="225" t="s">
        <v>289</v>
      </c>
      <c r="L481" s="229" t="s">
        <v>79</v>
      </c>
      <c r="M481" s="225" t="s">
        <v>1298</v>
      </c>
      <c r="N481" s="225" t="s">
        <v>289</v>
      </c>
      <c r="O481" s="225" t="s">
        <v>289</v>
      </c>
      <c r="P481" s="225" t="s">
        <v>289</v>
      </c>
      <c r="Q481" s="225" t="s">
        <v>289</v>
      </c>
      <c r="R481" s="225" t="s">
        <v>289</v>
      </c>
      <c r="S481" s="227" t="s">
        <v>2228</v>
      </c>
    </row>
    <row r="482" spans="1:26" s="55" customFormat="1" ht="30" customHeight="1" x14ac:dyDescent="0.25">
      <c r="A482" s="64" t="s">
        <v>2829</v>
      </c>
      <c r="B482" s="57" t="s">
        <v>27</v>
      </c>
      <c r="C482" s="58" t="s">
        <v>2003</v>
      </c>
      <c r="D482" s="141" t="s">
        <v>1308</v>
      </c>
      <c r="E482" s="57">
        <v>34991155651</v>
      </c>
      <c r="F482" s="59">
        <v>46171</v>
      </c>
      <c r="G482" s="51" t="str">
        <f>PROPER(TEXT(F482,"DDD"))</f>
        <v>Sex</v>
      </c>
      <c r="H482" s="60">
        <v>0.33333333333333331</v>
      </c>
      <c r="I482" s="57" t="s">
        <v>35</v>
      </c>
      <c r="J482" s="57" t="s">
        <v>2004</v>
      </c>
      <c r="K482" s="57" t="s">
        <v>146</v>
      </c>
      <c r="L482" s="53" t="str">
        <f>IF(B482="MUD END","NÃO","SIM")</f>
        <v>NÃO</v>
      </c>
      <c r="M482" s="57" t="s">
        <v>72</v>
      </c>
      <c r="N482" s="57" t="s">
        <v>89</v>
      </c>
      <c r="O482" s="57" t="s">
        <v>72</v>
      </c>
      <c r="P482" s="57" t="s">
        <v>72</v>
      </c>
      <c r="Q482" s="57" t="s">
        <v>2005</v>
      </c>
      <c r="R482" s="57" t="s">
        <v>2006</v>
      </c>
      <c r="S482" s="61" t="str">
        <f ca="1">IF(F482&lt;TODAY(),"EXECUTADA",IF(F482=TODAY(),"EM EXECUÇÃO",IF(F482=TODAY()+1,"VALIDAR HOJE",IF(F482&gt;TODAY()+1,"VALIDAR DEPOIS","-"))))</f>
        <v>EXECUTADA</v>
      </c>
    </row>
    <row r="483" spans="1:26" s="55" customFormat="1" ht="36" x14ac:dyDescent="0.25">
      <c r="A483" s="72" t="s">
        <v>2183</v>
      </c>
      <c r="B483" s="57" t="s">
        <v>27</v>
      </c>
      <c r="C483" s="171" t="s">
        <v>2184</v>
      </c>
      <c r="D483" s="53" t="s">
        <v>868</v>
      </c>
      <c r="E483" s="57">
        <v>34991998014</v>
      </c>
      <c r="F483" s="59">
        <v>46171</v>
      </c>
      <c r="G483" s="51" t="str">
        <f>PROPER(TEXT(F483,"DDD"))</f>
        <v>Sex</v>
      </c>
      <c r="H483" s="60">
        <v>0.33333333333333331</v>
      </c>
      <c r="I483" s="57" t="s">
        <v>38</v>
      </c>
      <c r="J483" s="57" t="s">
        <v>2185</v>
      </c>
      <c r="K483" s="57" t="s">
        <v>87</v>
      </c>
      <c r="L483" s="53" t="str">
        <f>IF(B483="MUD END","NÃO","SIM")</f>
        <v>NÃO</v>
      </c>
      <c r="M483" s="57" t="s">
        <v>72</v>
      </c>
      <c r="N483" s="57" t="s">
        <v>89</v>
      </c>
      <c r="O483" s="57" t="s">
        <v>72</v>
      </c>
      <c r="P483" s="57" t="s">
        <v>72</v>
      </c>
      <c r="Q483" s="57" t="s">
        <v>2186</v>
      </c>
      <c r="R483" s="57" t="s">
        <v>2187</v>
      </c>
      <c r="S483" s="61" t="str">
        <f ca="1">IF(F483&lt;TODAY(),"EXECUTADA",IF(F483=TODAY(),"EM EXECUÇÃO",IF(F483=TODAY()+1,"VALIDAR HOJE",IF(F483&gt;TODAY()+1,"VALIDAR DEPOIS","-"))))</f>
        <v>EXECUTADA</v>
      </c>
      <c r="T483" s="230" t="s">
        <v>289</v>
      </c>
      <c r="U483" s="230" t="s">
        <v>289</v>
      </c>
      <c r="V483" s="230" t="s">
        <v>289</v>
      </c>
      <c r="W483" s="230" t="s">
        <v>289</v>
      </c>
      <c r="X483" s="230" t="s">
        <v>289</v>
      </c>
      <c r="Y483" s="230" t="s">
        <v>289</v>
      </c>
      <c r="Z483" s="230" t="s">
        <v>289</v>
      </c>
    </row>
    <row r="484" spans="1:26" ht="36" x14ac:dyDescent="0.25">
      <c r="A484" s="231" t="s">
        <v>2189</v>
      </c>
      <c r="B484" s="232" t="s">
        <v>30</v>
      </c>
      <c r="C484" s="233" t="s">
        <v>2190</v>
      </c>
      <c r="D484" s="234" t="s">
        <v>868</v>
      </c>
      <c r="E484" s="235">
        <v>34998892529</v>
      </c>
      <c r="F484" s="236">
        <v>46171</v>
      </c>
      <c r="G484" s="235" t="s">
        <v>2191</v>
      </c>
      <c r="H484" s="237">
        <v>0.33333333333333331</v>
      </c>
      <c r="I484" s="235" t="s">
        <v>46</v>
      </c>
      <c r="J484" s="235" t="s">
        <v>2192</v>
      </c>
      <c r="K484" s="235" t="s">
        <v>94</v>
      </c>
      <c r="L484" s="238" t="s">
        <v>89</v>
      </c>
      <c r="M484" s="235" t="s">
        <v>604</v>
      </c>
      <c r="N484" s="235" t="s">
        <v>89</v>
      </c>
      <c r="O484" s="239" t="s">
        <v>72</v>
      </c>
      <c r="P484" s="239" t="s">
        <v>72</v>
      </c>
      <c r="Q484" s="235" t="s">
        <v>2193</v>
      </c>
      <c r="R484" s="235" t="s">
        <v>2194</v>
      </c>
      <c r="S484" s="240" t="s">
        <v>2195</v>
      </c>
      <c r="T484" s="241" t="s">
        <v>289</v>
      </c>
      <c r="U484" s="241" t="s">
        <v>289</v>
      </c>
      <c r="V484" s="241" t="s">
        <v>289</v>
      </c>
      <c r="W484" s="241" t="s">
        <v>289</v>
      </c>
      <c r="X484" s="241" t="s">
        <v>289</v>
      </c>
      <c r="Y484" s="241" t="s">
        <v>289</v>
      </c>
      <c r="Z484" s="241" t="s">
        <v>289</v>
      </c>
    </row>
    <row r="485" spans="1:26" ht="36" x14ac:dyDescent="0.25">
      <c r="A485" s="231" t="s">
        <v>2196</v>
      </c>
      <c r="B485" s="232" t="s">
        <v>27</v>
      </c>
      <c r="C485" s="233" t="s">
        <v>2197</v>
      </c>
      <c r="D485" s="234" t="s">
        <v>868</v>
      </c>
      <c r="E485" s="235">
        <v>34997996683</v>
      </c>
      <c r="F485" s="236">
        <v>46171</v>
      </c>
      <c r="G485" s="235" t="s">
        <v>2191</v>
      </c>
      <c r="H485" s="237">
        <v>0.33333333333333331</v>
      </c>
      <c r="I485" s="235" t="s">
        <v>35</v>
      </c>
      <c r="J485" s="235" t="s">
        <v>2198</v>
      </c>
      <c r="K485" s="235" t="s">
        <v>146</v>
      </c>
      <c r="L485" s="229" t="s">
        <v>79</v>
      </c>
      <c r="M485" s="239" t="s">
        <v>72</v>
      </c>
      <c r="N485" s="235" t="s">
        <v>79</v>
      </c>
      <c r="O485" s="235" t="s">
        <v>2199</v>
      </c>
      <c r="P485" s="235" t="s">
        <v>2200</v>
      </c>
      <c r="Q485" s="235" t="s">
        <v>2201</v>
      </c>
      <c r="R485" s="235" t="s">
        <v>2202</v>
      </c>
      <c r="S485" s="240" t="s">
        <v>2195</v>
      </c>
      <c r="T485" s="241" t="s">
        <v>289</v>
      </c>
      <c r="U485" s="241" t="s">
        <v>289</v>
      </c>
      <c r="V485" s="241" t="s">
        <v>289</v>
      </c>
      <c r="W485" s="241" t="s">
        <v>289</v>
      </c>
      <c r="X485" s="241" t="s">
        <v>289</v>
      </c>
      <c r="Y485" s="241" t="s">
        <v>289</v>
      </c>
      <c r="Z485" s="241" t="s">
        <v>289</v>
      </c>
    </row>
    <row r="486" spans="1:26" ht="36" x14ac:dyDescent="0.25">
      <c r="A486" s="242" t="s">
        <v>2203</v>
      </c>
      <c r="B486" s="243" t="s">
        <v>27</v>
      </c>
      <c r="C486" s="244" t="s">
        <v>2204</v>
      </c>
      <c r="D486" s="245" t="s">
        <v>2205</v>
      </c>
      <c r="E486" s="246">
        <v>34996520372</v>
      </c>
      <c r="F486" s="247">
        <v>46171</v>
      </c>
      <c r="G486" s="246" t="s">
        <v>2191</v>
      </c>
      <c r="H486" s="248">
        <v>0.41666666666666669</v>
      </c>
      <c r="I486" s="246" t="s">
        <v>42</v>
      </c>
      <c r="J486" s="246" t="s">
        <v>2206</v>
      </c>
      <c r="K486" s="246" t="s">
        <v>289</v>
      </c>
      <c r="L486" s="229" t="s">
        <v>79</v>
      </c>
      <c r="M486" s="246" t="s">
        <v>289</v>
      </c>
      <c r="N486" s="246" t="s">
        <v>289</v>
      </c>
      <c r="O486" s="246" t="s">
        <v>2207</v>
      </c>
      <c r="P486" s="246" t="s">
        <v>2208</v>
      </c>
      <c r="Q486" s="246" t="s">
        <v>2209</v>
      </c>
      <c r="R486" s="246" t="s">
        <v>289</v>
      </c>
      <c r="S486" s="240" t="s">
        <v>2195</v>
      </c>
      <c r="T486" s="249" t="s">
        <v>289</v>
      </c>
      <c r="U486" s="249" t="s">
        <v>289</v>
      </c>
      <c r="V486" s="249" t="s">
        <v>289</v>
      </c>
      <c r="W486" s="249" t="s">
        <v>289</v>
      </c>
      <c r="X486" s="249" t="s">
        <v>289</v>
      </c>
      <c r="Y486" s="249" t="s">
        <v>289</v>
      </c>
      <c r="Z486" s="249" t="s">
        <v>289</v>
      </c>
    </row>
    <row r="487" spans="1:26" ht="36" x14ac:dyDescent="0.25">
      <c r="A487" s="250" t="s">
        <v>2210</v>
      </c>
      <c r="B487" s="243" t="s">
        <v>27</v>
      </c>
      <c r="C487" s="244" t="s">
        <v>2211</v>
      </c>
      <c r="D487" s="245" t="s">
        <v>2212</v>
      </c>
      <c r="E487" s="246">
        <v>34998808687</v>
      </c>
      <c r="F487" s="247">
        <v>46171</v>
      </c>
      <c r="G487" s="246" t="s">
        <v>2191</v>
      </c>
      <c r="H487" s="248">
        <v>0.41666666666666669</v>
      </c>
      <c r="I487" s="246" t="s">
        <v>35</v>
      </c>
      <c r="J487" s="246" t="s">
        <v>2213</v>
      </c>
      <c r="K487" s="246" t="s">
        <v>71</v>
      </c>
      <c r="L487" s="229" t="s">
        <v>79</v>
      </c>
      <c r="M487" s="251" t="s">
        <v>72</v>
      </c>
      <c r="N487" s="246" t="s">
        <v>89</v>
      </c>
      <c r="O487" s="251" t="s">
        <v>72</v>
      </c>
      <c r="P487" s="251" t="s">
        <v>72</v>
      </c>
      <c r="Q487" s="246" t="s">
        <v>2214</v>
      </c>
      <c r="R487" s="246" t="s">
        <v>2215</v>
      </c>
      <c r="S487" s="240" t="s">
        <v>2195</v>
      </c>
      <c r="T487" s="249" t="s">
        <v>289</v>
      </c>
      <c r="U487" s="249" t="s">
        <v>289</v>
      </c>
      <c r="V487" s="249" t="s">
        <v>289</v>
      </c>
      <c r="W487" s="249" t="s">
        <v>289</v>
      </c>
      <c r="X487" s="249" t="s">
        <v>289</v>
      </c>
      <c r="Y487" s="249" t="s">
        <v>289</v>
      </c>
      <c r="Z487" s="249" t="s">
        <v>289</v>
      </c>
    </row>
    <row r="488" spans="1:26" ht="36" x14ac:dyDescent="0.25">
      <c r="A488" s="231" t="s">
        <v>2830</v>
      </c>
      <c r="B488" s="232" t="s">
        <v>27</v>
      </c>
      <c r="C488" s="233" t="s">
        <v>2216</v>
      </c>
      <c r="D488" s="234" t="s">
        <v>868</v>
      </c>
      <c r="E488" s="235">
        <v>34997982512</v>
      </c>
      <c r="F488" s="236">
        <v>46171</v>
      </c>
      <c r="G488" s="235" t="s">
        <v>2191</v>
      </c>
      <c r="H488" s="237">
        <v>0.625</v>
      </c>
      <c r="I488" s="235" t="s">
        <v>35</v>
      </c>
      <c r="J488" s="235" t="s">
        <v>2217</v>
      </c>
      <c r="K488" s="235" t="s">
        <v>71</v>
      </c>
      <c r="L488" s="229" t="s">
        <v>79</v>
      </c>
      <c r="M488" s="239" t="s">
        <v>72</v>
      </c>
      <c r="N488" s="235" t="s">
        <v>89</v>
      </c>
      <c r="O488" s="239" t="s">
        <v>72</v>
      </c>
      <c r="P488" s="239" t="s">
        <v>72</v>
      </c>
      <c r="Q488" s="235" t="s">
        <v>2218</v>
      </c>
      <c r="R488" s="235" t="s">
        <v>2219</v>
      </c>
      <c r="S488" s="240" t="s">
        <v>2195</v>
      </c>
      <c r="T488" s="241" t="s">
        <v>289</v>
      </c>
      <c r="U488" s="241" t="s">
        <v>289</v>
      </c>
      <c r="V488" s="241" t="s">
        <v>289</v>
      </c>
      <c r="W488" s="241" t="s">
        <v>289</v>
      </c>
      <c r="X488" s="241" t="s">
        <v>289</v>
      </c>
      <c r="Y488" s="241" t="s">
        <v>289</v>
      </c>
      <c r="Z488" s="241" t="s">
        <v>289</v>
      </c>
    </row>
    <row r="489" spans="1:26" ht="36" x14ac:dyDescent="0.25">
      <c r="A489" s="250" t="s">
        <v>2831</v>
      </c>
      <c r="B489" s="243" t="s">
        <v>30</v>
      </c>
      <c r="C489" s="244" t="s">
        <v>2220</v>
      </c>
      <c r="D489" s="245" t="s">
        <v>1817</v>
      </c>
      <c r="E489" s="246">
        <v>34991647037</v>
      </c>
      <c r="F489" s="247">
        <v>46171</v>
      </c>
      <c r="G489" s="246" t="s">
        <v>2191</v>
      </c>
      <c r="H489" s="248">
        <v>0.625</v>
      </c>
      <c r="I489" s="246" t="s">
        <v>46</v>
      </c>
      <c r="J489" s="246" t="s">
        <v>2221</v>
      </c>
      <c r="K489" s="246" t="s">
        <v>107</v>
      </c>
      <c r="L489" s="238" t="s">
        <v>89</v>
      </c>
      <c r="M489" s="246" t="s">
        <v>2222</v>
      </c>
      <c r="N489" s="246" t="s">
        <v>89</v>
      </c>
      <c r="O489" s="251" t="s">
        <v>72</v>
      </c>
      <c r="P489" s="251" t="s">
        <v>72</v>
      </c>
      <c r="Q489" s="246" t="s">
        <v>208</v>
      </c>
      <c r="R489" s="246" t="s">
        <v>289</v>
      </c>
      <c r="S489" s="240" t="s">
        <v>2195</v>
      </c>
      <c r="T489" s="249" t="s">
        <v>289</v>
      </c>
      <c r="U489" s="249" t="s">
        <v>289</v>
      </c>
      <c r="V489" s="249" t="s">
        <v>289</v>
      </c>
      <c r="W489" s="249" t="s">
        <v>289</v>
      </c>
      <c r="X489" s="249" t="s">
        <v>289</v>
      </c>
      <c r="Y489" s="249" t="s">
        <v>289</v>
      </c>
      <c r="Z489" s="249" t="s">
        <v>289</v>
      </c>
    </row>
    <row r="490" spans="1:26" s="83" customFormat="1" ht="36" x14ac:dyDescent="0.25">
      <c r="A490" s="169" t="s">
        <v>2832</v>
      </c>
      <c r="B490" s="143" t="s">
        <v>27</v>
      </c>
      <c r="C490" s="181" t="s">
        <v>2123</v>
      </c>
      <c r="D490" s="252" t="s">
        <v>868</v>
      </c>
      <c r="E490" s="143">
        <v>77999823337</v>
      </c>
      <c r="F490" s="253">
        <v>46172</v>
      </c>
      <c r="G490" s="254" t="s">
        <v>2124</v>
      </c>
      <c r="H490" s="255">
        <v>0.33333333333333331</v>
      </c>
      <c r="I490" s="143" t="s">
        <v>35</v>
      </c>
      <c r="J490" s="143" t="s">
        <v>2125</v>
      </c>
      <c r="K490" s="143" t="s">
        <v>71</v>
      </c>
      <c r="L490" s="103" t="str">
        <f>IF(B490="MUD END","NÃO","SIM")</f>
        <v>NÃO</v>
      </c>
      <c r="M490" s="143" t="s">
        <v>72</v>
      </c>
      <c r="N490" s="143" t="s">
        <v>89</v>
      </c>
      <c r="O490" s="143" t="s">
        <v>72</v>
      </c>
      <c r="P490" s="143" t="s">
        <v>72</v>
      </c>
      <c r="Q490" s="143" t="s">
        <v>2126</v>
      </c>
      <c r="R490" s="143" t="s">
        <v>2127</v>
      </c>
      <c r="S490" s="143" t="str">
        <f ca="1">IF(F490&lt;TODAY(),"EXECUTADA",IF(F490=TODAY(),"EM EXECUÇÃO",IF(F490=TODAY()+1,"VALIDAR HOJE",IF(F490&gt;TODAY()+1,"VALIDAR DEPOIS","-"))))</f>
        <v>EXECUTADA</v>
      </c>
      <c r="T490" s="249" t="s">
        <v>289</v>
      </c>
      <c r="U490" s="249" t="s">
        <v>289</v>
      </c>
      <c r="V490" s="249" t="s">
        <v>289</v>
      </c>
      <c r="W490" s="249" t="s">
        <v>289</v>
      </c>
      <c r="X490" s="249" t="s">
        <v>289</v>
      </c>
      <c r="Y490" s="249" t="s">
        <v>289</v>
      </c>
      <c r="Z490" s="249" t="s">
        <v>289</v>
      </c>
    </row>
    <row r="491" spans="1:26" s="83" customFormat="1" ht="36" x14ac:dyDescent="0.25">
      <c r="A491" s="250" t="s">
        <v>2833</v>
      </c>
      <c r="B491" s="243" t="s">
        <v>27</v>
      </c>
      <c r="C491" s="244" t="s">
        <v>2229</v>
      </c>
      <c r="D491" s="245" t="s">
        <v>2225</v>
      </c>
      <c r="E491" s="246" t="s">
        <v>2230</v>
      </c>
      <c r="F491" s="247">
        <v>46172</v>
      </c>
      <c r="G491" s="246" t="s">
        <v>2231</v>
      </c>
      <c r="H491" s="248">
        <v>0.33333333333333331</v>
      </c>
      <c r="I491" s="246" t="s">
        <v>42</v>
      </c>
      <c r="J491" s="246" t="s">
        <v>2232</v>
      </c>
      <c r="K491" s="246" t="s">
        <v>71</v>
      </c>
      <c r="L491" s="229" t="s">
        <v>79</v>
      </c>
      <c r="M491" s="251" t="s">
        <v>72</v>
      </c>
      <c r="N491" s="246" t="s">
        <v>79</v>
      </c>
      <c r="O491" s="246" t="s">
        <v>2233</v>
      </c>
      <c r="P491" s="246" t="s">
        <v>2234</v>
      </c>
      <c r="Q491" s="246" t="s">
        <v>208</v>
      </c>
      <c r="R491" s="246" t="s">
        <v>2235</v>
      </c>
      <c r="S491" s="256" t="s">
        <v>2236</v>
      </c>
      <c r="T491" s="249" t="s">
        <v>289</v>
      </c>
      <c r="U491" s="249" t="s">
        <v>289</v>
      </c>
      <c r="V491" s="249" t="s">
        <v>289</v>
      </c>
      <c r="W491" s="249" t="s">
        <v>289</v>
      </c>
      <c r="X491" s="249" t="s">
        <v>289</v>
      </c>
      <c r="Y491" s="249" t="s">
        <v>289</v>
      </c>
      <c r="Z491" s="249" t="s">
        <v>289</v>
      </c>
    </row>
    <row r="492" spans="1:26" s="55" customFormat="1" ht="54" x14ac:dyDescent="0.25">
      <c r="A492" s="231" t="s">
        <v>2834</v>
      </c>
      <c r="B492" s="232" t="s">
        <v>27</v>
      </c>
      <c r="C492" s="233" t="s">
        <v>2237</v>
      </c>
      <c r="D492" s="234" t="s">
        <v>868</v>
      </c>
      <c r="E492" s="235">
        <v>34997769136</v>
      </c>
      <c r="F492" s="236">
        <v>46172</v>
      </c>
      <c r="G492" s="235" t="s">
        <v>2231</v>
      </c>
      <c r="H492" s="235" t="s">
        <v>183</v>
      </c>
      <c r="I492" s="235" t="s">
        <v>35</v>
      </c>
      <c r="J492" s="235" t="s">
        <v>2238</v>
      </c>
      <c r="K492" s="235" t="s">
        <v>107</v>
      </c>
      <c r="L492" s="229" t="s">
        <v>79</v>
      </c>
      <c r="M492" s="239" t="s">
        <v>72</v>
      </c>
      <c r="N492" s="235" t="s">
        <v>79</v>
      </c>
      <c r="O492" s="235" t="s">
        <v>2239</v>
      </c>
      <c r="P492" s="235" t="s">
        <v>2240</v>
      </c>
      <c r="Q492" s="235" t="s">
        <v>2241</v>
      </c>
      <c r="R492" s="235" t="s">
        <v>2242</v>
      </c>
      <c r="S492" s="256" t="s">
        <v>2236</v>
      </c>
      <c r="T492" s="241" t="s">
        <v>289</v>
      </c>
      <c r="U492" s="241" t="s">
        <v>289</v>
      </c>
      <c r="V492" s="241" t="s">
        <v>289</v>
      </c>
      <c r="W492" s="241" t="s">
        <v>289</v>
      </c>
      <c r="X492" s="241" t="s">
        <v>289</v>
      </c>
      <c r="Y492" s="241" t="s">
        <v>289</v>
      </c>
      <c r="Z492" s="241" t="s">
        <v>289</v>
      </c>
    </row>
    <row r="493" spans="1:26" s="55" customFormat="1" ht="36" x14ac:dyDescent="0.25">
      <c r="A493" s="231" t="s">
        <v>2243</v>
      </c>
      <c r="B493" s="232" t="s">
        <v>30</v>
      </c>
      <c r="C493" s="233" t="s">
        <v>2244</v>
      </c>
      <c r="D493" s="234" t="s">
        <v>2245</v>
      </c>
      <c r="E493" s="235" t="s">
        <v>289</v>
      </c>
      <c r="F493" s="236">
        <v>46172</v>
      </c>
      <c r="G493" s="235" t="s">
        <v>2231</v>
      </c>
      <c r="H493" s="235" t="s">
        <v>289</v>
      </c>
      <c r="I493" s="235" t="s">
        <v>289</v>
      </c>
      <c r="J493" s="235" t="s">
        <v>289</v>
      </c>
      <c r="K493" s="235" t="s">
        <v>289</v>
      </c>
      <c r="L493" s="238" t="s">
        <v>89</v>
      </c>
      <c r="M493" s="235" t="s">
        <v>289</v>
      </c>
      <c r="N493" s="235" t="s">
        <v>289</v>
      </c>
      <c r="O493" s="235" t="s">
        <v>289</v>
      </c>
      <c r="P493" s="235" t="s">
        <v>289</v>
      </c>
      <c r="Q493" s="235" t="s">
        <v>289</v>
      </c>
      <c r="R493" s="235" t="s">
        <v>289</v>
      </c>
      <c r="S493" s="257" t="s">
        <v>2246</v>
      </c>
      <c r="T493" s="241" t="s">
        <v>289</v>
      </c>
      <c r="U493" s="241" t="s">
        <v>289</v>
      </c>
      <c r="V493" s="241" t="s">
        <v>289</v>
      </c>
      <c r="W493" s="241" t="s">
        <v>289</v>
      </c>
      <c r="X493" s="241" t="s">
        <v>289</v>
      </c>
      <c r="Y493" s="241" t="s">
        <v>289</v>
      </c>
      <c r="Z493" s="241" t="s">
        <v>289</v>
      </c>
    </row>
    <row r="494" spans="1:26" s="55" customFormat="1" ht="36" x14ac:dyDescent="0.25">
      <c r="A494" s="151" t="s">
        <v>2247</v>
      </c>
      <c r="B494" s="258" t="s">
        <v>30</v>
      </c>
      <c r="C494" s="259" t="s">
        <v>2248</v>
      </c>
      <c r="D494" s="260" t="s">
        <v>868</v>
      </c>
      <c r="E494" s="258" t="s">
        <v>2249</v>
      </c>
      <c r="F494" s="261">
        <v>46174</v>
      </c>
      <c r="G494" s="258" t="str">
        <f t="shared" ref="G494:G525" si="35">PROPER(TEXT(F494,"DDD"))</f>
        <v>Seg</v>
      </c>
      <c r="H494" s="262">
        <v>0.33333333333333331</v>
      </c>
      <c r="I494" s="258" t="s">
        <v>46</v>
      </c>
      <c r="J494" s="258" t="s">
        <v>2250</v>
      </c>
      <c r="K494" s="258" t="s">
        <v>2251</v>
      </c>
      <c r="L494" s="263" t="s">
        <v>89</v>
      </c>
      <c r="M494" s="258" t="s">
        <v>2252</v>
      </c>
      <c r="N494" s="258" t="s">
        <v>89</v>
      </c>
      <c r="O494" s="258" t="s">
        <v>72</v>
      </c>
      <c r="P494" s="258" t="s">
        <v>72</v>
      </c>
      <c r="Q494" s="258" t="s">
        <v>2253</v>
      </c>
      <c r="R494" s="258" t="s">
        <v>2254</v>
      </c>
      <c r="S494" s="264" t="s">
        <v>2246</v>
      </c>
      <c r="T494" s="108"/>
      <c r="U494" s="108"/>
      <c r="V494" s="108"/>
      <c r="W494" s="108"/>
      <c r="X494" s="108"/>
      <c r="Y494" s="108"/>
      <c r="Z494" s="108"/>
    </row>
    <row r="495" spans="1:26" s="55" customFormat="1" ht="54" x14ac:dyDescent="0.25">
      <c r="A495" s="151" t="s">
        <v>2255</v>
      </c>
      <c r="B495" s="258" t="s">
        <v>27</v>
      </c>
      <c r="C495" s="259" t="s">
        <v>2256</v>
      </c>
      <c r="D495" s="260" t="s">
        <v>868</v>
      </c>
      <c r="E495" s="258" t="s">
        <v>2257</v>
      </c>
      <c r="F495" s="261">
        <v>46174</v>
      </c>
      <c r="G495" s="258" t="str">
        <f t="shared" si="35"/>
        <v>Seg</v>
      </c>
      <c r="H495" s="262">
        <v>0.33333333333333331</v>
      </c>
      <c r="I495" s="258" t="s">
        <v>35</v>
      </c>
      <c r="J495" s="258" t="s">
        <v>2258</v>
      </c>
      <c r="K495" s="258" t="s">
        <v>2259</v>
      </c>
      <c r="L495" s="263" t="s">
        <v>89</v>
      </c>
      <c r="M495" s="258" t="s">
        <v>72</v>
      </c>
      <c r="N495" s="258" t="s">
        <v>79</v>
      </c>
      <c r="O495" s="258" t="s">
        <v>2260</v>
      </c>
      <c r="P495" s="258" t="s">
        <v>2261</v>
      </c>
      <c r="Q495" s="258" t="s">
        <v>2262</v>
      </c>
      <c r="R495" s="258" t="s">
        <v>2263</v>
      </c>
      <c r="S495" s="264" t="s">
        <v>2246</v>
      </c>
      <c r="T495" s="108"/>
      <c r="U495" s="108"/>
      <c r="V495" s="108"/>
      <c r="W495" s="108"/>
      <c r="X495" s="108"/>
      <c r="Y495" s="108"/>
      <c r="Z495" s="108"/>
    </row>
    <row r="496" spans="1:26" s="55" customFormat="1" ht="36" x14ac:dyDescent="0.25">
      <c r="A496" s="151" t="s">
        <v>2264</v>
      </c>
      <c r="B496" s="258" t="s">
        <v>30</v>
      </c>
      <c r="C496" s="259" t="s">
        <v>2265</v>
      </c>
      <c r="D496" s="260" t="s">
        <v>868</v>
      </c>
      <c r="E496" s="258" t="s">
        <v>2266</v>
      </c>
      <c r="F496" s="261">
        <v>46174</v>
      </c>
      <c r="G496" s="258" t="str">
        <f t="shared" si="35"/>
        <v>Seg</v>
      </c>
      <c r="H496" s="262">
        <v>0.33333333333333331</v>
      </c>
      <c r="I496" s="258" t="s">
        <v>46</v>
      </c>
      <c r="J496" s="258" t="s">
        <v>2267</v>
      </c>
      <c r="K496" s="258" t="s">
        <v>2268</v>
      </c>
      <c r="L496" s="263" t="s">
        <v>89</v>
      </c>
      <c r="M496" s="258" t="s">
        <v>2269</v>
      </c>
      <c r="N496" s="258" t="s">
        <v>89</v>
      </c>
      <c r="O496" s="258" t="s">
        <v>72</v>
      </c>
      <c r="P496" s="258" t="s">
        <v>72</v>
      </c>
      <c r="Q496" s="258" t="s">
        <v>2270</v>
      </c>
      <c r="R496" s="258" t="s">
        <v>2271</v>
      </c>
      <c r="S496" s="264" t="s">
        <v>2246</v>
      </c>
      <c r="T496" s="108"/>
      <c r="U496" s="108"/>
      <c r="V496" s="108"/>
      <c r="W496" s="108"/>
      <c r="X496" s="108"/>
      <c r="Y496" s="108"/>
      <c r="Z496" s="108"/>
    </row>
    <row r="497" spans="1:26" s="55" customFormat="1" ht="36" x14ac:dyDescent="0.25">
      <c r="A497" s="64" t="s">
        <v>2272</v>
      </c>
      <c r="B497" s="258" t="s">
        <v>30</v>
      </c>
      <c r="C497" s="259" t="s">
        <v>2273</v>
      </c>
      <c r="D497" s="260" t="s">
        <v>2274</v>
      </c>
      <c r="E497" s="258" t="s">
        <v>2275</v>
      </c>
      <c r="F497" s="261">
        <v>46174</v>
      </c>
      <c r="G497" s="258" t="str">
        <f t="shared" si="35"/>
        <v>Seg</v>
      </c>
      <c r="H497" s="262">
        <v>0.41666666666666669</v>
      </c>
      <c r="I497" s="258" t="s">
        <v>46</v>
      </c>
      <c r="J497" s="258" t="s">
        <v>2276</v>
      </c>
      <c r="K497" s="258" t="s">
        <v>2259</v>
      </c>
      <c r="L497" s="263" t="s">
        <v>89</v>
      </c>
      <c r="M497" s="258" t="s">
        <v>133</v>
      </c>
      <c r="N497" s="258" t="s">
        <v>89</v>
      </c>
      <c r="O497" s="258" t="s">
        <v>72</v>
      </c>
      <c r="P497" s="258" t="s">
        <v>72</v>
      </c>
      <c r="Q497" s="258" t="s">
        <v>2277</v>
      </c>
      <c r="R497" s="258" t="s">
        <v>2278</v>
      </c>
      <c r="S497" s="264" t="s">
        <v>2246</v>
      </c>
      <c r="T497" s="108"/>
      <c r="U497" s="108"/>
      <c r="V497" s="108"/>
      <c r="W497" s="108"/>
      <c r="X497" s="108"/>
      <c r="Y497" s="108"/>
      <c r="Z497" s="108"/>
    </row>
    <row r="498" spans="1:26" s="55" customFormat="1" ht="36" x14ac:dyDescent="0.25">
      <c r="A498" s="151" t="s">
        <v>2279</v>
      </c>
      <c r="B498" s="258" t="s">
        <v>27</v>
      </c>
      <c r="C498" s="58" t="s">
        <v>2280</v>
      </c>
      <c r="D498" s="260" t="s">
        <v>868</v>
      </c>
      <c r="E498" s="57">
        <v>34991318145</v>
      </c>
      <c r="F498" s="261">
        <v>46174</v>
      </c>
      <c r="G498" s="258" t="str">
        <f t="shared" si="35"/>
        <v>Seg</v>
      </c>
      <c r="H498" s="262">
        <v>0.41666666666666669</v>
      </c>
      <c r="I498" s="57" t="s">
        <v>42</v>
      </c>
      <c r="J498" s="57" t="s">
        <v>2281</v>
      </c>
      <c r="K498" s="57" t="s">
        <v>132</v>
      </c>
      <c r="L498" s="53" t="str">
        <f t="shared" ref="L498:L530" si="36">IF(B498="MUD END","NÃO","SIM")</f>
        <v>NÃO</v>
      </c>
      <c r="M498" s="57" t="s">
        <v>72</v>
      </c>
      <c r="N498" s="57" t="s">
        <v>89</v>
      </c>
      <c r="O498" s="57" t="s">
        <v>72</v>
      </c>
      <c r="P498" s="57" t="s">
        <v>72</v>
      </c>
      <c r="Q498" s="57" t="s">
        <v>2282</v>
      </c>
      <c r="R498" s="57" t="s">
        <v>2283</v>
      </c>
      <c r="S498" s="61" t="str">
        <f t="shared" ref="S498:S530" ca="1" si="37">IF(F498&lt;TODAY(),"EXECUTADA",IF(F498=TODAY(),"EM EXECUÇÃO",IF(F498=TODAY()+1,"VALIDAR HOJE",IF(F498&gt;TODAY()+1,"VALIDAR DEPOIS","-"))))</f>
        <v>EXECUTADA</v>
      </c>
    </row>
    <row r="499" spans="1:26" s="55" customFormat="1" ht="18" x14ac:dyDescent="0.25">
      <c r="A499" s="100" t="s">
        <v>2284</v>
      </c>
      <c r="B499" s="258" t="s">
        <v>27</v>
      </c>
      <c r="C499" s="58" t="s">
        <v>2285</v>
      </c>
      <c r="D499" s="260" t="s">
        <v>868</v>
      </c>
      <c r="E499" s="57">
        <v>38999836833</v>
      </c>
      <c r="F499" s="261">
        <v>46174</v>
      </c>
      <c r="G499" s="258" t="str">
        <f t="shared" si="35"/>
        <v>Seg</v>
      </c>
      <c r="H499" s="60">
        <v>0.54166666666666663</v>
      </c>
      <c r="I499" s="57" t="s">
        <v>42</v>
      </c>
      <c r="J499" s="57" t="s">
        <v>2286</v>
      </c>
      <c r="K499" s="57" t="s">
        <v>2835</v>
      </c>
      <c r="L499" s="53" t="str">
        <f t="shared" si="36"/>
        <v>NÃO</v>
      </c>
      <c r="M499" s="57" t="s">
        <v>72</v>
      </c>
      <c r="N499" s="57" t="s">
        <v>89</v>
      </c>
      <c r="O499" s="57" t="s">
        <v>72</v>
      </c>
      <c r="P499" s="57" t="s">
        <v>72</v>
      </c>
      <c r="Q499" s="57" t="s">
        <v>2287</v>
      </c>
      <c r="R499" s="57" t="s">
        <v>2288</v>
      </c>
      <c r="S499" s="61" t="str">
        <f t="shared" ca="1" si="37"/>
        <v>EXECUTADA</v>
      </c>
    </row>
    <row r="500" spans="1:26" s="55" customFormat="1" ht="54" x14ac:dyDescent="0.25">
      <c r="A500" s="151" t="s">
        <v>2836</v>
      </c>
      <c r="B500" s="258" t="s">
        <v>27</v>
      </c>
      <c r="C500" s="58" t="s">
        <v>2289</v>
      </c>
      <c r="D500" s="260" t="s">
        <v>868</v>
      </c>
      <c r="E500" s="57">
        <v>34992083866</v>
      </c>
      <c r="F500" s="261">
        <v>46174</v>
      </c>
      <c r="G500" s="258" t="str">
        <f t="shared" si="35"/>
        <v>Seg</v>
      </c>
      <c r="H500" s="60">
        <v>0.54166666666666663</v>
      </c>
      <c r="I500" s="57" t="s">
        <v>42</v>
      </c>
      <c r="J500" s="57" t="s">
        <v>2290</v>
      </c>
      <c r="K500" s="57" t="s">
        <v>87</v>
      </c>
      <c r="L500" s="53" t="str">
        <f t="shared" si="36"/>
        <v>NÃO</v>
      </c>
      <c r="M500" s="57" t="s">
        <v>72</v>
      </c>
      <c r="N500" s="57" t="s">
        <v>89</v>
      </c>
      <c r="O500" s="57" t="s">
        <v>72</v>
      </c>
      <c r="P500" s="57" t="s">
        <v>72</v>
      </c>
      <c r="Q500" s="57" t="s">
        <v>2291</v>
      </c>
      <c r="R500" s="57" t="s">
        <v>2292</v>
      </c>
      <c r="S500" s="61" t="str">
        <f t="shared" ca="1" si="37"/>
        <v>EXECUTADA</v>
      </c>
    </row>
    <row r="501" spans="1:26" s="55" customFormat="1" ht="36" x14ac:dyDescent="0.25">
      <c r="A501" s="64" t="s">
        <v>2293</v>
      </c>
      <c r="B501" s="57" t="s">
        <v>27</v>
      </c>
      <c r="C501" s="58" t="s">
        <v>2216</v>
      </c>
      <c r="D501" s="260" t="s">
        <v>2294</v>
      </c>
      <c r="E501" s="57">
        <v>34997982512</v>
      </c>
      <c r="F501" s="59">
        <v>46174</v>
      </c>
      <c r="G501" s="258" t="str">
        <f t="shared" si="35"/>
        <v>Seg</v>
      </c>
      <c r="H501" s="60">
        <v>0.54166666666666663</v>
      </c>
      <c r="I501" s="57" t="s">
        <v>35</v>
      </c>
      <c r="J501" s="57" t="s">
        <v>2217</v>
      </c>
      <c r="K501" s="57" t="s">
        <v>71</v>
      </c>
      <c r="L501" s="53" t="str">
        <f t="shared" si="36"/>
        <v>NÃO</v>
      </c>
      <c r="M501" s="57" t="s">
        <v>72</v>
      </c>
      <c r="N501" s="55" t="s">
        <v>89</v>
      </c>
      <c r="O501" s="57" t="s">
        <v>72</v>
      </c>
      <c r="P501" s="57" t="s">
        <v>72</v>
      </c>
      <c r="Q501" s="57" t="s">
        <v>2218</v>
      </c>
      <c r="R501" s="57" t="s">
        <v>2295</v>
      </c>
      <c r="S501" s="61" t="str">
        <f t="shared" ca="1" si="37"/>
        <v>EXECUTADA</v>
      </c>
    </row>
    <row r="502" spans="1:26" s="55" customFormat="1" ht="36" x14ac:dyDescent="0.25">
      <c r="A502" s="100" t="s">
        <v>2296</v>
      </c>
      <c r="B502" s="258" t="s">
        <v>27</v>
      </c>
      <c r="C502" s="58" t="s">
        <v>2297</v>
      </c>
      <c r="D502" s="260" t="s">
        <v>868</v>
      </c>
      <c r="E502" s="57">
        <v>34991180301</v>
      </c>
      <c r="F502" s="261">
        <v>46174</v>
      </c>
      <c r="G502" s="258" t="str">
        <f t="shared" si="35"/>
        <v>Seg</v>
      </c>
      <c r="H502" s="60">
        <v>0.70833333333333337</v>
      </c>
      <c r="I502" s="57" t="s">
        <v>42</v>
      </c>
      <c r="J502" s="57" t="s">
        <v>2298</v>
      </c>
      <c r="K502" s="57" t="s">
        <v>107</v>
      </c>
      <c r="L502" s="53" t="str">
        <f t="shared" si="36"/>
        <v>NÃO</v>
      </c>
      <c r="M502" s="57" t="s">
        <v>72</v>
      </c>
      <c r="N502" s="57" t="s">
        <v>89</v>
      </c>
      <c r="O502" s="57" t="s">
        <v>72</v>
      </c>
      <c r="P502" s="57" t="s">
        <v>72</v>
      </c>
      <c r="Q502" s="57" t="s">
        <v>2299</v>
      </c>
      <c r="R502" s="57" t="s">
        <v>2300</v>
      </c>
      <c r="S502" s="61" t="str">
        <f t="shared" ca="1" si="37"/>
        <v>EXECUTADA</v>
      </c>
    </row>
    <row r="503" spans="1:26" s="55" customFormat="1" ht="36" x14ac:dyDescent="0.25">
      <c r="A503" s="100" t="s">
        <v>2301</v>
      </c>
      <c r="B503" s="57" t="s">
        <v>30</v>
      </c>
      <c r="C503" s="58" t="s">
        <v>14</v>
      </c>
      <c r="D503" s="260" t="s">
        <v>868</v>
      </c>
      <c r="E503" s="57">
        <v>34999784517</v>
      </c>
      <c r="F503" s="59">
        <v>46174</v>
      </c>
      <c r="G503" s="258" t="str">
        <f t="shared" si="35"/>
        <v>Seg</v>
      </c>
      <c r="H503" s="60">
        <v>0.70833333333333337</v>
      </c>
      <c r="I503" s="57" t="s">
        <v>46</v>
      </c>
      <c r="J503" s="57" t="s">
        <v>2302</v>
      </c>
      <c r="K503" s="57" t="s">
        <v>781</v>
      </c>
      <c r="L503" s="53" t="str">
        <f t="shared" si="36"/>
        <v>SIM</v>
      </c>
      <c r="M503" s="57" t="s">
        <v>2303</v>
      </c>
      <c r="N503" s="57" t="s">
        <v>89</v>
      </c>
      <c r="O503" s="57" t="s">
        <v>72</v>
      </c>
      <c r="P503" s="57" t="s">
        <v>72</v>
      </c>
      <c r="Q503" s="57" t="s">
        <v>2304</v>
      </c>
      <c r="R503" s="57" t="s">
        <v>2305</v>
      </c>
      <c r="S503" s="61" t="str">
        <f t="shared" ca="1" si="37"/>
        <v>EXECUTADA</v>
      </c>
    </row>
    <row r="504" spans="1:26" s="55" customFormat="1" ht="54" x14ac:dyDescent="0.25">
      <c r="A504" s="201" t="s">
        <v>2306</v>
      </c>
      <c r="B504" s="57" t="s">
        <v>30</v>
      </c>
      <c r="C504" s="58" t="s">
        <v>2307</v>
      </c>
      <c r="D504" s="260" t="s">
        <v>868</v>
      </c>
      <c r="E504" s="57">
        <v>34999951541</v>
      </c>
      <c r="F504" s="59">
        <v>46174</v>
      </c>
      <c r="G504" s="258" t="str">
        <f t="shared" si="35"/>
        <v>Seg</v>
      </c>
      <c r="H504" s="60">
        <v>0.625</v>
      </c>
      <c r="I504" s="57" t="s">
        <v>46</v>
      </c>
      <c r="J504" s="57" t="s">
        <v>2308</v>
      </c>
      <c r="K504" s="57" t="s">
        <v>146</v>
      </c>
      <c r="L504" s="53" t="str">
        <f t="shared" si="36"/>
        <v>SIM</v>
      </c>
      <c r="M504" s="57" t="s">
        <v>1094</v>
      </c>
      <c r="N504" s="57" t="s">
        <v>89</v>
      </c>
      <c r="O504" s="57" t="s">
        <v>72</v>
      </c>
      <c r="P504" s="57" t="s">
        <v>72</v>
      </c>
      <c r="Q504" s="57" t="s">
        <v>2309</v>
      </c>
      <c r="R504" s="57" t="s">
        <v>2310</v>
      </c>
      <c r="S504" s="61" t="str">
        <f t="shared" ca="1" si="37"/>
        <v>EXECUTADA</v>
      </c>
    </row>
    <row r="505" spans="1:26" s="55" customFormat="1" ht="36" x14ac:dyDescent="0.25">
      <c r="A505" s="201" t="s">
        <v>2837</v>
      </c>
      <c r="B505" s="57" t="s">
        <v>30</v>
      </c>
      <c r="C505" s="58" t="s">
        <v>2311</v>
      </c>
      <c r="D505" s="260" t="s">
        <v>868</v>
      </c>
      <c r="E505" s="57">
        <v>34984168041</v>
      </c>
      <c r="F505" s="59">
        <v>46174</v>
      </c>
      <c r="G505" s="258" t="str">
        <f t="shared" si="35"/>
        <v>Seg</v>
      </c>
      <c r="H505" s="60">
        <v>0.625</v>
      </c>
      <c r="I505" s="57" t="s">
        <v>46</v>
      </c>
      <c r="J505" s="57" t="s">
        <v>2312</v>
      </c>
      <c r="K505" s="57" t="s">
        <v>71</v>
      </c>
      <c r="L505" s="53" t="str">
        <f t="shared" si="36"/>
        <v>SIM</v>
      </c>
      <c r="M505" s="57" t="s">
        <v>421</v>
      </c>
      <c r="N505" s="57" t="s">
        <v>89</v>
      </c>
      <c r="O505" s="57" t="s">
        <v>72</v>
      </c>
      <c r="P505" s="57" t="s">
        <v>72</v>
      </c>
      <c r="Q505" s="57" t="s">
        <v>2313</v>
      </c>
      <c r="R505" s="57" t="s">
        <v>2314</v>
      </c>
      <c r="S505" s="61" t="str">
        <f t="shared" ca="1" si="37"/>
        <v>EXECUTADA</v>
      </c>
    </row>
    <row r="506" spans="1:26" s="55" customFormat="1" ht="36" x14ac:dyDescent="0.25">
      <c r="A506" s="201" t="s">
        <v>2315</v>
      </c>
      <c r="B506" s="139" t="s">
        <v>27</v>
      </c>
      <c r="C506" s="58" t="s">
        <v>2316</v>
      </c>
      <c r="D506" s="260" t="s">
        <v>868</v>
      </c>
      <c r="E506" s="57">
        <v>68984034400</v>
      </c>
      <c r="F506" s="59">
        <v>46174</v>
      </c>
      <c r="G506" s="258" t="str">
        <f t="shared" si="35"/>
        <v>Seg</v>
      </c>
      <c r="H506" s="60">
        <v>0.625</v>
      </c>
      <c r="I506" s="57" t="s">
        <v>38</v>
      </c>
      <c r="J506" s="57" t="s">
        <v>2317</v>
      </c>
      <c r="K506" s="57"/>
      <c r="L506" s="53" t="str">
        <f t="shared" si="36"/>
        <v>NÃO</v>
      </c>
      <c r="M506" s="57" t="s">
        <v>2318</v>
      </c>
      <c r="N506" s="57"/>
      <c r="O506" s="57" t="s">
        <v>2319</v>
      </c>
      <c r="P506" s="57">
        <v>34988460722</v>
      </c>
      <c r="Q506" s="57" t="s">
        <v>2320</v>
      </c>
      <c r="R506" s="57"/>
      <c r="S506" s="61" t="str">
        <f t="shared" ca="1" si="37"/>
        <v>EXECUTADA</v>
      </c>
    </row>
    <row r="507" spans="1:26" s="55" customFormat="1" ht="36" x14ac:dyDescent="0.25">
      <c r="A507" s="194" t="s">
        <v>2321</v>
      </c>
      <c r="B507" s="265" t="s">
        <v>30</v>
      </c>
      <c r="C507" s="171" t="s">
        <v>2325</v>
      </c>
      <c r="D507" s="260" t="s">
        <v>868</v>
      </c>
      <c r="E507" s="57">
        <v>34992935881</v>
      </c>
      <c r="F507" s="59">
        <v>46175</v>
      </c>
      <c r="G507" s="258" t="str">
        <f t="shared" si="35"/>
        <v>Ter</v>
      </c>
      <c r="H507" s="60">
        <v>0.33333333333333331</v>
      </c>
      <c r="I507" s="57" t="s">
        <v>46</v>
      </c>
      <c r="J507" s="57" t="s">
        <v>2330</v>
      </c>
      <c r="K507" s="57" t="s">
        <v>146</v>
      </c>
      <c r="L507" s="53" t="str">
        <f t="shared" si="36"/>
        <v>SIM</v>
      </c>
      <c r="M507" s="57" t="s">
        <v>1085</v>
      </c>
      <c r="N507" s="57" t="s">
        <v>89</v>
      </c>
      <c r="O507" s="57" t="s">
        <v>72</v>
      </c>
      <c r="P507" s="57" t="s">
        <v>72</v>
      </c>
      <c r="Q507" s="57" t="s">
        <v>2331</v>
      </c>
      <c r="R507" s="57" t="s">
        <v>2332</v>
      </c>
      <c r="S507" s="61" t="str">
        <f t="shared" ca="1" si="37"/>
        <v>EXECUTADA</v>
      </c>
    </row>
    <row r="508" spans="1:26" s="55" customFormat="1" ht="36" x14ac:dyDescent="0.25">
      <c r="A508" s="194" t="s">
        <v>2322</v>
      </c>
      <c r="B508" s="265" t="s">
        <v>27</v>
      </c>
      <c r="C508" s="171" t="s">
        <v>2326</v>
      </c>
      <c r="D508" s="260" t="s">
        <v>868</v>
      </c>
      <c r="E508" s="57">
        <v>34996448757</v>
      </c>
      <c r="F508" s="59">
        <v>46175</v>
      </c>
      <c r="G508" s="258" t="str">
        <f t="shared" si="35"/>
        <v>Ter</v>
      </c>
      <c r="H508" s="60">
        <v>0.41666666666666669</v>
      </c>
      <c r="I508" s="57" t="s">
        <v>42</v>
      </c>
      <c r="J508" s="57" t="s">
        <v>2333</v>
      </c>
      <c r="K508" s="57" t="s">
        <v>107</v>
      </c>
      <c r="L508" s="53" t="str">
        <f t="shared" si="36"/>
        <v>NÃO</v>
      </c>
      <c r="M508" s="57" t="s">
        <v>72</v>
      </c>
      <c r="N508" s="57" t="s">
        <v>79</v>
      </c>
      <c r="O508" s="57" t="s">
        <v>2334</v>
      </c>
      <c r="P508" s="57" t="s">
        <v>2335</v>
      </c>
      <c r="Q508" s="57" t="s">
        <v>2336</v>
      </c>
      <c r="R508" s="57" t="s">
        <v>2337</v>
      </c>
      <c r="S508" s="61" t="str">
        <f t="shared" ca="1" si="37"/>
        <v>EXECUTADA</v>
      </c>
    </row>
    <row r="509" spans="1:26" s="55" customFormat="1" ht="36" x14ac:dyDescent="0.25">
      <c r="A509" s="194" t="s">
        <v>2338</v>
      </c>
      <c r="B509" s="265" t="s">
        <v>30</v>
      </c>
      <c r="C509" s="171" t="s">
        <v>2327</v>
      </c>
      <c r="D509" s="260" t="s">
        <v>868</v>
      </c>
      <c r="E509" s="57">
        <v>34992857381</v>
      </c>
      <c r="F509" s="59">
        <v>46175</v>
      </c>
      <c r="G509" s="258" t="str">
        <f t="shared" si="35"/>
        <v>Ter</v>
      </c>
      <c r="H509" s="60">
        <v>0.41666666666666669</v>
      </c>
      <c r="I509" s="57" t="s">
        <v>46</v>
      </c>
      <c r="J509" s="57" t="s">
        <v>2339</v>
      </c>
      <c r="K509" s="57" t="s">
        <v>87</v>
      </c>
      <c r="L509" s="53" t="str">
        <f t="shared" si="36"/>
        <v>SIM</v>
      </c>
      <c r="M509" s="57" t="s">
        <v>2341</v>
      </c>
      <c r="N509" s="57" t="s">
        <v>89</v>
      </c>
      <c r="O509" s="57" t="s">
        <v>72</v>
      </c>
      <c r="P509" s="57" t="s">
        <v>72</v>
      </c>
      <c r="Q509" s="57" t="s">
        <v>2340</v>
      </c>
      <c r="R509" s="57" t="s">
        <v>2342</v>
      </c>
      <c r="S509" s="61" t="str">
        <f t="shared" ca="1" si="37"/>
        <v>EXECUTADA</v>
      </c>
    </row>
    <row r="510" spans="1:26" s="55" customFormat="1" ht="18" x14ac:dyDescent="0.25">
      <c r="A510" s="194" t="s">
        <v>2323</v>
      </c>
      <c r="B510" s="265" t="s">
        <v>30</v>
      </c>
      <c r="C510" s="171" t="s">
        <v>2328</v>
      </c>
      <c r="D510" s="260" t="s">
        <v>868</v>
      </c>
      <c r="E510" s="57">
        <v>71982652359</v>
      </c>
      <c r="F510" s="59">
        <v>46175</v>
      </c>
      <c r="G510" s="258" t="str">
        <f t="shared" si="35"/>
        <v>Ter</v>
      </c>
      <c r="H510" s="60">
        <v>0.54166666666666663</v>
      </c>
      <c r="I510" s="57" t="s">
        <v>46</v>
      </c>
      <c r="J510" s="57" t="s">
        <v>2346</v>
      </c>
      <c r="K510" s="57" t="s">
        <v>87</v>
      </c>
      <c r="L510" s="53" t="str">
        <f t="shared" si="36"/>
        <v>SIM</v>
      </c>
      <c r="M510" s="57" t="s">
        <v>2343</v>
      </c>
      <c r="N510" s="57" t="s">
        <v>89</v>
      </c>
      <c r="O510" s="57" t="s">
        <v>72</v>
      </c>
      <c r="P510" s="57" t="s">
        <v>72</v>
      </c>
      <c r="Q510" s="57" t="s">
        <v>2344</v>
      </c>
      <c r="R510" s="57" t="s">
        <v>2345</v>
      </c>
      <c r="S510" s="61" t="str">
        <f t="shared" ca="1" si="37"/>
        <v>EXECUTADA</v>
      </c>
    </row>
    <row r="511" spans="1:26" s="55" customFormat="1" ht="18" x14ac:dyDescent="0.25">
      <c r="A511" s="194" t="s">
        <v>2324</v>
      </c>
      <c r="B511" s="265" t="s">
        <v>27</v>
      </c>
      <c r="C511" s="266" t="s">
        <v>2329</v>
      </c>
      <c r="D511" s="260" t="s">
        <v>868</v>
      </c>
      <c r="E511" s="57">
        <v>34991353899</v>
      </c>
      <c r="F511" s="59">
        <v>46175</v>
      </c>
      <c r="G511" s="258" t="str">
        <f t="shared" si="35"/>
        <v>Ter</v>
      </c>
      <c r="H511" s="60">
        <v>0.70833333333333337</v>
      </c>
      <c r="I511" s="57" t="s">
        <v>35</v>
      </c>
      <c r="J511" s="57" t="s">
        <v>2421</v>
      </c>
      <c r="K511" s="57" t="s">
        <v>87</v>
      </c>
      <c r="L511" s="53" t="str">
        <f t="shared" si="36"/>
        <v>NÃO</v>
      </c>
      <c r="M511" s="57" t="s">
        <v>72</v>
      </c>
      <c r="N511" s="57" t="s">
        <v>79</v>
      </c>
      <c r="O511" s="57" t="s">
        <v>2348</v>
      </c>
      <c r="P511" s="57" t="s">
        <v>2347</v>
      </c>
      <c r="Q511" s="57" t="s">
        <v>2349</v>
      </c>
      <c r="R511" s="57" t="s">
        <v>2422</v>
      </c>
      <c r="S511" s="61" t="str">
        <f t="shared" ca="1" si="37"/>
        <v>EXECUTADA</v>
      </c>
    </row>
    <row r="512" spans="1:26" s="55" customFormat="1" ht="36" x14ac:dyDescent="0.25">
      <c r="A512" s="194" t="s">
        <v>2399</v>
      </c>
      <c r="B512" s="265" t="s">
        <v>30</v>
      </c>
      <c r="C512" s="171" t="s">
        <v>2400</v>
      </c>
      <c r="D512" s="260" t="s">
        <v>868</v>
      </c>
      <c r="E512" s="57">
        <v>3499841269</v>
      </c>
      <c r="F512" s="59">
        <v>46175</v>
      </c>
      <c r="G512" s="254" t="str">
        <f t="shared" si="35"/>
        <v>Ter</v>
      </c>
      <c r="H512" s="60">
        <v>0.54166666666666663</v>
      </c>
      <c r="I512" s="57" t="s">
        <v>46</v>
      </c>
      <c r="J512" s="57" t="s">
        <v>2401</v>
      </c>
      <c r="K512" s="57" t="s">
        <v>100</v>
      </c>
      <c r="L512" s="53" t="str">
        <f t="shared" si="36"/>
        <v>SIM</v>
      </c>
      <c r="M512" s="57" t="s">
        <v>1606</v>
      </c>
      <c r="N512" s="57" t="s">
        <v>89</v>
      </c>
      <c r="O512" s="57" t="s">
        <v>2403</v>
      </c>
      <c r="P512" s="57" t="s">
        <v>2404</v>
      </c>
      <c r="Q512" s="57" t="s">
        <v>2402</v>
      </c>
      <c r="R512" s="57" t="s">
        <v>2405</v>
      </c>
      <c r="S512" s="61" t="str">
        <f t="shared" ca="1" si="37"/>
        <v>EXECUTADA</v>
      </c>
    </row>
    <row r="513" spans="1:19" s="55" customFormat="1" ht="36" x14ac:dyDescent="0.25">
      <c r="A513" s="194" t="s">
        <v>2350</v>
      </c>
      <c r="B513" s="265" t="s">
        <v>27</v>
      </c>
      <c r="C513" s="171" t="s">
        <v>2356</v>
      </c>
      <c r="D513" s="260" t="s">
        <v>868</v>
      </c>
      <c r="E513" s="57">
        <v>34999045855</v>
      </c>
      <c r="F513" s="59">
        <v>46176</v>
      </c>
      <c r="G513" s="258" t="str">
        <f t="shared" si="35"/>
        <v>Qua</v>
      </c>
      <c r="H513" s="60">
        <v>0.33333333333333331</v>
      </c>
      <c r="I513" s="57" t="s">
        <v>42</v>
      </c>
      <c r="J513" s="57" t="s">
        <v>2365</v>
      </c>
      <c r="K513" s="57" t="s">
        <v>71</v>
      </c>
      <c r="L513" s="53" t="str">
        <f t="shared" si="36"/>
        <v>NÃO</v>
      </c>
      <c r="M513" s="57" t="s">
        <v>72</v>
      </c>
      <c r="N513" s="57" t="s">
        <v>89</v>
      </c>
      <c r="O513" s="57" t="s">
        <v>2364</v>
      </c>
      <c r="P513" s="57">
        <v>34991524131</v>
      </c>
      <c r="Q513" s="57" t="s">
        <v>2366</v>
      </c>
      <c r="R513" s="57" t="s">
        <v>2367</v>
      </c>
      <c r="S513" s="61" t="str">
        <f t="shared" ca="1" si="37"/>
        <v>EXECUTADA</v>
      </c>
    </row>
    <row r="514" spans="1:19" s="55" customFormat="1" ht="36" x14ac:dyDescent="0.25">
      <c r="A514" s="151" t="s">
        <v>2351</v>
      </c>
      <c r="B514" s="265" t="s">
        <v>27</v>
      </c>
      <c r="C514" s="58" t="s">
        <v>2358</v>
      </c>
      <c r="D514" s="260" t="s">
        <v>868</v>
      </c>
      <c r="E514" s="57">
        <v>34991391464</v>
      </c>
      <c r="F514" s="59">
        <v>46176</v>
      </c>
      <c r="G514" s="114" t="str">
        <f t="shared" si="35"/>
        <v>Qua</v>
      </c>
      <c r="H514" s="60">
        <v>0.33333333333333331</v>
      </c>
      <c r="I514" s="57" t="s">
        <v>35</v>
      </c>
      <c r="J514" s="57" t="s">
        <v>2368</v>
      </c>
      <c r="K514" s="57" t="s">
        <v>2838</v>
      </c>
      <c r="L514" s="53" t="str">
        <f t="shared" si="36"/>
        <v>NÃO</v>
      </c>
      <c r="M514" s="57" t="s">
        <v>72</v>
      </c>
      <c r="N514" s="57" t="s">
        <v>89</v>
      </c>
      <c r="O514" s="57" t="s">
        <v>72</v>
      </c>
      <c r="P514" s="57" t="s">
        <v>72</v>
      </c>
      <c r="Q514" s="57" t="s">
        <v>2369</v>
      </c>
      <c r="R514" s="57" t="s">
        <v>2370</v>
      </c>
      <c r="S514" s="61" t="str">
        <f t="shared" ca="1" si="37"/>
        <v>EXECUTADA</v>
      </c>
    </row>
    <row r="515" spans="1:19" s="83" customFormat="1" ht="54" x14ac:dyDescent="0.25">
      <c r="A515" s="194" t="s">
        <v>2362</v>
      </c>
      <c r="B515" s="265" t="s">
        <v>27</v>
      </c>
      <c r="C515" s="171" t="s">
        <v>2363</v>
      </c>
      <c r="D515" s="110" t="s">
        <v>868</v>
      </c>
      <c r="E515" s="57" t="s">
        <v>2371</v>
      </c>
      <c r="F515" s="59">
        <v>46176</v>
      </c>
      <c r="G515" s="254" t="str">
        <f t="shared" si="35"/>
        <v>Qua</v>
      </c>
      <c r="H515" s="60">
        <v>0.64583333333333337</v>
      </c>
      <c r="I515" s="57" t="s">
        <v>35</v>
      </c>
      <c r="J515" s="57" t="s">
        <v>2372</v>
      </c>
      <c r="K515" s="57" t="s">
        <v>146</v>
      </c>
      <c r="L515" s="53" t="str">
        <f t="shared" si="36"/>
        <v>NÃO</v>
      </c>
      <c r="M515" s="57" t="s">
        <v>72</v>
      </c>
      <c r="N515" s="57" t="s">
        <v>89</v>
      </c>
      <c r="O515" s="57" t="s">
        <v>72</v>
      </c>
      <c r="P515" s="57" t="s">
        <v>72</v>
      </c>
      <c r="Q515" s="57" t="s">
        <v>2373</v>
      </c>
      <c r="R515" s="57" t="s">
        <v>2839</v>
      </c>
      <c r="S515" s="61" t="str">
        <f t="shared" ca="1" si="37"/>
        <v>EXECUTADA</v>
      </c>
    </row>
    <row r="516" spans="1:19" s="55" customFormat="1" ht="18" x14ac:dyDescent="0.25">
      <c r="A516" s="267" t="s">
        <v>2840</v>
      </c>
      <c r="B516" s="265" t="s">
        <v>27</v>
      </c>
      <c r="C516" s="268" t="s">
        <v>2407</v>
      </c>
      <c r="D516" s="110" t="s">
        <v>868</v>
      </c>
      <c r="E516" s="57">
        <v>34991137945</v>
      </c>
      <c r="F516" s="59">
        <v>46176</v>
      </c>
      <c r="G516" s="254" t="str">
        <f t="shared" si="35"/>
        <v>Qua</v>
      </c>
      <c r="H516" s="60">
        <v>0.33333333333333331</v>
      </c>
      <c r="I516" s="57" t="s">
        <v>35</v>
      </c>
      <c r="J516" s="57" t="s">
        <v>2410</v>
      </c>
      <c r="K516" s="57" t="s">
        <v>71</v>
      </c>
      <c r="L516" s="53" t="str">
        <f t="shared" si="36"/>
        <v>NÃO</v>
      </c>
      <c r="M516" s="57" t="s">
        <v>72</v>
      </c>
      <c r="N516" s="57" t="s">
        <v>89</v>
      </c>
      <c r="O516" s="57" t="s">
        <v>72</v>
      </c>
      <c r="P516" s="57" t="s">
        <v>72</v>
      </c>
      <c r="Q516" s="57" t="s">
        <v>2411</v>
      </c>
      <c r="R516" s="57" t="s">
        <v>2412</v>
      </c>
      <c r="S516" s="61" t="str">
        <f t="shared" ca="1" si="37"/>
        <v>EXECUTADA</v>
      </c>
    </row>
    <row r="517" spans="1:19" s="83" customFormat="1" ht="60" customHeight="1" x14ac:dyDescent="0.25">
      <c r="A517" s="269" t="s">
        <v>2841</v>
      </c>
      <c r="B517" s="265" t="s">
        <v>30</v>
      </c>
      <c r="C517" s="268" t="s">
        <v>2408</v>
      </c>
      <c r="D517" s="110" t="s">
        <v>868</v>
      </c>
      <c r="E517" s="57">
        <v>34998823043</v>
      </c>
      <c r="F517" s="59">
        <v>46176</v>
      </c>
      <c r="G517" s="51" t="str">
        <f t="shared" si="35"/>
        <v>Qua</v>
      </c>
      <c r="H517" s="60">
        <v>0.41666666666666669</v>
      </c>
      <c r="I517" s="57" t="s">
        <v>46</v>
      </c>
      <c r="J517" s="57" t="s">
        <v>2413</v>
      </c>
      <c r="K517" s="57" t="s">
        <v>146</v>
      </c>
      <c r="L517" s="53" t="str">
        <f t="shared" si="36"/>
        <v>SIM</v>
      </c>
      <c r="M517" s="57" t="s">
        <v>2414</v>
      </c>
      <c r="N517" s="57" t="s">
        <v>79</v>
      </c>
      <c r="O517" s="57" t="s">
        <v>2415</v>
      </c>
      <c r="P517" s="57">
        <v>34996759993</v>
      </c>
      <c r="Q517" s="57" t="s">
        <v>2416</v>
      </c>
      <c r="R517" s="57" t="s">
        <v>2417</v>
      </c>
      <c r="S517" s="61" t="str">
        <f t="shared" ca="1" si="37"/>
        <v>EXECUTADA</v>
      </c>
    </row>
    <row r="518" spans="1:19" s="55" customFormat="1" ht="30" customHeight="1" x14ac:dyDescent="0.25">
      <c r="A518" s="269" t="s">
        <v>2406</v>
      </c>
      <c r="B518" s="265" t="s">
        <v>27</v>
      </c>
      <c r="C518" s="268" t="s">
        <v>2409</v>
      </c>
      <c r="D518" s="260" t="s">
        <v>868</v>
      </c>
      <c r="E518" s="57">
        <v>34991625497</v>
      </c>
      <c r="F518" s="59">
        <v>46176</v>
      </c>
      <c r="G518" s="51" t="str">
        <f t="shared" si="35"/>
        <v>Qua</v>
      </c>
      <c r="H518" s="60">
        <v>0.70833333333333337</v>
      </c>
      <c r="I518" s="57" t="s">
        <v>35</v>
      </c>
      <c r="J518" s="57" t="s">
        <v>2418</v>
      </c>
      <c r="K518" s="57" t="s">
        <v>71</v>
      </c>
      <c r="L518" s="53" t="str">
        <f t="shared" si="36"/>
        <v>NÃO</v>
      </c>
      <c r="M518" s="57" t="s">
        <v>72</v>
      </c>
      <c r="N518" s="57" t="s">
        <v>89</v>
      </c>
      <c r="O518" s="57" t="s">
        <v>72</v>
      </c>
      <c r="P518" s="57" t="s">
        <v>72</v>
      </c>
      <c r="Q518" s="57" t="s">
        <v>2419</v>
      </c>
      <c r="R518" s="57" t="s">
        <v>2420</v>
      </c>
      <c r="S518" s="61" t="str">
        <f t="shared" ca="1" si="37"/>
        <v>EXECUTADA</v>
      </c>
    </row>
    <row r="519" spans="1:19" s="55" customFormat="1" ht="18" x14ac:dyDescent="0.25">
      <c r="A519" s="151" t="s">
        <v>2425</v>
      </c>
      <c r="B519" s="57" t="s">
        <v>30</v>
      </c>
      <c r="C519" s="268" t="s">
        <v>2431</v>
      </c>
      <c r="D519" s="260" t="s">
        <v>868</v>
      </c>
      <c r="E519" s="57">
        <v>34998733663</v>
      </c>
      <c r="F519" s="59">
        <v>46176</v>
      </c>
      <c r="G519" s="51" t="str">
        <f t="shared" si="35"/>
        <v>Qua</v>
      </c>
      <c r="H519" s="60">
        <v>0.41666666666666669</v>
      </c>
      <c r="I519" s="57" t="s">
        <v>46</v>
      </c>
      <c r="J519" s="57" t="s">
        <v>2437</v>
      </c>
      <c r="K519" s="57" t="s">
        <v>87</v>
      </c>
      <c r="L519" s="53" t="str">
        <f t="shared" si="36"/>
        <v>SIM</v>
      </c>
      <c r="M519" s="57" t="s">
        <v>2438</v>
      </c>
      <c r="N519" s="57" t="s">
        <v>89</v>
      </c>
      <c r="O519" s="57" t="s">
        <v>72</v>
      </c>
      <c r="P519" s="57" t="s">
        <v>72</v>
      </c>
      <c r="Q519" s="57" t="s">
        <v>2439</v>
      </c>
      <c r="R519" s="57" t="s">
        <v>2440</v>
      </c>
      <c r="S519" s="61" t="str">
        <f t="shared" ca="1" si="37"/>
        <v>EXECUTADA</v>
      </c>
    </row>
    <row r="520" spans="1:19" s="55" customFormat="1" ht="18" x14ac:dyDescent="0.25">
      <c r="A520" s="151" t="s">
        <v>2426</v>
      </c>
      <c r="B520" s="57" t="s">
        <v>27</v>
      </c>
      <c r="C520" s="268" t="s">
        <v>2432</v>
      </c>
      <c r="D520" s="260" t="s">
        <v>868</v>
      </c>
      <c r="E520" s="57">
        <v>3499232699</v>
      </c>
      <c r="F520" s="59">
        <v>46176</v>
      </c>
      <c r="G520" s="51" t="str">
        <f t="shared" si="35"/>
        <v>Qua</v>
      </c>
      <c r="H520" s="60">
        <v>0.41666666666666669</v>
      </c>
      <c r="I520" s="57" t="s">
        <v>42</v>
      </c>
      <c r="J520" s="57" t="s">
        <v>2441</v>
      </c>
      <c r="K520" s="57" t="s">
        <v>2842</v>
      </c>
      <c r="L520" s="53" t="str">
        <f t="shared" si="36"/>
        <v>NÃO</v>
      </c>
      <c r="M520" s="57" t="s">
        <v>72</v>
      </c>
      <c r="N520" s="57" t="s">
        <v>79</v>
      </c>
      <c r="O520" s="57" t="s">
        <v>2442</v>
      </c>
      <c r="P520" s="57">
        <v>3499232699</v>
      </c>
      <c r="Q520" s="57" t="s">
        <v>2443</v>
      </c>
      <c r="R520" s="57" t="s">
        <v>2843</v>
      </c>
      <c r="S520" s="61" t="str">
        <f t="shared" ca="1" si="37"/>
        <v>EXECUTADA</v>
      </c>
    </row>
    <row r="521" spans="1:19" s="55" customFormat="1" ht="18" x14ac:dyDescent="0.25">
      <c r="A521" s="151" t="s">
        <v>2427</v>
      </c>
      <c r="B521" s="57" t="s">
        <v>27</v>
      </c>
      <c r="C521" s="268" t="s">
        <v>2433</v>
      </c>
      <c r="D521" s="260" t="s">
        <v>868</v>
      </c>
      <c r="E521" s="57">
        <v>34991959543</v>
      </c>
      <c r="F521" s="59">
        <v>46176</v>
      </c>
      <c r="G521" s="51" t="str">
        <f t="shared" si="35"/>
        <v>Qua</v>
      </c>
      <c r="H521" s="60">
        <v>0.54166666666666663</v>
      </c>
      <c r="I521" s="57" t="s">
        <v>38</v>
      </c>
      <c r="J521" s="57" t="s">
        <v>2444</v>
      </c>
      <c r="K521" s="57" t="s">
        <v>87</v>
      </c>
      <c r="L521" s="53" t="str">
        <f t="shared" si="36"/>
        <v>NÃO</v>
      </c>
      <c r="M521" s="57" t="s">
        <v>72</v>
      </c>
      <c r="N521" s="57" t="s">
        <v>79</v>
      </c>
      <c r="O521" s="57" t="s">
        <v>2445</v>
      </c>
      <c r="P521" s="57">
        <v>34991418991</v>
      </c>
      <c r="Q521" s="57" t="s">
        <v>2446</v>
      </c>
      <c r="R521" s="57" t="s">
        <v>2844</v>
      </c>
      <c r="S521" s="61" t="str">
        <f t="shared" ca="1" si="37"/>
        <v>EXECUTADA</v>
      </c>
    </row>
    <row r="522" spans="1:19" s="55" customFormat="1" ht="18" x14ac:dyDescent="0.25">
      <c r="A522" s="151" t="s">
        <v>2428</v>
      </c>
      <c r="B522" s="57" t="s">
        <v>27</v>
      </c>
      <c r="C522" s="268" t="s">
        <v>2434</v>
      </c>
      <c r="D522" s="260" t="s">
        <v>868</v>
      </c>
      <c r="E522" s="57" t="s">
        <v>2447</v>
      </c>
      <c r="F522" s="59">
        <v>46176</v>
      </c>
      <c r="G522" s="51" t="str">
        <f t="shared" si="35"/>
        <v>Qua</v>
      </c>
      <c r="H522" s="60">
        <v>0.54166666666666663</v>
      </c>
      <c r="I522" s="57" t="s">
        <v>42</v>
      </c>
      <c r="J522" s="57" t="s">
        <v>2448</v>
      </c>
      <c r="K522" s="57" t="s">
        <v>146</v>
      </c>
      <c r="L522" s="53" t="str">
        <f t="shared" si="36"/>
        <v>NÃO</v>
      </c>
      <c r="M522" s="57" t="s">
        <v>72</v>
      </c>
      <c r="N522" s="57" t="s">
        <v>89</v>
      </c>
      <c r="O522" s="57" t="s">
        <v>72</v>
      </c>
      <c r="P522" s="57" t="s">
        <v>72</v>
      </c>
      <c r="Q522" s="57" t="s">
        <v>2449</v>
      </c>
      <c r="R522" s="57" t="s">
        <v>2467</v>
      </c>
      <c r="S522" s="61" t="str">
        <f t="shared" ca="1" si="37"/>
        <v>EXECUTADA</v>
      </c>
    </row>
    <row r="523" spans="1:19" s="55" customFormat="1" ht="18" x14ac:dyDescent="0.25">
      <c r="A523" s="151" t="s">
        <v>2429</v>
      </c>
      <c r="B523" s="57" t="s">
        <v>30</v>
      </c>
      <c r="C523" s="268" t="s">
        <v>2435</v>
      </c>
      <c r="D523" s="260" t="s">
        <v>868</v>
      </c>
      <c r="E523" s="57">
        <v>34991935024</v>
      </c>
      <c r="F523" s="59">
        <v>46176</v>
      </c>
      <c r="G523" s="51" t="str">
        <f t="shared" si="35"/>
        <v>Qua</v>
      </c>
      <c r="H523" s="60">
        <v>0.625</v>
      </c>
      <c r="I523" s="57" t="s">
        <v>46</v>
      </c>
      <c r="J523" s="57" t="s">
        <v>2450</v>
      </c>
      <c r="K523" s="57" t="s">
        <v>107</v>
      </c>
      <c r="L523" s="53" t="str">
        <f t="shared" si="36"/>
        <v>SIM</v>
      </c>
      <c r="M523" s="57" t="s">
        <v>2451</v>
      </c>
      <c r="N523" s="57" t="s">
        <v>89</v>
      </c>
      <c r="O523" s="57" t="s">
        <v>72</v>
      </c>
      <c r="P523" s="57" t="s">
        <v>72</v>
      </c>
      <c r="Q523" s="57" t="s">
        <v>2452</v>
      </c>
      <c r="R523" s="57" t="s">
        <v>2453</v>
      </c>
      <c r="S523" s="61" t="str">
        <f t="shared" ca="1" si="37"/>
        <v>EXECUTADA</v>
      </c>
    </row>
    <row r="524" spans="1:19" s="55" customFormat="1" ht="18" x14ac:dyDescent="0.25">
      <c r="A524" s="151" t="s">
        <v>2430</v>
      </c>
      <c r="B524" s="57" t="s">
        <v>30</v>
      </c>
      <c r="C524" s="268" t="s">
        <v>2436</v>
      </c>
      <c r="D524" s="260" t="s">
        <v>868</v>
      </c>
      <c r="E524" s="57">
        <v>34920003319</v>
      </c>
      <c r="F524" s="59">
        <v>46176</v>
      </c>
      <c r="G524" s="51" t="str">
        <f t="shared" si="35"/>
        <v>Qua</v>
      </c>
      <c r="H524" s="60">
        <v>0.70833333333333337</v>
      </c>
      <c r="I524" s="57" t="s">
        <v>46</v>
      </c>
      <c r="J524" s="57" t="s">
        <v>2454</v>
      </c>
      <c r="K524" s="57" t="s">
        <v>107</v>
      </c>
      <c r="L524" s="53" t="str">
        <f t="shared" si="36"/>
        <v>SIM</v>
      </c>
      <c r="M524" s="57" t="s">
        <v>401</v>
      </c>
      <c r="N524" s="57" t="s">
        <v>89</v>
      </c>
      <c r="O524" s="57" t="s">
        <v>2455</v>
      </c>
      <c r="P524" s="57" t="s">
        <v>2456</v>
      </c>
      <c r="Q524" s="57" t="s">
        <v>2457</v>
      </c>
      <c r="R524" s="57" t="s">
        <v>2458</v>
      </c>
      <c r="S524" s="61" t="str">
        <f t="shared" ca="1" si="37"/>
        <v>EXECUTADA</v>
      </c>
    </row>
    <row r="525" spans="1:19" s="55" customFormat="1" ht="18" x14ac:dyDescent="0.25">
      <c r="A525" s="151" t="s">
        <v>2468</v>
      </c>
      <c r="B525" s="57" t="s">
        <v>30</v>
      </c>
      <c r="C525" s="268" t="s">
        <v>2469</v>
      </c>
      <c r="D525" s="260" t="s">
        <v>2483</v>
      </c>
      <c r="E525" s="57">
        <v>34984347888</v>
      </c>
      <c r="F525" s="59">
        <v>46177</v>
      </c>
      <c r="G525" s="51" t="str">
        <f t="shared" si="35"/>
        <v>Qui</v>
      </c>
      <c r="H525" s="60">
        <v>0.33333333333333331</v>
      </c>
      <c r="I525" s="57" t="s">
        <v>46</v>
      </c>
      <c r="J525" s="57" t="s">
        <v>2480</v>
      </c>
      <c r="K525" s="57" t="s">
        <v>566</v>
      </c>
      <c r="L525" s="53" t="str">
        <f t="shared" si="36"/>
        <v>SIM</v>
      </c>
      <c r="M525" s="57" t="s">
        <v>234</v>
      </c>
      <c r="N525" s="57" t="s">
        <v>89</v>
      </c>
      <c r="O525" s="57" t="s">
        <v>72</v>
      </c>
      <c r="P525" s="57" t="s">
        <v>72</v>
      </c>
      <c r="Q525" s="57" t="s">
        <v>2482</v>
      </c>
      <c r="R525" s="57" t="s">
        <v>2481</v>
      </c>
      <c r="S525" s="61" t="str">
        <f t="shared" ca="1" si="37"/>
        <v>EXECUTADA</v>
      </c>
    </row>
    <row r="526" spans="1:19" s="55" customFormat="1" ht="18" x14ac:dyDescent="0.25">
      <c r="A526" s="151" t="s">
        <v>2423</v>
      </c>
      <c r="B526" s="57" t="s">
        <v>30</v>
      </c>
      <c r="C526" s="268" t="s">
        <v>2424</v>
      </c>
      <c r="D526" s="260" t="s">
        <v>868</v>
      </c>
      <c r="E526" s="57" t="s">
        <v>2463</v>
      </c>
      <c r="F526" s="59">
        <v>46177</v>
      </c>
      <c r="G526" s="51" t="str">
        <f t="shared" ref="G526:G596" si="38">PROPER(TEXT(F526,"DDD"))</f>
        <v>Qui</v>
      </c>
      <c r="H526" s="60">
        <v>0.41666666666666669</v>
      </c>
      <c r="I526" s="57" t="s">
        <v>46</v>
      </c>
      <c r="J526" s="57" t="s">
        <v>2459</v>
      </c>
      <c r="K526" s="57" t="s">
        <v>100</v>
      </c>
      <c r="L526" s="53" t="str">
        <f t="shared" si="36"/>
        <v>SIM</v>
      </c>
      <c r="M526" s="57" t="s">
        <v>1657</v>
      </c>
      <c r="N526" s="57" t="s">
        <v>89</v>
      </c>
      <c r="O526" s="57" t="s">
        <v>2460</v>
      </c>
      <c r="P526" s="57">
        <v>34998791668</v>
      </c>
      <c r="Q526" s="57" t="s">
        <v>2461</v>
      </c>
      <c r="R526" s="57" t="s">
        <v>2462</v>
      </c>
      <c r="S526" s="61" t="str">
        <f t="shared" ca="1" si="37"/>
        <v>EXECUTADA</v>
      </c>
    </row>
    <row r="527" spans="1:19" s="81" customFormat="1" ht="15" customHeight="1" x14ac:dyDescent="0.25">
      <c r="A527" s="186" t="s">
        <v>2352</v>
      </c>
      <c r="B527" s="81" t="s">
        <v>27</v>
      </c>
      <c r="C527" s="39" t="s">
        <v>2359</v>
      </c>
      <c r="D527" s="270" t="s">
        <v>1555</v>
      </c>
      <c r="E527" s="38" t="s">
        <v>2374</v>
      </c>
      <c r="F527" s="41">
        <v>46178</v>
      </c>
      <c r="G527" s="271" t="str">
        <f t="shared" si="38"/>
        <v>Sex</v>
      </c>
      <c r="H527" s="43">
        <v>0.33333333333333331</v>
      </c>
      <c r="I527" s="38" t="s">
        <v>42</v>
      </c>
      <c r="J527" s="38" t="s">
        <v>2375</v>
      </c>
      <c r="K527" s="38" t="s">
        <v>71</v>
      </c>
      <c r="L527" s="40" t="str">
        <f t="shared" si="36"/>
        <v>NÃO</v>
      </c>
      <c r="M527" s="38" t="s">
        <v>72</v>
      </c>
      <c r="N527" s="38" t="s">
        <v>89</v>
      </c>
      <c r="O527" s="38" t="s">
        <v>72</v>
      </c>
      <c r="P527" s="38" t="s">
        <v>72</v>
      </c>
      <c r="Q527" s="38" t="s">
        <v>208</v>
      </c>
      <c r="R527" s="38"/>
      <c r="S527" s="44" t="str">
        <f t="shared" ca="1" si="37"/>
        <v>EXECUTADA</v>
      </c>
    </row>
    <row r="528" spans="1:19" s="55" customFormat="1" ht="18" x14ac:dyDescent="0.25">
      <c r="A528" s="151" t="s">
        <v>2503</v>
      </c>
      <c r="B528" s="57" t="s">
        <v>27</v>
      </c>
      <c r="C528" s="268" t="s">
        <v>2504</v>
      </c>
      <c r="D528" s="260" t="s">
        <v>868</v>
      </c>
      <c r="E528" s="57">
        <v>34991723653</v>
      </c>
      <c r="F528" s="59">
        <v>46178</v>
      </c>
      <c r="G528" s="51" t="str">
        <f>PROPER(TEXT(F528,"DDD"))</f>
        <v>Sex</v>
      </c>
      <c r="H528" s="60">
        <v>0.33333333333333331</v>
      </c>
      <c r="I528" s="57" t="s">
        <v>42</v>
      </c>
      <c r="J528" s="57" t="s">
        <v>2507</v>
      </c>
      <c r="K528" s="57" t="s">
        <v>2512</v>
      </c>
      <c r="L528" s="53" t="str">
        <f>IF(B528="MUD END","NÃO","SIM")</f>
        <v>NÃO</v>
      </c>
      <c r="M528" s="57" t="s">
        <v>72</v>
      </c>
      <c r="N528" s="57" t="s">
        <v>79</v>
      </c>
      <c r="O528" s="57" t="s">
        <v>2508</v>
      </c>
      <c r="P528" s="57" t="s">
        <v>2510</v>
      </c>
      <c r="Q528" s="57" t="s">
        <v>2509</v>
      </c>
      <c r="R528" s="57" t="s">
        <v>2511</v>
      </c>
      <c r="S528" s="61" t="str">
        <f ca="1">IF(F528&lt;TODAY(),"EXECUTADA",IF(F528=TODAY(),"EM EXECUÇÃO",IF(F528=TODAY()+1,"VALIDAR HOJE",IF(F528&gt;TODAY()+1,"VALIDAR DEPOIS","-"))))</f>
        <v>EXECUTADA</v>
      </c>
    </row>
    <row r="529" spans="1:19" s="55" customFormat="1" ht="18" x14ac:dyDescent="0.25">
      <c r="A529" s="151" t="s">
        <v>2505</v>
      </c>
      <c r="B529" s="57" t="s">
        <v>30</v>
      </c>
      <c r="C529" s="268" t="s">
        <v>2506</v>
      </c>
      <c r="D529" s="260" t="s">
        <v>868</v>
      </c>
      <c r="E529" s="57">
        <v>34984144640</v>
      </c>
      <c r="F529" s="59">
        <v>46178</v>
      </c>
      <c r="G529" s="51" t="str">
        <f>PROPER(TEXT(F529,"DDD"))</f>
        <v>Sex</v>
      </c>
      <c r="H529" s="60">
        <v>0.41666666666666669</v>
      </c>
      <c r="I529" s="57" t="s">
        <v>46</v>
      </c>
      <c r="J529" s="57" t="s">
        <v>2513</v>
      </c>
      <c r="K529" s="57" t="s">
        <v>146</v>
      </c>
      <c r="L529" s="53" t="str">
        <f>IF(B529="MUD END","NÃO","SIM")</f>
        <v>SIM</v>
      </c>
      <c r="M529" s="57" t="s">
        <v>2514</v>
      </c>
      <c r="N529" s="57" t="s">
        <v>89</v>
      </c>
      <c r="O529" s="57" t="s">
        <v>72</v>
      </c>
      <c r="P529" s="57" t="s">
        <v>72</v>
      </c>
      <c r="Q529" s="57" t="s">
        <v>2515</v>
      </c>
      <c r="R529" s="57" t="s">
        <v>2516</v>
      </c>
      <c r="S529" s="61" t="str">
        <f ca="1">IF(F529&lt;TODAY(),"EXECUTADA",IF(F529=TODAY(),"EM EXECUÇÃO",IF(F529=TODAY()+1,"VALIDAR HOJE",IF(F529&gt;TODAY()+1,"VALIDAR DEPOIS","-"))))</f>
        <v>EXECUTADA</v>
      </c>
    </row>
    <row r="530" spans="1:19" s="55" customFormat="1" ht="15" customHeight="1" x14ac:dyDescent="0.25">
      <c r="A530" s="151" t="s">
        <v>2354</v>
      </c>
      <c r="B530" s="57" t="s">
        <v>27</v>
      </c>
      <c r="C530" s="58" t="s">
        <v>2360</v>
      </c>
      <c r="D530" s="260" t="s">
        <v>868</v>
      </c>
      <c r="E530" s="57">
        <v>11985614034</v>
      </c>
      <c r="F530" s="59">
        <v>46178</v>
      </c>
      <c r="G530" s="114" t="str">
        <f t="shared" si="38"/>
        <v>Sex</v>
      </c>
      <c r="H530" s="60">
        <v>0.54166666666666663</v>
      </c>
      <c r="I530" s="57" t="s">
        <v>42</v>
      </c>
      <c r="J530" s="57" t="s">
        <v>2378</v>
      </c>
      <c r="K530" s="57" t="s">
        <v>71</v>
      </c>
      <c r="L530" s="53" t="str">
        <f t="shared" si="36"/>
        <v>NÃO</v>
      </c>
      <c r="M530" s="57" t="s">
        <v>72</v>
      </c>
      <c r="N530" s="57" t="s">
        <v>89</v>
      </c>
      <c r="O530" s="57" t="s">
        <v>72</v>
      </c>
      <c r="P530" s="57" t="s">
        <v>72</v>
      </c>
      <c r="Q530" s="57" t="s">
        <v>2376</v>
      </c>
      <c r="R530" s="57" t="s">
        <v>2377</v>
      </c>
      <c r="S530" s="61" t="str">
        <f t="shared" ca="1" si="37"/>
        <v>EXECUTADA</v>
      </c>
    </row>
    <row r="532" spans="1:19" s="83" customFormat="1" ht="18" x14ac:dyDescent="0.25">
      <c r="A532" s="151" t="s">
        <v>2355</v>
      </c>
      <c r="B532" s="57" t="s">
        <v>27</v>
      </c>
      <c r="C532" s="268" t="s">
        <v>2357</v>
      </c>
      <c r="D532" s="110" t="s">
        <v>868</v>
      </c>
      <c r="E532" s="57">
        <v>34984424332</v>
      </c>
      <c r="F532" s="59">
        <v>46178</v>
      </c>
      <c r="G532" s="51" t="str">
        <f t="shared" si="38"/>
        <v>Sex</v>
      </c>
      <c r="H532" s="60">
        <v>0.70833333333333337</v>
      </c>
      <c r="I532" s="57" t="s">
        <v>42</v>
      </c>
      <c r="J532" s="57" t="s">
        <v>2382</v>
      </c>
      <c r="K532" s="57" t="s">
        <v>87</v>
      </c>
      <c r="L532" s="53" t="str">
        <f t="shared" ref="L532:L601" si="39">IF(B532="MUD END","NÃO","SIM")</f>
        <v>NÃO</v>
      </c>
      <c r="M532" s="57" t="s">
        <v>72</v>
      </c>
      <c r="N532" s="57" t="s">
        <v>89</v>
      </c>
      <c r="O532" s="57" t="s">
        <v>72</v>
      </c>
      <c r="P532" s="57" t="s">
        <v>72</v>
      </c>
      <c r="Q532" s="57" t="s">
        <v>2383</v>
      </c>
      <c r="R532" s="57" t="s">
        <v>2384</v>
      </c>
      <c r="S532" s="61" t="str">
        <f t="shared" ref="S532:S601" ca="1" si="40">IF(F532&lt;TODAY(),"EXECUTADA",IF(F532=TODAY(),"EM EXECUÇÃO",IF(F532=TODAY()+1,"VALIDAR HOJE",IF(F532&gt;TODAY()+1,"VALIDAR DEPOIS","-"))))</f>
        <v>EXECUTADA</v>
      </c>
    </row>
    <row r="533" spans="1:19" s="55" customFormat="1" ht="18" x14ac:dyDescent="0.25">
      <c r="A533" s="151" t="s">
        <v>2470</v>
      </c>
      <c r="B533" s="55" t="s">
        <v>27</v>
      </c>
      <c r="C533" s="268" t="s">
        <v>2476</v>
      </c>
      <c r="D533" s="110" t="s">
        <v>868</v>
      </c>
      <c r="E533" s="57">
        <v>34988374874</v>
      </c>
      <c r="F533" s="59">
        <v>46178</v>
      </c>
      <c r="G533" s="51" t="str">
        <f t="shared" si="38"/>
        <v>Sex</v>
      </c>
      <c r="H533" s="60">
        <v>0.33333333333333331</v>
      </c>
      <c r="I533" s="57" t="s">
        <v>42</v>
      </c>
      <c r="J533" s="57" t="s">
        <v>2484</v>
      </c>
      <c r="K533" s="57" t="s">
        <v>107</v>
      </c>
      <c r="L533" s="53" t="str">
        <f t="shared" si="39"/>
        <v>NÃO</v>
      </c>
      <c r="M533" s="57" t="s">
        <v>72</v>
      </c>
      <c r="N533" s="57" t="s">
        <v>89</v>
      </c>
      <c r="O533" s="57" t="s">
        <v>72</v>
      </c>
      <c r="P533" s="57" t="s">
        <v>72</v>
      </c>
      <c r="Q533" s="57" t="s">
        <v>2485</v>
      </c>
      <c r="R533" s="57" t="s">
        <v>2486</v>
      </c>
      <c r="S533" s="61" t="str">
        <f t="shared" ca="1" si="40"/>
        <v>EXECUTADA</v>
      </c>
    </row>
    <row r="534" spans="1:19" s="55" customFormat="1" ht="18" x14ac:dyDescent="0.25">
      <c r="A534" s="151" t="s">
        <v>2472</v>
      </c>
      <c r="B534" s="57" t="s">
        <v>30</v>
      </c>
      <c r="C534" s="268" t="s">
        <v>2473</v>
      </c>
      <c r="D534" s="110" t="s">
        <v>868</v>
      </c>
      <c r="E534" s="57">
        <v>34987001441</v>
      </c>
      <c r="F534" s="59">
        <v>46178</v>
      </c>
      <c r="G534" s="51" t="str">
        <f>PROPER(TEXT(F534,"DDD"))</f>
        <v>Sex</v>
      </c>
      <c r="H534" s="60">
        <v>0.33333333333333331</v>
      </c>
      <c r="I534" s="57" t="s">
        <v>46</v>
      </c>
      <c r="J534" s="57" t="s">
        <v>2499</v>
      </c>
      <c r="K534" s="57" t="s">
        <v>71</v>
      </c>
      <c r="L534" s="53" t="str">
        <f>IF(B534="MUD END","NÃO","SIM")</f>
        <v>SIM</v>
      </c>
      <c r="M534" s="57" t="s">
        <v>1470</v>
      </c>
      <c r="N534" s="57" t="s">
        <v>89</v>
      </c>
      <c r="O534" s="57" t="s">
        <v>72</v>
      </c>
      <c r="P534" s="57" t="s">
        <v>72</v>
      </c>
      <c r="Q534" s="57" t="s">
        <v>2487</v>
      </c>
      <c r="R534" s="57" t="s">
        <v>2488</v>
      </c>
      <c r="S534" s="61" t="str">
        <f ca="1">IF(F534&lt;TODAY(),"EXECUTADA",IF(F534=TODAY(),"EM EXECUÇÃO",IF(F534=TODAY()+1,"VALIDAR HOJE",IF(F534&gt;TODAY()+1,"VALIDAR DEPOIS","-"))))</f>
        <v>EXECUTADA</v>
      </c>
    </row>
    <row r="535" spans="1:19" s="83" customFormat="1" ht="18" x14ac:dyDescent="0.25">
      <c r="A535" s="207" t="s">
        <v>2474</v>
      </c>
      <c r="B535" s="74" t="s">
        <v>30</v>
      </c>
      <c r="C535" s="272" t="s">
        <v>2477</v>
      </c>
      <c r="D535" s="110" t="s">
        <v>868</v>
      </c>
      <c r="E535" s="74">
        <v>34997224651</v>
      </c>
      <c r="F535" s="92">
        <v>46178</v>
      </c>
      <c r="G535" s="93" t="str">
        <f>PROPER(TEXT(F535,"DDD"))</f>
        <v>Sex</v>
      </c>
      <c r="H535" s="77">
        <v>0.54166666666666663</v>
      </c>
      <c r="I535" s="74" t="s">
        <v>46</v>
      </c>
      <c r="J535" s="74" t="s">
        <v>2489</v>
      </c>
      <c r="K535" s="74" t="s">
        <v>87</v>
      </c>
      <c r="L535" s="78" t="str">
        <f>IF(B535="MUD END","NÃO","SIM")</f>
        <v>SIM</v>
      </c>
      <c r="M535" s="74" t="s">
        <v>2490</v>
      </c>
      <c r="N535" s="74" t="s">
        <v>89</v>
      </c>
      <c r="O535" s="74" t="s">
        <v>72</v>
      </c>
      <c r="P535" s="74" t="s">
        <v>72</v>
      </c>
      <c r="Q535" s="74" t="s">
        <v>2491</v>
      </c>
      <c r="R535" s="74" t="s">
        <v>2492</v>
      </c>
      <c r="S535" s="79" t="str">
        <f ca="1">IF(F535&lt;TODAY(),"EXECUTADA",IF(F535=TODAY(),"EM EXECUÇÃO",IF(F535=TODAY()+1,"VALIDAR HOJE",IF(F535&gt;TODAY()+1,"VALIDAR DEPOIS","-"))))</f>
        <v>EXECUTADA</v>
      </c>
    </row>
    <row r="536" spans="1:19" s="55" customFormat="1" ht="18" x14ac:dyDescent="0.25">
      <c r="A536" s="151" t="s">
        <v>2471</v>
      </c>
      <c r="B536" s="57" t="s">
        <v>30</v>
      </c>
      <c r="C536" s="268" t="s">
        <v>2478</v>
      </c>
      <c r="D536" s="110" t="s">
        <v>868</v>
      </c>
      <c r="E536" s="57">
        <v>34996564654</v>
      </c>
      <c r="F536" s="59">
        <v>46178</v>
      </c>
      <c r="G536" s="51" t="str">
        <f t="shared" si="38"/>
        <v>Sex</v>
      </c>
      <c r="H536" s="60">
        <v>0.625</v>
      </c>
      <c r="I536" s="57" t="s">
        <v>46</v>
      </c>
      <c r="J536" s="57" t="s">
        <v>2493</v>
      </c>
      <c r="K536" s="57" t="s">
        <v>100</v>
      </c>
      <c r="L536" s="53" t="str">
        <f t="shared" si="39"/>
        <v>SIM</v>
      </c>
      <c r="M536" s="57" t="s">
        <v>2494</v>
      </c>
      <c r="N536" s="57" t="s">
        <v>89</v>
      </c>
      <c r="O536" s="57" t="s">
        <v>2500</v>
      </c>
      <c r="P536" s="57">
        <v>34996564654</v>
      </c>
      <c r="Q536" s="57" t="s">
        <v>2501</v>
      </c>
      <c r="R536" s="57" t="s">
        <v>2502</v>
      </c>
      <c r="S536" s="61" t="str">
        <f t="shared" ca="1" si="40"/>
        <v>EXECUTADA</v>
      </c>
    </row>
    <row r="537" spans="1:19" s="55" customFormat="1" ht="18" x14ac:dyDescent="0.25">
      <c r="A537" s="151" t="s">
        <v>2475</v>
      </c>
      <c r="B537" s="57" t="s">
        <v>30</v>
      </c>
      <c r="C537" s="268" t="s">
        <v>2479</v>
      </c>
      <c r="D537" s="110" t="s">
        <v>868</v>
      </c>
      <c r="E537" s="57">
        <v>34996346977</v>
      </c>
      <c r="F537" s="59">
        <v>46178</v>
      </c>
      <c r="G537" s="51" t="str">
        <f>PROPER(TEXT(F537,"DDD"))</f>
        <v>Sex</v>
      </c>
      <c r="H537" s="60">
        <v>0.70833333333333337</v>
      </c>
      <c r="I537" s="57" t="s">
        <v>46</v>
      </c>
      <c r="J537" s="57" t="s">
        <v>2496</v>
      </c>
      <c r="K537" s="57" t="s">
        <v>146</v>
      </c>
      <c r="L537" s="53" t="str">
        <f>IF(B537="MUD END","NÃO","SIM")</f>
        <v>SIM</v>
      </c>
      <c r="M537" s="57" t="s">
        <v>2495</v>
      </c>
      <c r="N537" s="57" t="s">
        <v>89</v>
      </c>
      <c r="O537" s="57" t="s">
        <v>72</v>
      </c>
      <c r="P537" s="57" t="s">
        <v>72</v>
      </c>
      <c r="Q537" s="57" t="s">
        <v>2497</v>
      </c>
      <c r="R537" s="57" t="s">
        <v>2498</v>
      </c>
      <c r="S537" s="61" t="str">
        <f ca="1">IF(F537&lt;TODAY(),"EXECUTADA",IF(F537=TODAY(),"EM EXECUÇÃO",IF(F537=TODAY()+1,"VALIDAR HOJE",IF(F537&gt;TODAY()+1,"VALIDAR DEPOIS","-"))))</f>
        <v>EXECUTADA</v>
      </c>
    </row>
    <row r="538" spans="1:19" s="83" customFormat="1" ht="18" x14ac:dyDescent="0.25">
      <c r="A538" s="151" t="s">
        <v>2385</v>
      </c>
      <c r="B538" s="57" t="s">
        <v>27</v>
      </c>
      <c r="C538" s="268" t="s">
        <v>2388</v>
      </c>
      <c r="D538" s="110" t="s">
        <v>2392</v>
      </c>
      <c r="E538" s="57">
        <v>34991879387</v>
      </c>
      <c r="F538" s="59">
        <v>46179</v>
      </c>
      <c r="G538" s="51" t="str">
        <f t="shared" si="38"/>
        <v>Sáb</v>
      </c>
      <c r="H538" s="60">
        <v>0.33333333333333331</v>
      </c>
      <c r="I538" s="57" t="s">
        <v>42</v>
      </c>
      <c r="J538" s="57" t="s">
        <v>1779</v>
      </c>
      <c r="K538" s="57"/>
      <c r="L538" s="53" t="str">
        <f t="shared" si="39"/>
        <v>NÃO</v>
      </c>
      <c r="M538" s="57" t="s">
        <v>72</v>
      </c>
      <c r="N538" s="57" t="s">
        <v>79</v>
      </c>
      <c r="O538" s="57" t="s">
        <v>1780</v>
      </c>
      <c r="P538" s="57">
        <v>64996608141</v>
      </c>
      <c r="Q538" s="57" t="s">
        <v>1781</v>
      </c>
      <c r="R538" s="57" t="s">
        <v>1782</v>
      </c>
      <c r="S538" s="61" t="str">
        <f t="shared" ca="1" si="40"/>
        <v>EXECUTADA</v>
      </c>
    </row>
    <row r="539" spans="1:19" s="55" customFormat="1" ht="18" x14ac:dyDescent="0.25">
      <c r="A539" s="151" t="s">
        <v>2386</v>
      </c>
      <c r="B539" s="57" t="s">
        <v>27</v>
      </c>
      <c r="C539" s="268" t="s">
        <v>2389</v>
      </c>
      <c r="D539" s="110" t="s">
        <v>868</v>
      </c>
      <c r="E539" s="57">
        <v>34997353130</v>
      </c>
      <c r="F539" s="59">
        <v>46179</v>
      </c>
      <c r="G539" s="51" t="str">
        <f t="shared" si="38"/>
        <v>Sáb</v>
      </c>
      <c r="H539" s="60">
        <v>0.33333333333333331</v>
      </c>
      <c r="I539" s="57" t="s">
        <v>42</v>
      </c>
      <c r="J539" s="57" t="s">
        <v>2393</v>
      </c>
      <c r="K539" s="57" t="s">
        <v>146</v>
      </c>
      <c r="L539" s="53" t="str">
        <f t="shared" si="39"/>
        <v>NÃO</v>
      </c>
      <c r="M539" s="57" t="s">
        <v>72</v>
      </c>
      <c r="N539" s="57" t="s">
        <v>89</v>
      </c>
      <c r="O539" s="57" t="s">
        <v>2465</v>
      </c>
      <c r="P539" s="57" t="s">
        <v>2466</v>
      </c>
      <c r="Q539" s="57" t="s">
        <v>2394</v>
      </c>
      <c r="R539" s="57" t="s">
        <v>2464</v>
      </c>
      <c r="S539" s="61" t="str">
        <f t="shared" ca="1" si="40"/>
        <v>EXECUTADA</v>
      </c>
    </row>
    <row r="540" spans="1:19" s="83" customFormat="1" ht="18" x14ac:dyDescent="0.25">
      <c r="A540" s="225" t="s">
        <v>2387</v>
      </c>
      <c r="B540" s="74" t="s">
        <v>27</v>
      </c>
      <c r="C540" s="272" t="s">
        <v>2390</v>
      </c>
      <c r="D540" s="110" t="s">
        <v>868</v>
      </c>
      <c r="E540" s="74">
        <v>34997144866</v>
      </c>
      <c r="F540" s="92">
        <v>46179</v>
      </c>
      <c r="G540" s="93" t="str">
        <f t="shared" si="38"/>
        <v>Sáb</v>
      </c>
      <c r="H540" s="77">
        <v>0.41666666666666669</v>
      </c>
      <c r="I540" s="74" t="s">
        <v>35</v>
      </c>
      <c r="J540" s="74" t="s">
        <v>2395</v>
      </c>
      <c r="K540" s="74"/>
      <c r="L540" s="78" t="str">
        <f t="shared" si="39"/>
        <v>NÃO</v>
      </c>
      <c r="M540" s="74"/>
      <c r="N540" s="74"/>
      <c r="O540" s="74"/>
      <c r="P540" s="74"/>
      <c r="Q540" s="74"/>
      <c r="R540" s="74"/>
      <c r="S540" s="79" t="str">
        <f t="shared" ca="1" si="40"/>
        <v>EXECUTADA</v>
      </c>
    </row>
    <row r="541" spans="1:19" ht="18" x14ac:dyDescent="0.25">
      <c r="A541" s="269" t="s">
        <v>2845</v>
      </c>
      <c r="B541" s="57" t="s">
        <v>27</v>
      </c>
      <c r="C541" s="268" t="s">
        <v>2391</v>
      </c>
      <c r="D541" s="110" t="s">
        <v>868</v>
      </c>
      <c r="E541" s="57">
        <v>34998610702</v>
      </c>
      <c r="F541" s="59">
        <v>46179</v>
      </c>
      <c r="G541" s="51" t="str">
        <f t="shared" si="38"/>
        <v>Sáb</v>
      </c>
      <c r="H541" s="60" t="s">
        <v>183</v>
      </c>
      <c r="I541" s="57" t="s">
        <v>35</v>
      </c>
      <c r="J541" s="57" t="s">
        <v>2396</v>
      </c>
      <c r="K541" s="57" t="s">
        <v>71</v>
      </c>
      <c r="L541" s="53" t="str">
        <f t="shared" si="39"/>
        <v>NÃO</v>
      </c>
      <c r="M541" s="57" t="s">
        <v>72</v>
      </c>
      <c r="N541" s="57" t="s">
        <v>89</v>
      </c>
      <c r="O541" s="57" t="s">
        <v>72</v>
      </c>
      <c r="P541" s="57" t="s">
        <v>72</v>
      </c>
      <c r="Q541" s="57" t="s">
        <v>2397</v>
      </c>
      <c r="R541" s="57" t="s">
        <v>2398</v>
      </c>
      <c r="S541" s="79" t="str">
        <f t="shared" ca="1" si="40"/>
        <v>EXECUTADA</v>
      </c>
    </row>
    <row r="542" spans="1:19" s="55" customFormat="1" ht="18" x14ac:dyDescent="0.25">
      <c r="A542" s="151" t="s">
        <v>2517</v>
      </c>
      <c r="B542" s="57" t="s">
        <v>30</v>
      </c>
      <c r="C542" s="268" t="s">
        <v>2518</v>
      </c>
      <c r="D542" s="110" t="s">
        <v>868</v>
      </c>
      <c r="E542" s="57">
        <v>34996621970</v>
      </c>
      <c r="F542" s="59">
        <v>46176</v>
      </c>
      <c r="G542" s="51" t="str">
        <f t="shared" si="38"/>
        <v>Qua</v>
      </c>
      <c r="H542" s="60">
        <v>0.70833333333333337</v>
      </c>
      <c r="I542" s="57" t="s">
        <v>46</v>
      </c>
      <c r="J542" s="57" t="s">
        <v>2519</v>
      </c>
      <c r="K542" s="57" t="s">
        <v>566</v>
      </c>
      <c r="L542" s="53" t="str">
        <f t="shared" si="39"/>
        <v>SIM</v>
      </c>
      <c r="M542" s="57" t="s">
        <v>2520</v>
      </c>
      <c r="N542" s="57"/>
      <c r="O542" s="57" t="s">
        <v>2529</v>
      </c>
      <c r="P542" s="57">
        <v>34999773522</v>
      </c>
      <c r="Q542" s="57" t="s">
        <v>2521</v>
      </c>
      <c r="R542" s="57" t="s">
        <v>2528</v>
      </c>
      <c r="S542" s="79" t="str">
        <f t="shared" ca="1" si="40"/>
        <v>EXECUTADA</v>
      </c>
    </row>
    <row r="543" spans="1:19" s="55" customFormat="1" ht="18" x14ac:dyDescent="0.25">
      <c r="A543" s="151" t="s">
        <v>2522</v>
      </c>
      <c r="B543" s="57" t="s">
        <v>30</v>
      </c>
      <c r="C543" s="268" t="s">
        <v>2523</v>
      </c>
      <c r="D543" s="110" t="s">
        <v>868</v>
      </c>
      <c r="E543" s="57">
        <v>34999003716</v>
      </c>
      <c r="F543" s="59">
        <v>46178</v>
      </c>
      <c r="G543" s="51" t="str">
        <f t="shared" si="38"/>
        <v>Sex</v>
      </c>
      <c r="H543" s="60">
        <v>0.625</v>
      </c>
      <c r="I543" s="57" t="s">
        <v>46</v>
      </c>
      <c r="J543" s="57" t="s">
        <v>2524</v>
      </c>
      <c r="K543" s="57" t="s">
        <v>139</v>
      </c>
      <c r="L543" s="53" t="str">
        <f t="shared" si="39"/>
        <v>SIM</v>
      </c>
      <c r="M543" s="57" t="s">
        <v>2525</v>
      </c>
      <c r="N543" s="57" t="s">
        <v>89</v>
      </c>
      <c r="O543" s="57" t="s">
        <v>72</v>
      </c>
      <c r="P543" s="57" t="s">
        <v>72</v>
      </c>
      <c r="Q543" s="57" t="s">
        <v>2526</v>
      </c>
      <c r="R543" s="57" t="s">
        <v>2527</v>
      </c>
      <c r="S543" s="79" t="str">
        <f t="shared" ca="1" si="40"/>
        <v>EXECUTADA</v>
      </c>
    </row>
    <row r="544" spans="1:19" s="55" customFormat="1" ht="18" x14ac:dyDescent="0.25">
      <c r="A544" s="151" t="s">
        <v>2531</v>
      </c>
      <c r="B544" s="57" t="s">
        <v>30</v>
      </c>
      <c r="C544" s="268" t="s">
        <v>2532</v>
      </c>
      <c r="D544" s="53" t="s">
        <v>868</v>
      </c>
      <c r="E544" s="57">
        <v>34991878093</v>
      </c>
      <c r="F544" s="59">
        <v>46178</v>
      </c>
      <c r="G544" s="51" t="str">
        <f t="shared" si="38"/>
        <v>Sex</v>
      </c>
      <c r="H544" s="60">
        <v>0.625</v>
      </c>
      <c r="I544" s="57" t="s">
        <v>46</v>
      </c>
      <c r="J544" s="57" t="s">
        <v>2533</v>
      </c>
      <c r="K544" s="57" t="s">
        <v>146</v>
      </c>
      <c r="L544" s="53" t="str">
        <f t="shared" si="39"/>
        <v>SIM</v>
      </c>
      <c r="M544" s="57" t="s">
        <v>2534</v>
      </c>
      <c r="N544" s="57" t="s">
        <v>89</v>
      </c>
      <c r="O544" s="57" t="s">
        <v>72</v>
      </c>
      <c r="P544" s="57" t="s">
        <v>72</v>
      </c>
      <c r="Q544" s="57" t="s">
        <v>2535</v>
      </c>
      <c r="R544" s="57" t="s">
        <v>2536</v>
      </c>
      <c r="S544" s="79" t="str">
        <f t="shared" ca="1" si="40"/>
        <v>EXECUTADA</v>
      </c>
    </row>
    <row r="545" spans="1:20" s="55" customFormat="1" ht="18" x14ac:dyDescent="0.25">
      <c r="A545" s="151" t="s">
        <v>2538</v>
      </c>
      <c r="B545" s="55" t="s">
        <v>27</v>
      </c>
      <c r="C545" s="268" t="s">
        <v>2539</v>
      </c>
      <c r="D545" s="53" t="s">
        <v>868</v>
      </c>
      <c r="E545" s="57">
        <v>34996439960</v>
      </c>
      <c r="F545" s="59">
        <v>46179</v>
      </c>
      <c r="G545" s="51" t="str">
        <f t="shared" si="38"/>
        <v>Sáb</v>
      </c>
      <c r="H545" s="60">
        <v>0.41666666666666669</v>
      </c>
      <c r="I545" s="57" t="s">
        <v>42</v>
      </c>
      <c r="J545" s="57" t="s">
        <v>2540</v>
      </c>
      <c r="K545" s="57" t="s">
        <v>87</v>
      </c>
      <c r="L545" s="53" t="str">
        <f t="shared" si="39"/>
        <v>NÃO</v>
      </c>
      <c r="M545" s="57" t="s">
        <v>72</v>
      </c>
      <c r="N545" s="57" t="s">
        <v>89</v>
      </c>
      <c r="O545" s="57" t="s">
        <v>72</v>
      </c>
      <c r="P545" s="57" t="s">
        <v>72</v>
      </c>
      <c r="Q545" s="57" t="s">
        <v>2537</v>
      </c>
      <c r="R545" s="57" t="s">
        <v>877</v>
      </c>
      <c r="S545" s="79" t="str">
        <f t="shared" ca="1" si="40"/>
        <v>EXECUTADA</v>
      </c>
    </row>
    <row r="546" spans="1:20" s="55" customFormat="1" ht="15" customHeight="1" x14ac:dyDescent="0.25">
      <c r="A546" s="273" t="s">
        <v>2562</v>
      </c>
      <c r="B546" s="57" t="s">
        <v>27</v>
      </c>
      <c r="C546" s="58" t="s">
        <v>2541</v>
      </c>
      <c r="D546" s="105" t="s">
        <v>868</v>
      </c>
      <c r="E546" s="57">
        <v>34991289145</v>
      </c>
      <c r="F546" s="59">
        <v>46179</v>
      </c>
      <c r="G546" s="51" t="str">
        <f t="shared" si="38"/>
        <v>Sáb</v>
      </c>
      <c r="H546" s="60">
        <v>0.41666666666666669</v>
      </c>
      <c r="I546" s="57" t="s">
        <v>42</v>
      </c>
      <c r="J546" s="274" t="s">
        <v>2542</v>
      </c>
      <c r="K546" s="274" t="s">
        <v>71</v>
      </c>
      <c r="L546" s="53" t="str">
        <f t="shared" si="39"/>
        <v>NÃO</v>
      </c>
      <c r="M546" s="274" t="s">
        <v>72</v>
      </c>
      <c r="N546" s="57" t="s">
        <v>89</v>
      </c>
      <c r="O546" s="274" t="s">
        <v>72</v>
      </c>
      <c r="P546" s="57" t="s">
        <v>72</v>
      </c>
      <c r="Q546" s="274" t="s">
        <v>2537</v>
      </c>
      <c r="R546" s="274" t="s">
        <v>2543</v>
      </c>
      <c r="S546" s="79" t="str">
        <f t="shared" ca="1" si="40"/>
        <v>EXECUTADA</v>
      </c>
    </row>
    <row r="547" spans="1:20" s="83" customFormat="1" ht="18" x14ac:dyDescent="0.25">
      <c r="A547" s="207" t="s">
        <v>2544</v>
      </c>
      <c r="B547" s="74" t="s">
        <v>30</v>
      </c>
      <c r="C547" s="272" t="s">
        <v>2545</v>
      </c>
      <c r="D547" s="78" t="s">
        <v>208</v>
      </c>
      <c r="E547" s="74">
        <v>34998749515</v>
      </c>
      <c r="F547" s="92">
        <v>46179</v>
      </c>
      <c r="G547" s="93" t="str">
        <f t="shared" si="38"/>
        <v>Sáb</v>
      </c>
      <c r="H547" s="77" t="s">
        <v>183</v>
      </c>
      <c r="I547" s="74" t="s">
        <v>46</v>
      </c>
      <c r="J547" s="74" t="s">
        <v>2546</v>
      </c>
      <c r="K547" s="74" t="s">
        <v>146</v>
      </c>
      <c r="L547" s="78" t="str">
        <f t="shared" si="39"/>
        <v>SIM</v>
      </c>
      <c r="M547" s="74" t="s">
        <v>2547</v>
      </c>
      <c r="N547" s="74" t="s">
        <v>89</v>
      </c>
      <c r="O547" s="74" t="s">
        <v>72</v>
      </c>
      <c r="P547" s="74" t="s">
        <v>72</v>
      </c>
      <c r="Q547" s="74" t="s">
        <v>208</v>
      </c>
      <c r="R547" s="74" t="s">
        <v>2548</v>
      </c>
      <c r="S547" s="79" t="str">
        <f t="shared" ca="1" si="40"/>
        <v>EXECUTADA</v>
      </c>
    </row>
    <row r="548" spans="1:20" s="55" customFormat="1" ht="18" x14ac:dyDescent="0.25">
      <c r="A548" s="151" t="s">
        <v>2549</v>
      </c>
      <c r="B548" s="57" t="s">
        <v>30</v>
      </c>
      <c r="C548" s="268" t="s">
        <v>2550</v>
      </c>
      <c r="D548" s="53" t="s">
        <v>868</v>
      </c>
      <c r="E548" s="57">
        <v>34999529659</v>
      </c>
      <c r="F548" s="59">
        <v>46179</v>
      </c>
      <c r="G548" s="51" t="str">
        <f t="shared" si="38"/>
        <v>Sáb</v>
      </c>
      <c r="H548" s="60" t="s">
        <v>183</v>
      </c>
      <c r="I548" s="57" t="s">
        <v>46</v>
      </c>
      <c r="J548" s="57" t="s">
        <v>2551</v>
      </c>
      <c r="K548" s="57" t="s">
        <v>132</v>
      </c>
      <c r="L548" s="53" t="str">
        <f t="shared" si="39"/>
        <v>SIM</v>
      </c>
      <c r="M548" s="57" t="s">
        <v>2552</v>
      </c>
      <c r="N548" s="57" t="s">
        <v>89</v>
      </c>
      <c r="O548" s="57" t="s">
        <v>72</v>
      </c>
      <c r="P548" s="57" t="s">
        <v>72</v>
      </c>
      <c r="Q548" s="57" t="s">
        <v>2530</v>
      </c>
      <c r="R548" s="57" t="s">
        <v>877</v>
      </c>
      <c r="S548" s="79" t="str">
        <f t="shared" ca="1" si="40"/>
        <v>EXECUTADA</v>
      </c>
    </row>
    <row r="549" spans="1:20" s="55" customFormat="1" ht="18" x14ac:dyDescent="0.25">
      <c r="A549" s="120" t="s">
        <v>2563</v>
      </c>
      <c r="B549" s="55" t="s">
        <v>30</v>
      </c>
      <c r="C549" s="275" t="s">
        <v>2553</v>
      </c>
      <c r="D549" s="276" t="s">
        <v>868</v>
      </c>
      <c r="E549" s="55">
        <v>34998712947</v>
      </c>
      <c r="F549" s="277">
        <v>46179</v>
      </c>
      <c r="G549" s="51" t="str">
        <f t="shared" si="38"/>
        <v>Sáb</v>
      </c>
      <c r="H549" s="278">
        <v>0.33333333333333331</v>
      </c>
      <c r="I549" s="55" t="s">
        <v>46</v>
      </c>
      <c r="J549" s="55" t="s">
        <v>2554</v>
      </c>
      <c r="K549" s="55" t="s">
        <v>71</v>
      </c>
      <c r="L549" s="53" t="str">
        <f t="shared" si="39"/>
        <v>SIM</v>
      </c>
      <c r="M549" s="55" t="s">
        <v>2555</v>
      </c>
      <c r="N549" s="55" t="s">
        <v>89</v>
      </c>
      <c r="O549" s="55" t="s">
        <v>72</v>
      </c>
      <c r="P549" s="55" t="s">
        <v>72</v>
      </c>
      <c r="Q549" s="55" t="s">
        <v>2537</v>
      </c>
      <c r="R549" s="55" t="s">
        <v>2556</v>
      </c>
      <c r="S549" s="79" t="str">
        <f t="shared" ca="1" si="40"/>
        <v>EXECUTADA</v>
      </c>
    </row>
    <row r="550" spans="1:20" s="55" customFormat="1" ht="18" x14ac:dyDescent="0.25">
      <c r="A550" s="151" t="s">
        <v>2557</v>
      </c>
      <c r="B550" s="57" t="s">
        <v>30</v>
      </c>
      <c r="C550" s="268" t="s">
        <v>2558</v>
      </c>
      <c r="D550" s="53" t="s">
        <v>868</v>
      </c>
      <c r="E550" s="57">
        <v>34998206476</v>
      </c>
      <c r="F550" s="59">
        <v>46178</v>
      </c>
      <c r="G550" s="51" t="str">
        <f t="shared" si="38"/>
        <v>Sex</v>
      </c>
      <c r="H550" s="60">
        <v>0.70833333333333337</v>
      </c>
      <c r="I550" s="57" t="s">
        <v>46</v>
      </c>
      <c r="J550" s="57" t="s">
        <v>2559</v>
      </c>
      <c r="K550" s="57" t="s">
        <v>87</v>
      </c>
      <c r="L550" s="53" t="str">
        <f t="shared" si="39"/>
        <v>SIM</v>
      </c>
      <c r="M550" s="57" t="s">
        <v>2560</v>
      </c>
      <c r="N550" s="57" t="s">
        <v>89</v>
      </c>
      <c r="O550" s="57" t="s">
        <v>72</v>
      </c>
      <c r="P550" s="57" t="s">
        <v>72</v>
      </c>
      <c r="Q550" s="57" t="s">
        <v>2537</v>
      </c>
      <c r="R550" s="57" t="s">
        <v>2561</v>
      </c>
      <c r="S550" s="79" t="str">
        <f t="shared" ca="1" si="40"/>
        <v>EXECUTADA</v>
      </c>
    </row>
    <row r="551" spans="1:20" s="83" customFormat="1" ht="18" x14ac:dyDescent="0.25">
      <c r="A551" s="221" t="s">
        <v>2846</v>
      </c>
      <c r="B551" s="74" t="s">
        <v>27</v>
      </c>
      <c r="C551" s="272" t="s">
        <v>2566</v>
      </c>
      <c r="D551" s="78" t="s">
        <v>208</v>
      </c>
      <c r="E551" s="74">
        <v>34997703266</v>
      </c>
      <c r="F551" s="92">
        <v>46181</v>
      </c>
      <c r="G551" s="93" t="str">
        <f t="shared" si="38"/>
        <v>Seg</v>
      </c>
      <c r="H551" s="77">
        <v>0.33333333333333331</v>
      </c>
      <c r="I551" s="74" t="s">
        <v>42</v>
      </c>
      <c r="J551" s="74" t="s">
        <v>2570</v>
      </c>
      <c r="K551" s="74" t="s">
        <v>87</v>
      </c>
      <c r="L551" s="78" t="str">
        <f t="shared" si="39"/>
        <v>NÃO</v>
      </c>
      <c r="M551" s="74" t="s">
        <v>72</v>
      </c>
      <c r="N551" s="74" t="s">
        <v>89</v>
      </c>
      <c r="O551" s="74" t="s">
        <v>72</v>
      </c>
      <c r="P551" s="74" t="s">
        <v>72</v>
      </c>
      <c r="Q551" s="74" t="s">
        <v>208</v>
      </c>
      <c r="R551" s="74"/>
      <c r="S551" s="79" t="str">
        <f t="shared" ca="1" si="40"/>
        <v>EXECUTADA</v>
      </c>
    </row>
    <row r="552" spans="1:20" s="83" customFormat="1" ht="18" x14ac:dyDescent="0.25">
      <c r="A552" s="279" t="s">
        <v>2564</v>
      </c>
      <c r="B552" s="74" t="s">
        <v>27</v>
      </c>
      <c r="C552" s="272" t="s">
        <v>2567</v>
      </c>
      <c r="D552" s="78" t="s">
        <v>2575</v>
      </c>
      <c r="E552" s="74">
        <v>34999900234</v>
      </c>
      <c r="F552" s="92">
        <v>46181</v>
      </c>
      <c r="G552" s="93" t="str">
        <f t="shared" si="38"/>
        <v>Seg</v>
      </c>
      <c r="H552" s="77">
        <v>0.33333333333333331</v>
      </c>
      <c r="I552" s="74" t="s">
        <v>42</v>
      </c>
      <c r="J552" s="74" t="s">
        <v>2571</v>
      </c>
      <c r="K552" s="74" t="s">
        <v>87</v>
      </c>
      <c r="L552" s="78" t="str">
        <f t="shared" si="39"/>
        <v>NÃO</v>
      </c>
      <c r="M552" s="74" t="s">
        <v>72</v>
      </c>
      <c r="N552" s="74" t="s">
        <v>79</v>
      </c>
      <c r="O552" s="74" t="s">
        <v>2572</v>
      </c>
      <c r="P552" s="74">
        <v>64999732747</v>
      </c>
      <c r="Q552" s="74" t="s">
        <v>2573</v>
      </c>
      <c r="R552" s="74" t="s">
        <v>2574</v>
      </c>
      <c r="S552" s="79" t="str">
        <f t="shared" ca="1" si="40"/>
        <v>EXECUTADA</v>
      </c>
    </row>
    <row r="553" spans="1:20" s="55" customFormat="1" ht="18" x14ac:dyDescent="0.25">
      <c r="A553" s="280" t="s">
        <v>2847</v>
      </c>
      <c r="B553" s="57" t="s">
        <v>30</v>
      </c>
      <c r="C553" s="268" t="s">
        <v>2568</v>
      </c>
      <c r="D553" s="53" t="s">
        <v>868</v>
      </c>
      <c r="E553" s="57">
        <v>34998828259</v>
      </c>
      <c r="F553" s="59">
        <v>46181</v>
      </c>
      <c r="G553" s="51" t="str">
        <f t="shared" si="38"/>
        <v>Seg</v>
      </c>
      <c r="H553" s="60">
        <v>0.33333333333333331</v>
      </c>
      <c r="I553" s="57" t="s">
        <v>46</v>
      </c>
      <c r="J553" s="57" t="s">
        <v>2576</v>
      </c>
      <c r="K553" s="57" t="s">
        <v>146</v>
      </c>
      <c r="L553" s="53" t="str">
        <f t="shared" si="39"/>
        <v>SIM</v>
      </c>
      <c r="M553" s="57" t="s">
        <v>2577</v>
      </c>
      <c r="N553" s="57" t="s">
        <v>89</v>
      </c>
      <c r="O553" s="57" t="s">
        <v>72</v>
      </c>
      <c r="P553" s="57" t="s">
        <v>72</v>
      </c>
      <c r="Q553" s="57" t="s">
        <v>2578</v>
      </c>
      <c r="R553" s="57" t="s">
        <v>2579</v>
      </c>
      <c r="S553" s="61" t="str">
        <f t="shared" ca="1" si="40"/>
        <v>EXECUTADA</v>
      </c>
    </row>
    <row r="554" spans="1:20" s="83" customFormat="1" ht="18" x14ac:dyDescent="0.25">
      <c r="A554" s="281" t="s">
        <v>2848</v>
      </c>
      <c r="B554" s="74" t="s">
        <v>30</v>
      </c>
      <c r="C554" s="272" t="s">
        <v>2569</v>
      </c>
      <c r="D554" s="78" t="s">
        <v>1505</v>
      </c>
      <c r="E554" s="74">
        <v>34991452073</v>
      </c>
      <c r="F554" s="92">
        <v>46181</v>
      </c>
      <c r="G554" s="93" t="str">
        <f t="shared" si="38"/>
        <v>Seg</v>
      </c>
      <c r="H554" s="77">
        <v>0.41666666666666669</v>
      </c>
      <c r="I554" s="74" t="s">
        <v>46</v>
      </c>
      <c r="J554" s="74" t="s">
        <v>2581</v>
      </c>
      <c r="K554" s="74"/>
      <c r="L554" s="78" t="str">
        <f t="shared" si="39"/>
        <v>SIM</v>
      </c>
      <c r="M554" s="74" t="s">
        <v>2580</v>
      </c>
      <c r="N554" s="74"/>
      <c r="O554" s="74"/>
      <c r="P554" s="74"/>
      <c r="Q554" s="74" t="s">
        <v>2582</v>
      </c>
      <c r="R554" s="74"/>
      <c r="S554" s="79" t="str">
        <f t="shared" ca="1" si="40"/>
        <v>EXECUTADA</v>
      </c>
    </row>
    <row r="555" spans="1:20" s="83" customFormat="1" ht="18" x14ac:dyDescent="0.25">
      <c r="A555" s="225" t="s">
        <v>2565</v>
      </c>
      <c r="B555" s="74" t="s">
        <v>27</v>
      </c>
      <c r="C555" s="272" t="s">
        <v>2602</v>
      </c>
      <c r="D555" s="78" t="s">
        <v>2584</v>
      </c>
      <c r="E555" s="74">
        <v>34992535444</v>
      </c>
      <c r="F555" s="92">
        <v>46181</v>
      </c>
      <c r="G555" s="93" t="str">
        <f t="shared" si="38"/>
        <v>Seg</v>
      </c>
      <c r="H555" s="77">
        <v>0.54166666666666663</v>
      </c>
      <c r="I555" s="74"/>
      <c r="J555" s="74"/>
      <c r="K555" s="74"/>
      <c r="L555" s="78" t="str">
        <f t="shared" si="39"/>
        <v>NÃO</v>
      </c>
      <c r="M555" s="74" t="s">
        <v>2583</v>
      </c>
      <c r="N555" s="74"/>
      <c r="O555" s="74"/>
      <c r="P555" s="74"/>
      <c r="Q555" s="74"/>
      <c r="R555" s="74"/>
      <c r="S555" s="79" t="str">
        <f t="shared" ca="1" si="40"/>
        <v>EXECUTADA</v>
      </c>
    </row>
    <row r="556" spans="1:20" s="55" customFormat="1" ht="18" x14ac:dyDescent="0.25">
      <c r="A556" s="269" t="s">
        <v>2585</v>
      </c>
      <c r="B556" s="57" t="s">
        <v>27</v>
      </c>
      <c r="C556" s="268" t="s">
        <v>2594</v>
      </c>
      <c r="D556" s="53" t="s">
        <v>868</v>
      </c>
      <c r="E556" s="57">
        <v>34984423933</v>
      </c>
      <c r="F556" s="59">
        <v>46182</v>
      </c>
      <c r="G556" s="51" t="str">
        <f t="shared" si="38"/>
        <v>Ter</v>
      </c>
      <c r="H556" s="60">
        <v>0.33333333333333331</v>
      </c>
      <c r="I556" s="57" t="s">
        <v>38</v>
      </c>
      <c r="J556" s="57" t="s">
        <v>2605</v>
      </c>
      <c r="K556" s="57" t="s">
        <v>87</v>
      </c>
      <c r="L556" s="53" t="str">
        <f t="shared" si="39"/>
        <v>NÃO</v>
      </c>
      <c r="M556" s="57" t="s">
        <v>72</v>
      </c>
      <c r="N556" s="57" t="s">
        <v>79</v>
      </c>
      <c r="O556" s="57" t="s">
        <v>2604</v>
      </c>
      <c r="P556" s="57">
        <v>74981533829</v>
      </c>
      <c r="Q556" s="57" t="s">
        <v>2606</v>
      </c>
      <c r="R556" s="57" t="s">
        <v>2849</v>
      </c>
      <c r="S556" s="61" t="str">
        <f t="shared" ca="1" si="40"/>
        <v>EXECUTADA</v>
      </c>
    </row>
    <row r="557" spans="1:20" s="55" customFormat="1" ht="18" x14ac:dyDescent="0.25">
      <c r="A557" s="269" t="s">
        <v>2587</v>
      </c>
      <c r="B557" s="57" t="s">
        <v>27</v>
      </c>
      <c r="C557" s="268" t="s">
        <v>2595</v>
      </c>
      <c r="D557" s="53" t="s">
        <v>868</v>
      </c>
      <c r="E557" s="57">
        <v>34984098177</v>
      </c>
      <c r="F557" s="59">
        <v>46182</v>
      </c>
      <c r="G557" s="51" t="str">
        <f t="shared" si="38"/>
        <v>Ter</v>
      </c>
      <c r="H557" s="60">
        <v>0.33333333333333331</v>
      </c>
      <c r="I557" s="57" t="s">
        <v>35</v>
      </c>
      <c r="J557" s="57" t="s">
        <v>2608</v>
      </c>
      <c r="K557" s="57" t="s">
        <v>71</v>
      </c>
      <c r="L557" s="53" t="str">
        <f t="shared" si="39"/>
        <v>NÃO</v>
      </c>
      <c r="M557" s="57" t="s">
        <v>72</v>
      </c>
      <c r="N557" s="57" t="s">
        <v>79</v>
      </c>
      <c r="O557" s="57" t="s">
        <v>2609</v>
      </c>
      <c r="P557" s="57">
        <v>34984098177</v>
      </c>
      <c r="Q557" s="57" t="s">
        <v>2607</v>
      </c>
      <c r="R557" s="57" t="s">
        <v>2610</v>
      </c>
      <c r="S557" s="61" t="str">
        <f t="shared" ca="1" si="40"/>
        <v>EXECUTADA</v>
      </c>
    </row>
    <row r="558" spans="1:20" s="55" customFormat="1" ht="18" x14ac:dyDescent="0.25">
      <c r="A558" s="269" t="s">
        <v>2586</v>
      </c>
      <c r="B558" s="57" t="s">
        <v>30</v>
      </c>
      <c r="C558" s="268" t="s">
        <v>2596</v>
      </c>
      <c r="D558" s="53" t="s">
        <v>868</v>
      </c>
      <c r="E558" s="57">
        <v>34984403743</v>
      </c>
      <c r="F558" s="59">
        <v>46182</v>
      </c>
      <c r="G558" s="51" t="str">
        <f t="shared" si="38"/>
        <v>Ter</v>
      </c>
      <c r="H558" s="60">
        <v>0.33333333333333331</v>
      </c>
      <c r="I558" s="57" t="s">
        <v>46</v>
      </c>
      <c r="J558" s="57" t="s">
        <v>2873</v>
      </c>
      <c r="K558" s="57" t="s">
        <v>566</v>
      </c>
      <c r="L558" s="53" t="str">
        <f t="shared" si="39"/>
        <v>SIM</v>
      </c>
      <c r="M558" s="57" t="s">
        <v>2611</v>
      </c>
      <c r="N558" s="57" t="s">
        <v>79</v>
      </c>
      <c r="O558" s="57" t="s">
        <v>2870</v>
      </c>
      <c r="P558" s="57">
        <v>34984060092</v>
      </c>
      <c r="Q558" s="57" t="s">
        <v>2871</v>
      </c>
      <c r="R558" s="57" t="s">
        <v>2872</v>
      </c>
      <c r="S558" s="61" t="str">
        <f t="shared" ca="1" si="40"/>
        <v>EXECUTADA</v>
      </c>
    </row>
    <row r="559" spans="1:20" s="55" customFormat="1" ht="18" x14ac:dyDescent="0.25">
      <c r="A559" s="269" t="s">
        <v>2588</v>
      </c>
      <c r="B559" s="57" t="s">
        <v>27</v>
      </c>
      <c r="C559" s="268" t="s">
        <v>2597</v>
      </c>
      <c r="D559" s="53" t="s">
        <v>868</v>
      </c>
      <c r="E559" s="57">
        <v>34996736207</v>
      </c>
      <c r="F559" s="59">
        <v>46182</v>
      </c>
      <c r="G559" s="51" t="str">
        <f t="shared" si="38"/>
        <v>Ter</v>
      </c>
      <c r="H559" s="60">
        <v>0.41666666666666669</v>
      </c>
      <c r="I559" s="57" t="s">
        <v>42</v>
      </c>
      <c r="J559" s="57" t="s">
        <v>2612</v>
      </c>
      <c r="K559" s="57" t="s">
        <v>71</v>
      </c>
      <c r="L559" s="53" t="str">
        <f t="shared" si="39"/>
        <v>NÃO</v>
      </c>
      <c r="M559" s="57" t="s">
        <v>72</v>
      </c>
      <c r="N559" s="57" t="s">
        <v>79</v>
      </c>
      <c r="O559" s="57" t="s">
        <v>2102</v>
      </c>
      <c r="P559" s="57" t="s">
        <v>2614</v>
      </c>
      <c r="Q559" s="57" t="s">
        <v>2613</v>
      </c>
      <c r="R559" s="55" t="s">
        <v>2615</v>
      </c>
      <c r="S559" s="61" t="str">
        <f t="shared" ca="1" si="40"/>
        <v>EXECUTADA</v>
      </c>
    </row>
    <row r="560" spans="1:20" s="55" customFormat="1" ht="18" x14ac:dyDescent="0.25">
      <c r="A560" s="269" t="s">
        <v>2589</v>
      </c>
      <c r="B560" s="57" t="s">
        <v>30</v>
      </c>
      <c r="C560" s="268" t="s">
        <v>2598</v>
      </c>
      <c r="D560" s="53" t="s">
        <v>868</v>
      </c>
      <c r="E560" s="57">
        <v>34996349261</v>
      </c>
      <c r="F560" s="59">
        <v>46182</v>
      </c>
      <c r="G560" s="51" t="str">
        <f t="shared" si="38"/>
        <v>Ter</v>
      </c>
      <c r="H560" s="60">
        <v>0.41666666666666669</v>
      </c>
      <c r="I560" s="57" t="s">
        <v>46</v>
      </c>
      <c r="J560" s="57" t="s">
        <v>2850</v>
      </c>
      <c r="K560" s="57" t="s">
        <v>71</v>
      </c>
      <c r="L560" s="53" t="str">
        <f t="shared" si="39"/>
        <v>SIM</v>
      </c>
      <c r="M560" s="106" t="s">
        <v>2851</v>
      </c>
      <c r="N560" s="57" t="s">
        <v>89</v>
      </c>
      <c r="O560" s="57" t="s">
        <v>72</v>
      </c>
      <c r="P560" s="57" t="s">
        <v>72</v>
      </c>
      <c r="Q560" s="57" t="s">
        <v>2879</v>
      </c>
      <c r="R560" s="57" t="s">
        <v>2878</v>
      </c>
      <c r="S560" s="61" t="str">
        <f t="shared" ca="1" si="40"/>
        <v>EXECUTADA</v>
      </c>
      <c r="T560" s="57" t="s">
        <v>2852</v>
      </c>
    </row>
    <row r="561" spans="1:19" s="55" customFormat="1" ht="18" x14ac:dyDescent="0.25">
      <c r="A561" s="269" t="s">
        <v>2591</v>
      </c>
      <c r="B561" s="57" t="s">
        <v>30</v>
      </c>
      <c r="C561" s="268" t="s">
        <v>2599</v>
      </c>
      <c r="D561" s="53" t="s">
        <v>868</v>
      </c>
      <c r="E561" s="57">
        <v>34998944845</v>
      </c>
      <c r="F561" s="59">
        <v>46182</v>
      </c>
      <c r="G561" s="51" t="str">
        <f t="shared" si="38"/>
        <v>Ter</v>
      </c>
      <c r="H561" s="60">
        <v>0.54166666666666663</v>
      </c>
      <c r="I561" s="57" t="s">
        <v>46</v>
      </c>
      <c r="J561" s="57" t="s">
        <v>2853</v>
      </c>
      <c r="K561" s="57" t="s">
        <v>87</v>
      </c>
      <c r="L561" s="53" t="str">
        <f t="shared" si="39"/>
        <v>SIM</v>
      </c>
      <c r="M561" s="57" t="s">
        <v>2854</v>
      </c>
      <c r="N561" s="57" t="s">
        <v>89</v>
      </c>
      <c r="O561" s="57" t="s">
        <v>72</v>
      </c>
      <c r="P561" s="57" t="s">
        <v>72</v>
      </c>
      <c r="Q561" s="57" t="s">
        <v>2855</v>
      </c>
      <c r="R561" s="57" t="s">
        <v>2856</v>
      </c>
      <c r="S561" s="61" t="str">
        <f t="shared" ca="1" si="40"/>
        <v>EXECUTADA</v>
      </c>
    </row>
    <row r="562" spans="1:19" s="55" customFormat="1" ht="18" x14ac:dyDescent="0.25">
      <c r="A562" s="269" t="s">
        <v>2590</v>
      </c>
      <c r="B562" s="57" t="s">
        <v>30</v>
      </c>
      <c r="C562" s="268" t="s">
        <v>2600</v>
      </c>
      <c r="D562" s="53" t="s">
        <v>868</v>
      </c>
      <c r="E562" s="57">
        <v>34999309918</v>
      </c>
      <c r="F562" s="59">
        <v>46182</v>
      </c>
      <c r="G562" s="51" t="str">
        <f t="shared" si="38"/>
        <v>Ter</v>
      </c>
      <c r="H562" s="60">
        <v>0.54166666666666663</v>
      </c>
      <c r="I562" s="57" t="s">
        <v>46</v>
      </c>
      <c r="J562" s="57" t="s">
        <v>2857</v>
      </c>
      <c r="K562" s="57" t="s">
        <v>71</v>
      </c>
      <c r="L562" s="53" t="str">
        <f t="shared" si="39"/>
        <v>SIM</v>
      </c>
      <c r="M562" s="57" t="s">
        <v>2858</v>
      </c>
      <c r="N562" s="57" t="s">
        <v>89</v>
      </c>
      <c r="O562" s="57" t="s">
        <v>72</v>
      </c>
      <c r="P562" s="57" t="s">
        <v>72</v>
      </c>
      <c r="Q562" s="57" t="s">
        <v>2868</v>
      </c>
      <c r="R562" s="57" t="s">
        <v>2869</v>
      </c>
      <c r="S562" s="61" t="str">
        <f t="shared" ca="1" si="40"/>
        <v>EXECUTADA</v>
      </c>
    </row>
    <row r="563" spans="1:19" s="55" customFormat="1" ht="18" x14ac:dyDescent="0.25">
      <c r="A563" s="269" t="s">
        <v>2592</v>
      </c>
      <c r="B563" s="57" t="s">
        <v>27</v>
      </c>
      <c r="C563" s="268" t="s">
        <v>2601</v>
      </c>
      <c r="D563" s="53" t="s">
        <v>868</v>
      </c>
      <c r="E563" s="57">
        <v>34991586480</v>
      </c>
      <c r="F563" s="59">
        <v>46182</v>
      </c>
      <c r="G563" s="51" t="str">
        <f t="shared" si="38"/>
        <v>Ter</v>
      </c>
      <c r="H563" s="60">
        <v>0.54166666666666663</v>
      </c>
      <c r="I563" s="57" t="s">
        <v>42</v>
      </c>
      <c r="J563" s="57" t="s">
        <v>2859</v>
      </c>
      <c r="K563" s="57" t="s">
        <v>107</v>
      </c>
      <c r="L563" s="53" t="str">
        <f t="shared" si="39"/>
        <v>NÃO</v>
      </c>
      <c r="M563" s="57" t="s">
        <v>72</v>
      </c>
      <c r="N563" s="57" t="s">
        <v>89</v>
      </c>
      <c r="O563" s="57" t="s">
        <v>72</v>
      </c>
      <c r="P563" s="57" t="s">
        <v>72</v>
      </c>
      <c r="Q563" s="57" t="s">
        <v>2860</v>
      </c>
      <c r="R563" s="57" t="s">
        <v>2874</v>
      </c>
      <c r="S563" s="61" t="str">
        <f t="shared" ca="1" si="40"/>
        <v>EXECUTADA</v>
      </c>
    </row>
    <row r="564" spans="1:19" s="55" customFormat="1" ht="18" x14ac:dyDescent="0.25">
      <c r="A564" s="269" t="s">
        <v>2861</v>
      </c>
      <c r="B564" s="57" t="s">
        <v>30</v>
      </c>
      <c r="C564" s="268" t="s">
        <v>2082</v>
      </c>
      <c r="D564" s="53" t="s">
        <v>868</v>
      </c>
      <c r="E564" s="57">
        <v>34991695242</v>
      </c>
      <c r="F564" s="59">
        <v>46182</v>
      </c>
      <c r="G564" s="51" t="s">
        <v>2124</v>
      </c>
      <c r="H564" s="60">
        <v>0.54166666666666663</v>
      </c>
      <c r="I564" s="57" t="s">
        <v>46</v>
      </c>
      <c r="J564" s="57" t="s">
        <v>2083</v>
      </c>
      <c r="K564" s="57" t="s">
        <v>781</v>
      </c>
      <c r="L564" s="53" t="s">
        <v>89</v>
      </c>
      <c r="M564" s="57" t="s">
        <v>2084</v>
      </c>
      <c r="N564" s="57" t="s">
        <v>89</v>
      </c>
      <c r="O564" s="57" t="s">
        <v>72</v>
      </c>
      <c r="P564" s="57" t="s">
        <v>72</v>
      </c>
      <c r="Q564" s="57" t="s">
        <v>2085</v>
      </c>
      <c r="R564" s="57" t="s">
        <v>2086</v>
      </c>
      <c r="S564" s="61" t="s">
        <v>2246</v>
      </c>
    </row>
    <row r="565" spans="1:19" s="55" customFormat="1" ht="18" x14ac:dyDescent="0.25">
      <c r="A565" s="269" t="s">
        <v>2593</v>
      </c>
      <c r="B565" s="57" t="s">
        <v>30</v>
      </c>
      <c r="C565" s="268" t="s">
        <v>2602</v>
      </c>
      <c r="D565" s="53" t="s">
        <v>868</v>
      </c>
      <c r="E565" s="57">
        <v>34992535444</v>
      </c>
      <c r="F565" s="59">
        <v>46182</v>
      </c>
      <c r="G565" s="51" t="str">
        <f t="shared" si="38"/>
        <v>Ter</v>
      </c>
      <c r="H565" s="60">
        <v>0.625</v>
      </c>
      <c r="I565" s="57" t="s">
        <v>46</v>
      </c>
      <c r="J565" s="57" t="s">
        <v>2862</v>
      </c>
      <c r="K565" s="57" t="s">
        <v>146</v>
      </c>
      <c r="L565" s="53" t="str">
        <f t="shared" si="39"/>
        <v>SIM</v>
      </c>
      <c r="M565" s="57" t="s">
        <v>2583</v>
      </c>
      <c r="N565" s="57" t="s">
        <v>89</v>
      </c>
      <c r="O565" s="57" t="s">
        <v>72</v>
      </c>
      <c r="P565" s="57" t="s">
        <v>72</v>
      </c>
      <c r="Q565" s="57" t="s">
        <v>2863</v>
      </c>
      <c r="R565" s="57" t="s">
        <v>2864</v>
      </c>
      <c r="S565" s="61" t="str">
        <f t="shared" ca="1" si="40"/>
        <v>EXECUTADA</v>
      </c>
    </row>
    <row r="566" spans="1:19" s="55" customFormat="1" ht="18" x14ac:dyDescent="0.25">
      <c r="A566" s="269" t="s">
        <v>2875</v>
      </c>
      <c r="B566" s="57" t="s">
        <v>27</v>
      </c>
      <c r="C566" s="268" t="s">
        <v>2603</v>
      </c>
      <c r="D566" s="53" t="s">
        <v>868</v>
      </c>
      <c r="E566" s="57" t="s">
        <v>2866</v>
      </c>
      <c r="F566" s="59">
        <v>46182</v>
      </c>
      <c r="G566" s="51" t="str">
        <f t="shared" si="38"/>
        <v>Ter</v>
      </c>
      <c r="H566" s="60">
        <v>0.70833333333333337</v>
      </c>
      <c r="I566" s="57" t="s">
        <v>42</v>
      </c>
      <c r="J566" s="57" t="s">
        <v>2876</v>
      </c>
      <c r="K566" s="57" t="s">
        <v>146</v>
      </c>
      <c r="L566" s="53" t="str">
        <f t="shared" si="39"/>
        <v>NÃO</v>
      </c>
      <c r="M566" s="57" t="s">
        <v>72</v>
      </c>
      <c r="N566" s="57" t="s">
        <v>79</v>
      </c>
      <c r="O566" s="57" t="s">
        <v>2867</v>
      </c>
      <c r="P566" s="57">
        <v>34996342720</v>
      </c>
      <c r="Q566" s="57" t="s">
        <v>2865</v>
      </c>
      <c r="R566" s="57" t="s">
        <v>2877</v>
      </c>
      <c r="S566" s="61" t="str">
        <f t="shared" ca="1" si="40"/>
        <v>EXECUTADA</v>
      </c>
    </row>
    <row r="567" spans="1:19" s="55" customFormat="1" ht="18" x14ac:dyDescent="0.25">
      <c r="A567" s="269" t="s">
        <v>2881</v>
      </c>
      <c r="B567" s="57" t="s">
        <v>30</v>
      </c>
      <c r="C567" s="268" t="s">
        <v>2890</v>
      </c>
      <c r="D567" s="53" t="s">
        <v>868</v>
      </c>
      <c r="E567" s="57">
        <v>34999964737</v>
      </c>
      <c r="F567" s="59">
        <v>46183</v>
      </c>
      <c r="G567" s="51" t="str">
        <f t="shared" si="38"/>
        <v>Qua</v>
      </c>
      <c r="H567" s="60">
        <v>0.33333333333333331</v>
      </c>
      <c r="I567" s="57" t="s">
        <v>46</v>
      </c>
      <c r="J567" s="57" t="s">
        <v>2902</v>
      </c>
      <c r="K567" s="57" t="s">
        <v>71</v>
      </c>
      <c r="L567" s="53" t="str">
        <f t="shared" si="39"/>
        <v>SIM</v>
      </c>
      <c r="M567" s="57" t="s">
        <v>2903</v>
      </c>
      <c r="N567" s="57" t="s">
        <v>89</v>
      </c>
      <c r="O567" s="57" t="s">
        <v>72</v>
      </c>
      <c r="P567" s="57" t="s">
        <v>72</v>
      </c>
      <c r="Q567" s="57" t="s">
        <v>2904</v>
      </c>
      <c r="R567" s="57" t="s">
        <v>2905</v>
      </c>
      <c r="S567" s="61" t="str">
        <f t="shared" ca="1" si="40"/>
        <v>EXECUTADA</v>
      </c>
    </row>
    <row r="568" spans="1:19" s="55" customFormat="1" ht="18" x14ac:dyDescent="0.25">
      <c r="A568" s="269" t="s">
        <v>2880</v>
      </c>
      <c r="B568" s="57" t="s">
        <v>27</v>
      </c>
      <c r="C568" s="268" t="s">
        <v>2891</v>
      </c>
      <c r="D568" s="53" t="s">
        <v>868</v>
      </c>
      <c r="E568" s="57">
        <v>34991957020</v>
      </c>
      <c r="F568" s="59">
        <v>46183</v>
      </c>
      <c r="G568" s="51" t="str">
        <f t="shared" si="38"/>
        <v>Qua</v>
      </c>
      <c r="H568" s="60">
        <v>0.33333333333333331</v>
      </c>
      <c r="I568" s="57" t="s">
        <v>42</v>
      </c>
      <c r="J568" s="57" t="s">
        <v>2906</v>
      </c>
      <c r="K568" s="57" t="s">
        <v>71</v>
      </c>
      <c r="L568" s="53" t="str">
        <f t="shared" si="39"/>
        <v>NÃO</v>
      </c>
      <c r="M568" s="57" t="s">
        <v>72</v>
      </c>
      <c r="N568" s="57" t="s">
        <v>79</v>
      </c>
      <c r="O568" s="57" t="s">
        <v>2907</v>
      </c>
      <c r="P568" s="57" t="s">
        <v>2908</v>
      </c>
      <c r="Q568" s="57" t="s">
        <v>2909</v>
      </c>
      <c r="R568" s="57" t="s">
        <v>2910</v>
      </c>
      <c r="S568" s="61" t="str">
        <f t="shared" ca="1" si="40"/>
        <v>EXECUTADA</v>
      </c>
    </row>
    <row r="569" spans="1:19" s="55" customFormat="1" ht="18" x14ac:dyDescent="0.25">
      <c r="A569" s="269" t="s">
        <v>2911</v>
      </c>
      <c r="B569" s="57" t="s">
        <v>30</v>
      </c>
      <c r="C569" s="268" t="s">
        <v>2893</v>
      </c>
      <c r="D569" s="53" t="s">
        <v>868</v>
      </c>
      <c r="E569" s="57">
        <v>34996468474</v>
      </c>
      <c r="F569" s="59">
        <v>46183</v>
      </c>
      <c r="G569" s="51" t="str">
        <f t="shared" si="38"/>
        <v>Qua</v>
      </c>
      <c r="H569" s="60">
        <v>0.33333333333333331</v>
      </c>
      <c r="I569" s="57" t="s">
        <v>46</v>
      </c>
      <c r="J569" s="57" t="s">
        <v>2912</v>
      </c>
      <c r="K569" s="57" t="s">
        <v>100</v>
      </c>
      <c r="L569" s="53" t="str">
        <f t="shared" si="39"/>
        <v>SIM</v>
      </c>
      <c r="M569" s="57" t="s">
        <v>909</v>
      </c>
      <c r="N569" s="57" t="s">
        <v>79</v>
      </c>
      <c r="O569" s="57" t="s">
        <v>2914</v>
      </c>
      <c r="P569" s="57">
        <v>34996705482</v>
      </c>
      <c r="Q569" s="57" t="s">
        <v>2913</v>
      </c>
      <c r="R569" s="57" t="s">
        <v>2915</v>
      </c>
      <c r="S569" s="61" t="str">
        <f t="shared" ca="1" si="40"/>
        <v>EXECUTADA</v>
      </c>
    </row>
    <row r="570" spans="1:19" s="55" customFormat="1" ht="18" x14ac:dyDescent="0.25">
      <c r="A570" s="269" t="s">
        <v>2883</v>
      </c>
      <c r="B570" s="57" t="s">
        <v>27</v>
      </c>
      <c r="C570" s="268" t="s">
        <v>2894</v>
      </c>
      <c r="D570" s="53" t="s">
        <v>868</v>
      </c>
      <c r="E570" s="57" t="s">
        <v>2918</v>
      </c>
      <c r="F570" s="59">
        <v>46183</v>
      </c>
      <c r="G570" s="51" t="str">
        <f t="shared" si="38"/>
        <v>Qua</v>
      </c>
      <c r="H570" s="60">
        <v>0.41666666666666669</v>
      </c>
      <c r="I570" s="57" t="s">
        <v>38</v>
      </c>
      <c r="J570" s="57" t="s">
        <v>2917</v>
      </c>
      <c r="K570" s="57" t="s">
        <v>132</v>
      </c>
      <c r="L570" s="53" t="str">
        <f t="shared" si="39"/>
        <v>NÃO</v>
      </c>
      <c r="M570" s="57" t="s">
        <v>72</v>
      </c>
      <c r="N570" s="57" t="s">
        <v>79</v>
      </c>
      <c r="O570" s="57" t="s">
        <v>2921</v>
      </c>
      <c r="P570" s="57" t="s">
        <v>2916</v>
      </c>
      <c r="Q570" s="57" t="s">
        <v>2919</v>
      </c>
      <c r="R570" s="57" t="s">
        <v>2920</v>
      </c>
      <c r="S570" s="61" t="str">
        <f t="shared" ca="1" si="40"/>
        <v>EXECUTADA</v>
      </c>
    </row>
    <row r="571" spans="1:19" s="55" customFormat="1" ht="18" x14ac:dyDescent="0.25">
      <c r="A571" s="269" t="s">
        <v>2968</v>
      </c>
      <c r="B571" s="57" t="s">
        <v>27</v>
      </c>
      <c r="C571" s="268" t="s">
        <v>2896</v>
      </c>
      <c r="D571" s="53" t="s">
        <v>868</v>
      </c>
      <c r="E571" s="57">
        <v>34996351161</v>
      </c>
      <c r="F571" s="59">
        <v>46183</v>
      </c>
      <c r="G571" s="51" t="str">
        <f t="shared" si="38"/>
        <v>Qua</v>
      </c>
      <c r="H571" s="60">
        <v>0.41666666666666669</v>
      </c>
      <c r="I571" s="57" t="s">
        <v>42</v>
      </c>
      <c r="J571" s="57" t="s">
        <v>2971</v>
      </c>
      <c r="K571" s="57" t="s">
        <v>87</v>
      </c>
      <c r="L571" s="53" t="str">
        <f t="shared" si="39"/>
        <v>NÃO</v>
      </c>
      <c r="M571" s="57" t="s">
        <v>72</v>
      </c>
      <c r="N571" s="57" t="s">
        <v>89</v>
      </c>
      <c r="O571" s="57" t="s">
        <v>72</v>
      </c>
      <c r="P571" s="57" t="s">
        <v>72</v>
      </c>
      <c r="Q571" s="57" t="s">
        <v>2969</v>
      </c>
      <c r="R571" s="57" t="s">
        <v>2970</v>
      </c>
      <c r="S571" s="61" t="str">
        <f t="shared" ca="1" si="40"/>
        <v>EXECUTADA</v>
      </c>
    </row>
    <row r="572" spans="1:19" s="81" customFormat="1" ht="18" x14ac:dyDescent="0.25">
      <c r="A572" s="292" t="s">
        <v>2882</v>
      </c>
      <c r="B572" s="38" t="s">
        <v>30</v>
      </c>
      <c r="C572" s="293" t="s">
        <v>2477</v>
      </c>
      <c r="D572" s="40" t="s">
        <v>2964</v>
      </c>
      <c r="E572" s="38">
        <v>34997224651</v>
      </c>
      <c r="F572" s="41">
        <v>46183</v>
      </c>
      <c r="G572" s="42" t="str">
        <f t="shared" si="38"/>
        <v>Qua</v>
      </c>
      <c r="H572" s="43">
        <v>0.41666666666666669</v>
      </c>
      <c r="I572" s="38" t="s">
        <v>46</v>
      </c>
      <c r="J572" s="38" t="s">
        <v>2489</v>
      </c>
      <c r="K572" s="38" t="s">
        <v>87</v>
      </c>
      <c r="L572" s="40" t="str">
        <f t="shared" si="39"/>
        <v>SIM</v>
      </c>
      <c r="M572" s="38" t="s">
        <v>2922</v>
      </c>
      <c r="N572" s="38" t="s">
        <v>89</v>
      </c>
      <c r="O572" s="38" t="s">
        <v>72</v>
      </c>
      <c r="P572" s="38" t="s">
        <v>72</v>
      </c>
      <c r="Q572" s="38" t="s">
        <v>2491</v>
      </c>
      <c r="R572" s="38" t="s">
        <v>2492</v>
      </c>
      <c r="S572" s="44" t="str">
        <f t="shared" ca="1" si="40"/>
        <v>EXECUTADA</v>
      </c>
    </row>
    <row r="573" spans="1:19" s="55" customFormat="1" ht="18" x14ac:dyDescent="0.25">
      <c r="A573" s="269" t="s">
        <v>2884</v>
      </c>
      <c r="B573" s="57" t="s">
        <v>27</v>
      </c>
      <c r="C573" s="268" t="s">
        <v>2897</v>
      </c>
      <c r="D573" s="53" t="s">
        <v>868</v>
      </c>
      <c r="E573" s="57">
        <v>34984189105</v>
      </c>
      <c r="F573" s="59">
        <v>46183</v>
      </c>
      <c r="G573" s="51" t="str">
        <f t="shared" si="38"/>
        <v>Qua</v>
      </c>
      <c r="H573" s="60">
        <v>0.54166666666666663</v>
      </c>
      <c r="I573" s="57" t="s">
        <v>35</v>
      </c>
      <c r="J573" s="57" t="s">
        <v>2925</v>
      </c>
      <c r="K573" s="57" t="s">
        <v>146</v>
      </c>
      <c r="L573" s="53" t="str">
        <f t="shared" si="39"/>
        <v>NÃO</v>
      </c>
      <c r="M573" s="57" t="s">
        <v>72</v>
      </c>
      <c r="N573" s="57" t="s">
        <v>89</v>
      </c>
      <c r="O573" s="57" t="s">
        <v>72</v>
      </c>
      <c r="P573" s="57" t="s">
        <v>72</v>
      </c>
      <c r="Q573" s="57" t="s">
        <v>2923</v>
      </c>
      <c r="R573" s="57" t="s">
        <v>2924</v>
      </c>
      <c r="S573" s="61" t="str">
        <f t="shared" ca="1" si="40"/>
        <v>EXECUTADA</v>
      </c>
    </row>
    <row r="574" spans="1:19" s="55" customFormat="1" ht="18" x14ac:dyDescent="0.25">
      <c r="A574" s="269" t="s">
        <v>2926</v>
      </c>
      <c r="B574" s="57" t="s">
        <v>30</v>
      </c>
      <c r="C574" s="268" t="s">
        <v>2898</v>
      </c>
      <c r="D574" s="53" t="s">
        <v>868</v>
      </c>
      <c r="E574" s="57">
        <v>34988678426</v>
      </c>
      <c r="F574" s="59">
        <v>46183</v>
      </c>
      <c r="G574" s="51" t="str">
        <f t="shared" si="38"/>
        <v>Qua</v>
      </c>
      <c r="H574" s="60">
        <v>0.54166666666666663</v>
      </c>
      <c r="I574" s="57" t="s">
        <v>46</v>
      </c>
      <c r="J574" s="57" t="s">
        <v>2927</v>
      </c>
      <c r="K574" s="115" t="s">
        <v>107</v>
      </c>
      <c r="L574" s="53" t="str">
        <f t="shared" si="39"/>
        <v>SIM</v>
      </c>
      <c r="M574" s="57" t="s">
        <v>809</v>
      </c>
      <c r="N574" s="57" t="s">
        <v>79</v>
      </c>
      <c r="O574" s="57" t="s">
        <v>2966</v>
      </c>
      <c r="P574" s="57" t="s">
        <v>2928</v>
      </c>
      <c r="Q574" s="57" t="s">
        <v>2965</v>
      </c>
      <c r="R574" s="57" t="s">
        <v>2929</v>
      </c>
      <c r="S574" s="61" t="str">
        <f t="shared" ca="1" si="40"/>
        <v>EXECUTADA</v>
      </c>
    </row>
    <row r="575" spans="1:19" s="55" customFormat="1" ht="18" x14ac:dyDescent="0.25">
      <c r="A575" s="269" t="s">
        <v>2885</v>
      </c>
      <c r="B575" s="57" t="s">
        <v>27</v>
      </c>
      <c r="C575" s="268" t="s">
        <v>2895</v>
      </c>
      <c r="D575" s="53" t="s">
        <v>868</v>
      </c>
      <c r="E575" s="57">
        <v>38997240446</v>
      </c>
      <c r="F575" s="59">
        <v>46183</v>
      </c>
      <c r="G575" s="51" t="str">
        <f t="shared" si="38"/>
        <v>Qua</v>
      </c>
      <c r="H575" s="60">
        <v>0.54166666666666663</v>
      </c>
      <c r="I575" s="57" t="s">
        <v>35</v>
      </c>
      <c r="J575" s="57" t="s">
        <v>2930</v>
      </c>
      <c r="K575" s="57" t="s">
        <v>87</v>
      </c>
      <c r="L575" s="53" t="str">
        <f t="shared" si="39"/>
        <v>NÃO</v>
      </c>
      <c r="M575" s="57" t="s">
        <v>72</v>
      </c>
      <c r="N575" s="57" t="s">
        <v>79</v>
      </c>
      <c r="O575" s="57" t="s">
        <v>2967</v>
      </c>
      <c r="P575" s="57">
        <v>38998565845</v>
      </c>
      <c r="Q575" s="57" t="s">
        <v>2973</v>
      </c>
      <c r="R575" s="57" t="s">
        <v>2972</v>
      </c>
      <c r="S575" s="61" t="str">
        <f t="shared" ca="1" si="40"/>
        <v>EXECUTADA</v>
      </c>
    </row>
    <row r="576" spans="1:19" s="55" customFormat="1" ht="18" x14ac:dyDescent="0.25">
      <c r="A576" s="269" t="s">
        <v>2886</v>
      </c>
      <c r="B576" s="57" t="s">
        <v>27</v>
      </c>
      <c r="C576" s="268" t="s">
        <v>2892</v>
      </c>
      <c r="D576" s="53" t="s">
        <v>868</v>
      </c>
      <c r="E576" s="57">
        <v>34991107696</v>
      </c>
      <c r="F576" s="59">
        <v>46183</v>
      </c>
      <c r="G576" s="51" t="str">
        <f t="shared" si="38"/>
        <v>Qua</v>
      </c>
      <c r="H576" s="60">
        <v>0.625</v>
      </c>
      <c r="I576" s="57" t="s">
        <v>35</v>
      </c>
      <c r="J576" s="57" t="s">
        <v>2931</v>
      </c>
      <c r="K576" s="57" t="s">
        <v>71</v>
      </c>
      <c r="L576" s="53" t="str">
        <f t="shared" si="39"/>
        <v>NÃO</v>
      </c>
      <c r="M576" s="57" t="s">
        <v>72</v>
      </c>
      <c r="N576" s="57" t="s">
        <v>89</v>
      </c>
      <c r="O576" s="57" t="s">
        <v>72</v>
      </c>
      <c r="P576" s="57" t="s">
        <v>72</v>
      </c>
      <c r="Q576" s="57" t="s">
        <v>2932</v>
      </c>
      <c r="R576" s="57" t="s">
        <v>2933</v>
      </c>
      <c r="S576" s="61" t="str">
        <f t="shared" ca="1" si="40"/>
        <v>EXECUTADA</v>
      </c>
    </row>
    <row r="577" spans="1:19" s="55" customFormat="1" ht="18" x14ac:dyDescent="0.25">
      <c r="A577" s="269" t="s">
        <v>2887</v>
      </c>
      <c r="B577" s="57" t="s">
        <v>27</v>
      </c>
      <c r="C577" s="268" t="s">
        <v>2899</v>
      </c>
      <c r="D577" s="53" t="s">
        <v>868</v>
      </c>
      <c r="E577" s="57">
        <v>34999719433</v>
      </c>
      <c r="F577" s="59">
        <v>46183</v>
      </c>
      <c r="G577" s="51" t="str">
        <f t="shared" si="38"/>
        <v>Qua</v>
      </c>
      <c r="H577" s="60">
        <v>0.625</v>
      </c>
      <c r="I577" s="57" t="s">
        <v>35</v>
      </c>
      <c r="J577" s="57" t="s">
        <v>2934</v>
      </c>
      <c r="K577" s="57" t="s">
        <v>71</v>
      </c>
      <c r="L577" s="53" t="str">
        <f t="shared" si="39"/>
        <v>NÃO</v>
      </c>
      <c r="M577" s="57" t="s">
        <v>72</v>
      </c>
      <c r="N577" s="57" t="s">
        <v>89</v>
      </c>
      <c r="O577" s="57" t="s">
        <v>72</v>
      </c>
      <c r="P577" s="57" t="s">
        <v>72</v>
      </c>
      <c r="Q577" s="57" t="s">
        <v>2935</v>
      </c>
      <c r="R577" s="57" t="s">
        <v>2936</v>
      </c>
      <c r="S577" s="61" t="str">
        <f t="shared" ca="1" si="40"/>
        <v>EXECUTADA</v>
      </c>
    </row>
    <row r="578" spans="1:19" s="55" customFormat="1" ht="18" x14ac:dyDescent="0.25">
      <c r="A578" s="269" t="s">
        <v>2888</v>
      </c>
      <c r="B578" s="57" t="s">
        <v>30</v>
      </c>
      <c r="C578" s="268" t="s">
        <v>2900</v>
      </c>
      <c r="D578" s="53" t="s">
        <v>868</v>
      </c>
      <c r="E578" s="57">
        <v>34984027579</v>
      </c>
      <c r="F578" s="59">
        <v>46183</v>
      </c>
      <c r="G578" s="51" t="str">
        <f t="shared" si="38"/>
        <v>Qua</v>
      </c>
      <c r="H578" s="60">
        <v>0.625</v>
      </c>
      <c r="I578" s="57" t="s">
        <v>46</v>
      </c>
      <c r="J578" s="57" t="s">
        <v>2937</v>
      </c>
      <c r="K578" s="57" t="s">
        <v>781</v>
      </c>
      <c r="L578" s="53" t="str">
        <f t="shared" si="39"/>
        <v>SIM</v>
      </c>
      <c r="M578" s="57" t="s">
        <v>2583</v>
      </c>
      <c r="N578" s="57" t="s">
        <v>79</v>
      </c>
      <c r="O578" s="57" t="s">
        <v>2974</v>
      </c>
      <c r="P578" s="57" t="s">
        <v>2975</v>
      </c>
      <c r="Q578" s="57" t="s">
        <v>2938</v>
      </c>
      <c r="R578" s="57" t="s">
        <v>2976</v>
      </c>
      <c r="S578" s="61" t="str">
        <f t="shared" ca="1" si="40"/>
        <v>EXECUTADA</v>
      </c>
    </row>
    <row r="579" spans="1:19" s="55" customFormat="1" ht="18" x14ac:dyDescent="0.25">
      <c r="A579" s="269" t="s">
        <v>2889</v>
      </c>
      <c r="B579" s="57" t="s">
        <v>27</v>
      </c>
      <c r="C579" s="268" t="s">
        <v>2901</v>
      </c>
      <c r="D579" s="53" t="s">
        <v>868</v>
      </c>
      <c r="E579" s="57">
        <v>34997695521</v>
      </c>
      <c r="F579" s="59">
        <v>46183</v>
      </c>
      <c r="G579" s="51" t="str">
        <f t="shared" si="38"/>
        <v>Qua</v>
      </c>
      <c r="H579" s="60">
        <v>0.70833333333333337</v>
      </c>
      <c r="I579" s="57" t="s">
        <v>42</v>
      </c>
      <c r="J579" s="57" t="s">
        <v>1429</v>
      </c>
      <c r="K579" s="57" t="s">
        <v>132</v>
      </c>
      <c r="L579" s="53" t="str">
        <f t="shared" si="39"/>
        <v>NÃO</v>
      </c>
      <c r="M579" s="57" t="s">
        <v>72</v>
      </c>
      <c r="N579" s="57" t="s">
        <v>89</v>
      </c>
      <c r="O579" s="57" t="s">
        <v>72</v>
      </c>
      <c r="P579" s="57" t="s">
        <v>72</v>
      </c>
      <c r="Q579" s="57" t="s">
        <v>2939</v>
      </c>
      <c r="R579" s="57" t="s">
        <v>2940</v>
      </c>
      <c r="S579" s="61" t="str">
        <f t="shared" ca="1" si="40"/>
        <v>EXECUTADA</v>
      </c>
    </row>
    <row r="580" spans="1:19" s="55" customFormat="1" ht="18" x14ac:dyDescent="0.25">
      <c r="A580" s="269" t="s">
        <v>3005</v>
      </c>
      <c r="B580" s="57" t="s">
        <v>30</v>
      </c>
      <c r="C580" s="268" t="s">
        <v>3006</v>
      </c>
      <c r="D580" s="53" t="s">
        <v>868</v>
      </c>
      <c r="E580" s="57">
        <v>34997920742</v>
      </c>
      <c r="F580" s="59">
        <v>46183</v>
      </c>
      <c r="G580" s="51" t="str">
        <f>PROPER(TEXT(F580,"DDD"))</f>
        <v>Qua</v>
      </c>
      <c r="H580" s="60">
        <v>0.70833333333333337</v>
      </c>
      <c r="I580" s="57" t="s">
        <v>46</v>
      </c>
      <c r="J580" s="57" t="s">
        <v>3021</v>
      </c>
      <c r="K580" s="57" t="s">
        <v>94</v>
      </c>
      <c r="L580" s="53" t="str">
        <f>IF(B580="MUD END","NÃO","SIM")</f>
        <v>SIM</v>
      </c>
      <c r="M580" s="57" t="s">
        <v>3022</v>
      </c>
      <c r="N580" s="57" t="s">
        <v>89</v>
      </c>
      <c r="O580" s="57" t="s">
        <v>72</v>
      </c>
      <c r="P580" s="57" t="s">
        <v>72</v>
      </c>
      <c r="Q580" s="57" t="s">
        <v>3023</v>
      </c>
      <c r="R580" s="57" t="s">
        <v>3024</v>
      </c>
      <c r="S580" s="61" t="str">
        <f ca="1">IF(F580&lt;TODAY(),"EXECUTADA",IF(F580=TODAY(),"EM EXECUÇÃO",IF(F580=TODAY()+1,"VALIDAR HOJE",IF(F580&gt;TODAY()+1,"VALIDAR DEPOIS","-"))))</f>
        <v>EXECUTADA</v>
      </c>
    </row>
    <row r="581" spans="1:19" s="55" customFormat="1" ht="18" x14ac:dyDescent="0.25">
      <c r="A581" s="269" t="s">
        <v>2942</v>
      </c>
      <c r="B581" s="57" t="s">
        <v>27</v>
      </c>
      <c r="C581" s="268" t="s">
        <v>2945</v>
      </c>
      <c r="D581" s="53" t="s">
        <v>868</v>
      </c>
      <c r="E581" s="57">
        <v>34996506263</v>
      </c>
      <c r="F581" s="59">
        <v>46184</v>
      </c>
      <c r="G581" s="51" t="str">
        <f t="shared" si="38"/>
        <v>Qui</v>
      </c>
      <c r="H581" s="60">
        <v>0.33333333333333331</v>
      </c>
      <c r="I581" s="57" t="s">
        <v>38</v>
      </c>
      <c r="J581" s="57" t="s">
        <v>2981</v>
      </c>
      <c r="K581" s="57" t="s">
        <v>71</v>
      </c>
      <c r="L581" s="53" t="str">
        <f t="shared" si="39"/>
        <v>NÃO</v>
      </c>
      <c r="M581" s="57" t="s">
        <v>72</v>
      </c>
      <c r="N581" s="57" t="s">
        <v>89</v>
      </c>
      <c r="O581" s="57" t="s">
        <v>72</v>
      </c>
      <c r="P581" s="57" t="s">
        <v>72</v>
      </c>
      <c r="Q581" s="57" t="s">
        <v>2982</v>
      </c>
      <c r="R581" s="57" t="s">
        <v>2983</v>
      </c>
      <c r="S581" s="61" t="str">
        <f t="shared" ca="1" si="40"/>
        <v>EXECUTADA</v>
      </c>
    </row>
    <row r="582" spans="1:19" s="55" customFormat="1" ht="18" x14ac:dyDescent="0.25">
      <c r="A582" s="269" t="s">
        <v>2977</v>
      </c>
      <c r="B582" s="57" t="s">
        <v>27</v>
      </c>
      <c r="C582" s="268" t="s">
        <v>2978</v>
      </c>
      <c r="D582" s="53" t="s">
        <v>868</v>
      </c>
      <c r="E582" s="57">
        <v>34992029747</v>
      </c>
      <c r="F582" s="59">
        <v>46184</v>
      </c>
      <c r="G582" s="51" t="str">
        <f>PROPER(TEXT(F582,"DDD"))</f>
        <v>Qui</v>
      </c>
      <c r="H582" s="60">
        <v>0.33333333333333331</v>
      </c>
      <c r="I582" s="57" t="s">
        <v>42</v>
      </c>
      <c r="J582" s="57" t="s">
        <v>2984</v>
      </c>
      <c r="K582" s="57" t="s">
        <v>87</v>
      </c>
      <c r="L582" s="53" t="str">
        <f>IF(B582="MUD END","NÃO","SIM")</f>
        <v>NÃO</v>
      </c>
      <c r="M582" s="57" t="s">
        <v>72</v>
      </c>
      <c r="N582" s="57" t="s">
        <v>89</v>
      </c>
      <c r="O582" s="57" t="s">
        <v>72</v>
      </c>
      <c r="P582" s="57" t="s">
        <v>72</v>
      </c>
      <c r="Q582" s="57" t="s">
        <v>2985</v>
      </c>
      <c r="R582" s="57" t="s">
        <v>2986</v>
      </c>
      <c r="S582" s="61" t="str">
        <f ca="1">IF(F582&lt;TODAY(),"EXECUTADA",IF(F582=TODAY(),"EM EXECUÇÃO",IF(F582=TODAY()+1,"VALIDAR HOJE",IF(F582&gt;TODAY()+1,"VALIDAR DEPOIS","-"))))</f>
        <v>EXECUTADA</v>
      </c>
    </row>
    <row r="583" spans="1:19" s="81" customFormat="1" ht="18" x14ac:dyDescent="0.25">
      <c r="A583" s="292" t="s">
        <v>2941</v>
      </c>
      <c r="B583" s="38" t="s">
        <v>30</v>
      </c>
      <c r="C583" s="293" t="s">
        <v>2946</v>
      </c>
      <c r="D583" s="40" t="s">
        <v>3025</v>
      </c>
      <c r="E583" s="38">
        <v>34996808629</v>
      </c>
      <c r="F583" s="41">
        <v>46184</v>
      </c>
      <c r="G583" s="42" t="str">
        <f t="shared" si="38"/>
        <v>Qui</v>
      </c>
      <c r="H583" s="43">
        <v>0.33333333333333331</v>
      </c>
      <c r="I583" s="38" t="s">
        <v>46</v>
      </c>
      <c r="J583" s="38" t="s">
        <v>2987</v>
      </c>
      <c r="K583" s="38" t="s">
        <v>132</v>
      </c>
      <c r="L583" s="40" t="str">
        <f t="shared" si="39"/>
        <v>SIM</v>
      </c>
      <c r="M583" s="38" t="s">
        <v>2988</v>
      </c>
      <c r="N583" s="38" t="s">
        <v>89</v>
      </c>
      <c r="O583" s="38" t="s">
        <v>72</v>
      </c>
      <c r="P583" s="38" t="s">
        <v>72</v>
      </c>
      <c r="Q583" s="38" t="s">
        <v>2989</v>
      </c>
      <c r="R583" s="38" t="s">
        <v>2990</v>
      </c>
      <c r="S583" s="44" t="str">
        <f t="shared" ca="1" si="40"/>
        <v>EXECUTADA</v>
      </c>
    </row>
    <row r="584" spans="1:19" s="55" customFormat="1" ht="18" x14ac:dyDescent="0.25">
      <c r="A584" s="269" t="s">
        <v>2943</v>
      </c>
      <c r="B584" s="57" t="s">
        <v>30</v>
      </c>
      <c r="C584" s="268" t="s">
        <v>2947</v>
      </c>
      <c r="D584" s="53" t="s">
        <v>2994</v>
      </c>
      <c r="E584" s="57">
        <v>34999253103</v>
      </c>
      <c r="F584" s="59">
        <v>46184</v>
      </c>
      <c r="G584" s="51" t="str">
        <f t="shared" si="38"/>
        <v>Qui</v>
      </c>
      <c r="H584" s="60">
        <v>0.54166666666666663</v>
      </c>
      <c r="I584" s="57" t="s">
        <v>46</v>
      </c>
      <c r="J584" s="57" t="s">
        <v>2991</v>
      </c>
      <c r="K584" s="57" t="s">
        <v>71</v>
      </c>
      <c r="L584" s="53" t="str">
        <f t="shared" si="39"/>
        <v>SIM</v>
      </c>
      <c r="M584" s="57" t="s">
        <v>1872</v>
      </c>
      <c r="N584" s="57" t="s">
        <v>89</v>
      </c>
      <c r="O584" s="57" t="s">
        <v>72</v>
      </c>
      <c r="P584" s="57" t="s">
        <v>72</v>
      </c>
      <c r="Q584" s="57" t="s">
        <v>2992</v>
      </c>
      <c r="R584" s="57" t="s">
        <v>2993</v>
      </c>
      <c r="S584" s="61" t="str">
        <f t="shared" ca="1" si="40"/>
        <v>EXECUTADA</v>
      </c>
    </row>
    <row r="585" spans="1:19" s="55" customFormat="1" ht="18" x14ac:dyDescent="0.25">
      <c r="A585" s="269" t="s">
        <v>2950</v>
      </c>
      <c r="B585" s="57" t="s">
        <v>27</v>
      </c>
      <c r="C585" s="268" t="s">
        <v>2948</v>
      </c>
      <c r="D585" s="53" t="s">
        <v>868</v>
      </c>
      <c r="E585" s="57">
        <v>34998858166</v>
      </c>
      <c r="F585" s="59">
        <v>46184</v>
      </c>
      <c r="G585" s="51" t="str">
        <f t="shared" si="38"/>
        <v>Qui</v>
      </c>
      <c r="H585" s="60">
        <v>0.54166666666666663</v>
      </c>
      <c r="I585" s="57" t="s">
        <v>38</v>
      </c>
      <c r="J585" s="57" t="s">
        <v>2995</v>
      </c>
      <c r="K585" s="57" t="s">
        <v>107</v>
      </c>
      <c r="L585" s="53" t="str">
        <f t="shared" si="39"/>
        <v>NÃO</v>
      </c>
      <c r="M585" s="57" t="s">
        <v>72</v>
      </c>
      <c r="N585" s="57" t="s">
        <v>89</v>
      </c>
      <c r="O585" s="57" t="s">
        <v>72</v>
      </c>
      <c r="P585" s="57" t="s">
        <v>72</v>
      </c>
      <c r="Q585" s="57" t="s">
        <v>2996</v>
      </c>
      <c r="R585" s="57" t="s">
        <v>2997</v>
      </c>
      <c r="S585" s="61" t="str">
        <f t="shared" ca="1" si="40"/>
        <v>EXECUTADA</v>
      </c>
    </row>
    <row r="586" spans="1:19" s="55" customFormat="1" ht="18" x14ac:dyDescent="0.25">
      <c r="A586" s="269" t="s">
        <v>2979</v>
      </c>
      <c r="B586" s="57" t="s">
        <v>30</v>
      </c>
      <c r="C586" s="268" t="s">
        <v>2980</v>
      </c>
      <c r="D586" s="53" t="s">
        <v>868</v>
      </c>
      <c r="E586" s="57">
        <v>34999199020</v>
      </c>
      <c r="F586" s="59">
        <v>46184</v>
      </c>
      <c r="G586" s="51" t="str">
        <f>PROPER(TEXT(F586,"DDD"))</f>
        <v>Qui</v>
      </c>
      <c r="H586" s="60">
        <v>0.625</v>
      </c>
      <c r="I586" s="57" t="s">
        <v>46</v>
      </c>
      <c r="J586" s="57" t="s">
        <v>2998</v>
      </c>
      <c r="K586" s="57" t="s">
        <v>100</v>
      </c>
      <c r="L586" s="53" t="str">
        <f>IF(B586="MUD END","NÃO","SIM")</f>
        <v>SIM</v>
      </c>
      <c r="M586" s="57" t="s">
        <v>2999</v>
      </c>
      <c r="N586" s="57" t="s">
        <v>79</v>
      </c>
      <c r="O586" s="57" t="s">
        <v>3000</v>
      </c>
      <c r="P586" s="57" t="s">
        <v>3001</v>
      </c>
      <c r="Q586" s="57" t="s">
        <v>3002</v>
      </c>
      <c r="R586" s="57" t="s">
        <v>3003</v>
      </c>
      <c r="S586" s="61" t="str">
        <f ca="1">IF(F586&lt;TODAY(),"EXECUTADA",IF(F586=TODAY(),"EM EXECUÇÃO",IF(F586=TODAY()+1,"VALIDAR HOJE",IF(F586&gt;TODAY()+1,"VALIDAR DEPOIS","-"))))</f>
        <v>EXECUTADA</v>
      </c>
    </row>
    <row r="587" spans="1:19" s="55" customFormat="1" ht="18" x14ac:dyDescent="0.25">
      <c r="A587" s="269" t="s">
        <v>2944</v>
      </c>
      <c r="B587" s="57" t="s">
        <v>30</v>
      </c>
      <c r="C587" s="268" t="s">
        <v>2949</v>
      </c>
      <c r="D587" s="53" t="s">
        <v>868</v>
      </c>
      <c r="E587" s="57">
        <v>34991867996</v>
      </c>
      <c r="F587" s="59">
        <v>46184</v>
      </c>
      <c r="G587" s="51" t="str">
        <f t="shared" si="38"/>
        <v>Qui</v>
      </c>
      <c r="H587" s="60">
        <v>0.625</v>
      </c>
      <c r="I587" s="57" t="s">
        <v>46</v>
      </c>
      <c r="J587" s="57" t="s">
        <v>3004</v>
      </c>
      <c r="K587" s="57" t="s">
        <v>146</v>
      </c>
      <c r="L587" s="53" t="str">
        <f t="shared" si="39"/>
        <v>SIM</v>
      </c>
      <c r="M587" s="57" t="s">
        <v>2583</v>
      </c>
      <c r="N587" s="57" t="s">
        <v>89</v>
      </c>
      <c r="O587" s="57" t="s">
        <v>72</v>
      </c>
      <c r="P587" s="57" t="s">
        <v>72</v>
      </c>
      <c r="Q587" s="57" t="s">
        <v>3007</v>
      </c>
      <c r="R587" s="57" t="s">
        <v>3008</v>
      </c>
      <c r="S587" s="61" t="str">
        <f t="shared" ca="1" si="40"/>
        <v>EXECUTADA</v>
      </c>
    </row>
    <row r="588" spans="1:19" s="55" customFormat="1" ht="18" x14ac:dyDescent="0.25">
      <c r="A588" s="269" t="s">
        <v>3040</v>
      </c>
      <c r="B588" s="57" t="s">
        <v>27</v>
      </c>
      <c r="C588" s="268" t="s">
        <v>3039</v>
      </c>
      <c r="D588" s="53" t="s">
        <v>868</v>
      </c>
      <c r="E588" s="57">
        <v>34997126526</v>
      </c>
      <c r="F588" s="59">
        <v>46184</v>
      </c>
      <c r="G588" s="51" t="str">
        <f>PROPER(TEXT(F588,"DDD"))</f>
        <v>Qui</v>
      </c>
      <c r="H588" s="60">
        <v>0.33333333333333331</v>
      </c>
      <c r="I588" s="57" t="s">
        <v>35</v>
      </c>
      <c r="J588" s="57" t="s">
        <v>3041</v>
      </c>
      <c r="K588" s="57" t="s">
        <v>87</v>
      </c>
      <c r="L588" s="53" t="str">
        <f>IF(B588="MUD END","NÃO","SIM")</f>
        <v>NÃO</v>
      </c>
      <c r="M588" s="57" t="s">
        <v>72</v>
      </c>
      <c r="N588" s="57" t="s">
        <v>79</v>
      </c>
      <c r="O588" s="57" t="s">
        <v>3042</v>
      </c>
      <c r="P588" s="57" t="s">
        <v>3043</v>
      </c>
      <c r="Q588" s="57" t="s">
        <v>3044</v>
      </c>
      <c r="R588" s="57" t="s">
        <v>3045</v>
      </c>
      <c r="S588" s="61" t="str">
        <f ca="1">IF(F588&lt;TODAY(),"EXECUTADA",IF(F588=TODAY(),"EM EXECUÇÃO",IF(F588=TODAY()+1,"VALIDAR HOJE",IF(F588&gt;TODAY()+1,"VALIDAR DEPOIS","-"))))</f>
        <v>EXECUTADA</v>
      </c>
    </row>
    <row r="589" spans="1:19" s="55" customFormat="1" ht="18" x14ac:dyDescent="0.25">
      <c r="A589" s="269" t="s">
        <v>2951</v>
      </c>
      <c r="B589" s="57" t="s">
        <v>30</v>
      </c>
      <c r="C589" s="268" t="s">
        <v>2955</v>
      </c>
      <c r="D589" s="53" t="s">
        <v>868</v>
      </c>
      <c r="E589" s="57" t="s">
        <v>3009</v>
      </c>
      <c r="F589" s="59">
        <v>46185</v>
      </c>
      <c r="G589" s="51" t="str">
        <f t="shared" si="38"/>
        <v>Sex</v>
      </c>
      <c r="H589" s="60">
        <v>0.33333333333333331</v>
      </c>
      <c r="I589" s="57" t="s">
        <v>46</v>
      </c>
      <c r="J589" s="57" t="s">
        <v>3010</v>
      </c>
      <c r="K589" s="57" t="s">
        <v>146</v>
      </c>
      <c r="L589" s="53" t="str">
        <f t="shared" si="39"/>
        <v>SIM</v>
      </c>
      <c r="M589" s="57" t="s">
        <v>3011</v>
      </c>
      <c r="N589" s="57" t="s">
        <v>79</v>
      </c>
      <c r="O589" s="57" t="s">
        <v>3012</v>
      </c>
      <c r="P589" s="57" t="s">
        <v>3013</v>
      </c>
      <c r="Q589" s="57" t="s">
        <v>3014</v>
      </c>
      <c r="R589" s="57" t="s">
        <v>3015</v>
      </c>
      <c r="S589" s="61" t="str">
        <f t="shared" ca="1" si="40"/>
        <v>EXECUTADA</v>
      </c>
    </row>
    <row r="590" spans="1:19" s="55" customFormat="1" ht="18" x14ac:dyDescent="0.25">
      <c r="A590" s="269" t="s">
        <v>3046</v>
      </c>
      <c r="B590" s="57" t="s">
        <v>30</v>
      </c>
      <c r="C590" s="268" t="s">
        <v>3050</v>
      </c>
      <c r="D590" s="53" t="s">
        <v>868</v>
      </c>
      <c r="E590" s="57">
        <v>34999602594</v>
      </c>
      <c r="F590" s="59">
        <v>46185</v>
      </c>
      <c r="G590" s="51" t="str">
        <f>PROPER(TEXT(F590,"DDD"))</f>
        <v>Sex</v>
      </c>
      <c r="H590" s="60">
        <v>0.33333333333333331</v>
      </c>
      <c r="I590" s="57" t="s">
        <v>46</v>
      </c>
      <c r="J590" s="57" t="s">
        <v>3054</v>
      </c>
      <c r="K590" s="57" t="s">
        <v>87</v>
      </c>
      <c r="L590" s="53" t="str">
        <f>IF(B590="MUD END","NÃO","SIM")</f>
        <v>SIM</v>
      </c>
      <c r="M590" s="57" t="s">
        <v>3055</v>
      </c>
      <c r="N590" s="57" t="s">
        <v>89</v>
      </c>
      <c r="O590" s="57" t="s">
        <v>72</v>
      </c>
      <c r="P590" s="57" t="s">
        <v>72</v>
      </c>
      <c r="Q590" s="57" t="s">
        <v>3056</v>
      </c>
      <c r="R590" s="57" t="s">
        <v>3057</v>
      </c>
      <c r="S590" s="61" t="str">
        <f ca="1">IF(F590&lt;TODAY(),"EXECUTADA",IF(F590=TODAY(),"EM EXECUÇÃO",IF(F590=TODAY()+1,"VALIDAR HOJE",IF(F590&gt;TODAY()+1,"VALIDAR DEPOIS","-"))))</f>
        <v>EXECUTADA</v>
      </c>
    </row>
    <row r="591" spans="1:19" s="55" customFormat="1" ht="18" x14ac:dyDescent="0.25">
      <c r="A591" s="269" t="s">
        <v>3069</v>
      </c>
      <c r="B591" s="57" t="s">
        <v>27</v>
      </c>
      <c r="C591" s="268" t="s">
        <v>2956</v>
      </c>
      <c r="D591" s="53" t="s">
        <v>868</v>
      </c>
      <c r="E591" s="57">
        <v>62998096825</v>
      </c>
      <c r="F591" s="59">
        <v>46185</v>
      </c>
      <c r="G591" s="51" t="str">
        <f t="shared" si="38"/>
        <v>Sex</v>
      </c>
      <c r="H591" s="60">
        <v>0.41666666666666669</v>
      </c>
      <c r="I591" s="57" t="s">
        <v>3017</v>
      </c>
      <c r="J591" s="57" t="s">
        <v>3016</v>
      </c>
      <c r="K591" s="57" t="s">
        <v>71</v>
      </c>
      <c r="L591" s="53" t="str">
        <f t="shared" si="39"/>
        <v>NÃO</v>
      </c>
      <c r="M591" s="57" t="s">
        <v>1570</v>
      </c>
      <c r="N591" s="57" t="s">
        <v>89</v>
      </c>
      <c r="O591" s="57" t="s">
        <v>72</v>
      </c>
      <c r="P591" s="57" t="s">
        <v>72</v>
      </c>
      <c r="Q591" s="57" t="s">
        <v>3067</v>
      </c>
      <c r="R591" s="57" t="s">
        <v>3068</v>
      </c>
      <c r="S591" s="61" t="str">
        <f t="shared" ca="1" si="40"/>
        <v>EXECUTADA</v>
      </c>
    </row>
    <row r="592" spans="1:19" s="55" customFormat="1" ht="18" x14ac:dyDescent="0.25">
      <c r="A592" s="269" t="s">
        <v>2952</v>
      </c>
      <c r="B592" s="57" t="s">
        <v>27</v>
      </c>
      <c r="C592" s="268" t="s">
        <v>2957</v>
      </c>
      <c r="D592" s="53" t="s">
        <v>868</v>
      </c>
      <c r="E592" s="57">
        <v>34991167912</v>
      </c>
      <c r="F592" s="59">
        <v>46185</v>
      </c>
      <c r="G592" s="51" t="str">
        <f t="shared" si="38"/>
        <v>Sex</v>
      </c>
      <c r="H592" s="60">
        <v>0.41666666666666669</v>
      </c>
      <c r="I592" s="57" t="s">
        <v>35</v>
      </c>
      <c r="J592" s="57" t="s">
        <v>3018</v>
      </c>
      <c r="K592" s="57" t="s">
        <v>71</v>
      </c>
      <c r="L592" s="53" t="str">
        <f t="shared" si="39"/>
        <v>NÃO</v>
      </c>
      <c r="M592" s="57" t="s">
        <v>72</v>
      </c>
      <c r="N592" s="57" t="s">
        <v>89</v>
      </c>
      <c r="O592" s="57" t="s">
        <v>72</v>
      </c>
      <c r="P592" s="57" t="s">
        <v>72</v>
      </c>
      <c r="Q592" s="57" t="s">
        <v>3019</v>
      </c>
      <c r="R592" s="57" t="s">
        <v>3020</v>
      </c>
      <c r="S592" s="61" t="str">
        <f t="shared" ca="1" si="40"/>
        <v>EXECUTADA</v>
      </c>
    </row>
    <row r="593" spans="1:19" s="55" customFormat="1" ht="18" x14ac:dyDescent="0.25">
      <c r="A593" s="269" t="s">
        <v>3047</v>
      </c>
      <c r="B593" s="57" t="s">
        <v>30</v>
      </c>
      <c r="C593" s="268" t="s">
        <v>3051</v>
      </c>
      <c r="D593" s="53" t="s">
        <v>868</v>
      </c>
      <c r="E593" s="57">
        <v>34991319094</v>
      </c>
      <c r="F593" s="59">
        <v>46185</v>
      </c>
      <c r="G593" s="51" t="str">
        <f>PROPER(TEXT(F593,"DDD"))</f>
        <v>Sex</v>
      </c>
      <c r="H593" s="60">
        <v>0.54166666666666663</v>
      </c>
      <c r="I593" s="57" t="s">
        <v>46</v>
      </c>
      <c r="J593" s="57" t="s">
        <v>3058</v>
      </c>
      <c r="K593" s="57" t="s">
        <v>71</v>
      </c>
      <c r="L593" s="53" t="str">
        <f>IF(B593="MUD END","NÃO","SIM")</f>
        <v>SIM</v>
      </c>
      <c r="M593" s="57" t="s">
        <v>3059</v>
      </c>
      <c r="N593" s="57" t="s">
        <v>89</v>
      </c>
      <c r="O593" s="57" t="s">
        <v>72</v>
      </c>
      <c r="P593" s="57" t="s">
        <v>72</v>
      </c>
      <c r="Q593" s="57" t="s">
        <v>3060</v>
      </c>
      <c r="R593" s="57" t="s">
        <v>3061</v>
      </c>
      <c r="S593" s="61" t="str">
        <f ca="1">IF(F593&lt;TODAY(),"EXECUTADA",IF(F593=TODAY(),"EM EXECUÇÃO",IF(F593=TODAY()+1,"VALIDAR HOJE",IF(F593&gt;TODAY()+1,"VALIDAR DEPOIS","-"))))</f>
        <v>EXECUTADA</v>
      </c>
    </row>
    <row r="594" spans="1:19" s="55" customFormat="1" ht="18" x14ac:dyDescent="0.25">
      <c r="A594" s="269" t="s">
        <v>3048</v>
      </c>
      <c r="B594" s="57" t="s">
        <v>30</v>
      </c>
      <c r="C594" s="268" t="s">
        <v>3052</v>
      </c>
      <c r="D594" s="53" t="s">
        <v>868</v>
      </c>
      <c r="E594" s="57">
        <v>38997466915</v>
      </c>
      <c r="F594" s="59">
        <v>46185</v>
      </c>
      <c r="G594" s="51" t="str">
        <f>PROPER(TEXT(F594,"DDD"))</f>
        <v>Sex</v>
      </c>
      <c r="H594" s="60">
        <v>0.54166666666666663</v>
      </c>
      <c r="I594" s="57" t="s">
        <v>46</v>
      </c>
      <c r="J594" s="57" t="s">
        <v>3062</v>
      </c>
      <c r="K594" s="57" t="s">
        <v>146</v>
      </c>
      <c r="L594" s="53" t="str">
        <f>IF(B594="MUD END","NÃO","SIM")</f>
        <v>SIM</v>
      </c>
      <c r="M594" s="57" t="s">
        <v>3063</v>
      </c>
      <c r="N594" s="57" t="s">
        <v>89</v>
      </c>
      <c r="O594" s="57" t="s">
        <v>72</v>
      </c>
      <c r="P594" s="57" t="s">
        <v>72</v>
      </c>
      <c r="Q594" s="57" t="s">
        <v>3064</v>
      </c>
      <c r="R594" s="57" t="s">
        <v>3094</v>
      </c>
      <c r="S594" s="61" t="str">
        <f ca="1">IF(F594&lt;TODAY(),"EXECUTADA",IF(F594=TODAY(),"EM EXECUÇÃO",IF(F594=TODAY()+1,"VALIDAR HOJE",IF(F594&gt;TODAY()+1,"VALIDAR DEPOIS","-"))))</f>
        <v>EXECUTADA</v>
      </c>
    </row>
    <row r="595" spans="1:19" s="55" customFormat="1" ht="18" x14ac:dyDescent="0.25">
      <c r="A595" s="269" t="s">
        <v>2953</v>
      </c>
      <c r="B595" s="57" t="s">
        <v>30</v>
      </c>
      <c r="C595" s="268" t="s">
        <v>2958</v>
      </c>
      <c r="D595" s="53" t="s">
        <v>868</v>
      </c>
      <c r="E595" s="57">
        <v>34999766483</v>
      </c>
      <c r="F595" s="59">
        <v>46185</v>
      </c>
      <c r="G595" s="51" t="str">
        <f t="shared" si="38"/>
        <v>Sex</v>
      </c>
      <c r="H595" s="60">
        <v>0.625</v>
      </c>
      <c r="I595" s="57" t="s">
        <v>46</v>
      </c>
      <c r="J595" s="57" t="s">
        <v>3026</v>
      </c>
      <c r="K595" s="57" t="s">
        <v>781</v>
      </c>
      <c r="L595" s="53" t="str">
        <f t="shared" si="39"/>
        <v>SIM</v>
      </c>
      <c r="M595" s="57" t="s">
        <v>2495</v>
      </c>
      <c r="N595" s="57" t="s">
        <v>89</v>
      </c>
      <c r="O595" s="57" t="s">
        <v>72</v>
      </c>
      <c r="P595" s="57" t="s">
        <v>72</v>
      </c>
      <c r="Q595" s="57" t="s">
        <v>3027</v>
      </c>
      <c r="R595" s="57" t="s">
        <v>3070</v>
      </c>
      <c r="S595" s="61" t="str">
        <f t="shared" ca="1" si="40"/>
        <v>EXECUTADA</v>
      </c>
    </row>
    <row r="596" spans="1:19" s="55" customFormat="1" ht="18" x14ac:dyDescent="0.25">
      <c r="A596" s="269" t="s">
        <v>2954</v>
      </c>
      <c r="B596" s="57" t="s">
        <v>30</v>
      </c>
      <c r="C596" s="268" t="s">
        <v>2959</v>
      </c>
      <c r="D596" s="53" t="s">
        <v>868</v>
      </c>
      <c r="E596" s="57">
        <v>34998886018</v>
      </c>
      <c r="F596" s="59">
        <v>46185</v>
      </c>
      <c r="G596" s="51" t="str">
        <f t="shared" si="38"/>
        <v>Sex</v>
      </c>
      <c r="H596" s="60">
        <v>0.625</v>
      </c>
      <c r="I596" s="57" t="s">
        <v>46</v>
      </c>
      <c r="J596" s="57" t="s">
        <v>3028</v>
      </c>
      <c r="K596" s="57" t="s">
        <v>146</v>
      </c>
      <c r="L596" s="53" t="str">
        <f t="shared" si="39"/>
        <v>SIM</v>
      </c>
      <c r="M596" s="57" t="s">
        <v>3029</v>
      </c>
      <c r="N596" s="57" t="s">
        <v>89</v>
      </c>
      <c r="O596" s="57" t="s">
        <v>72</v>
      </c>
      <c r="P596" s="57" t="s">
        <v>72</v>
      </c>
      <c r="Q596" s="57" t="s">
        <v>3030</v>
      </c>
      <c r="R596" s="57" t="s">
        <v>3031</v>
      </c>
      <c r="S596" s="61" t="str">
        <f t="shared" ca="1" si="40"/>
        <v>EXECUTADA</v>
      </c>
    </row>
    <row r="597" spans="1:19" s="55" customFormat="1" ht="18" x14ac:dyDescent="0.25">
      <c r="A597" s="269" t="s">
        <v>3049</v>
      </c>
      <c r="B597" s="57" t="s">
        <v>27</v>
      </c>
      <c r="C597" s="268" t="s">
        <v>3053</v>
      </c>
      <c r="D597" s="53" t="s">
        <v>868</v>
      </c>
      <c r="E597" s="57">
        <v>34984085999</v>
      </c>
      <c r="F597" s="59">
        <v>46185</v>
      </c>
      <c r="G597" s="51" t="str">
        <f>PROPER(TEXT(F597,"DDD"))</f>
        <v>Sex</v>
      </c>
      <c r="H597" s="60">
        <v>0.625</v>
      </c>
      <c r="I597" s="57" t="s">
        <v>35</v>
      </c>
      <c r="J597" s="57" t="s">
        <v>1795</v>
      </c>
      <c r="K597" s="57" t="s">
        <v>1796</v>
      </c>
      <c r="L597" s="53" t="str">
        <f>IF(B597="MUD END","NÃO","SIM")</f>
        <v>NÃO</v>
      </c>
      <c r="M597" s="57" t="s">
        <v>72</v>
      </c>
      <c r="N597" s="57" t="s">
        <v>79</v>
      </c>
      <c r="O597" s="57" t="s">
        <v>3066</v>
      </c>
      <c r="P597" s="57">
        <v>34996508090</v>
      </c>
      <c r="Q597" s="57" t="s">
        <v>3065</v>
      </c>
      <c r="R597" s="57" t="s">
        <v>3089</v>
      </c>
      <c r="S597" s="61" t="str">
        <f ca="1">IF(F597&lt;TODAY(),"EXECUTADA",IF(F597=TODAY(),"EM EXECUÇÃO",IF(F597=TODAY()+1,"VALIDAR HOJE",IF(F597&gt;TODAY()+1,"VALIDAR DEPOIS","-"))))</f>
        <v>EXECUTADA</v>
      </c>
    </row>
    <row r="598" spans="1:19" s="55" customFormat="1" ht="18" x14ac:dyDescent="0.25">
      <c r="A598" s="269" t="s">
        <v>3099</v>
      </c>
      <c r="B598" s="57" t="s">
        <v>30</v>
      </c>
      <c r="C598" s="268" t="s">
        <v>3100</v>
      </c>
      <c r="D598" s="53" t="s">
        <v>868</v>
      </c>
      <c r="E598" s="57">
        <v>34996344372</v>
      </c>
      <c r="F598" s="59">
        <v>46185</v>
      </c>
      <c r="G598" s="51" t="str">
        <f>PROPER(TEXT(F598,"DDD"))</f>
        <v>Sex</v>
      </c>
      <c r="H598" s="60">
        <v>0.70833333333333337</v>
      </c>
      <c r="I598" s="57" t="s">
        <v>46</v>
      </c>
      <c r="J598" s="57" t="s">
        <v>3101</v>
      </c>
      <c r="K598" s="57" t="s">
        <v>87</v>
      </c>
      <c r="L598" s="53" t="str">
        <f>IF(B598="MUD END","NÃO","SIM")</f>
        <v>SIM</v>
      </c>
      <c r="M598" s="57" t="s">
        <v>3102</v>
      </c>
      <c r="N598" s="57" t="s">
        <v>89</v>
      </c>
      <c r="O598" s="57" t="s">
        <v>72</v>
      </c>
      <c r="P598" s="57" t="s">
        <v>72</v>
      </c>
      <c r="Q598" s="57" t="s">
        <v>3103</v>
      </c>
      <c r="R598" s="57" t="s">
        <v>3104</v>
      </c>
      <c r="S598" s="61" t="str">
        <f ca="1">IF(F598&lt;TODAY(),"EXECUTADA",IF(F598=TODAY(),"EM EXECUÇÃO",IF(F598=TODAY()+1,"VALIDAR HOJE",IF(F598&gt;TODAY()+1,"VALIDAR DEPOIS","-"))))</f>
        <v>EXECUTADA</v>
      </c>
    </row>
    <row r="599" spans="1:19" s="55" customFormat="1" ht="18" x14ac:dyDescent="0.25">
      <c r="A599" s="269" t="s">
        <v>2960</v>
      </c>
      <c r="B599" s="57" t="s">
        <v>27</v>
      </c>
      <c r="C599" s="268" t="s">
        <v>2962</v>
      </c>
      <c r="D599" s="53" t="s">
        <v>868</v>
      </c>
      <c r="E599" s="57">
        <v>34998719539</v>
      </c>
      <c r="F599" s="59">
        <v>46186</v>
      </c>
      <c r="G599" s="51" t="str">
        <f t="shared" ref="G599:G604" si="41">PROPER(TEXT(F599,"DDD"))</f>
        <v>Sáb</v>
      </c>
      <c r="H599" s="60">
        <v>0.33333333333333331</v>
      </c>
      <c r="I599" s="57" t="s">
        <v>42</v>
      </c>
      <c r="J599" s="57" t="s">
        <v>3032</v>
      </c>
      <c r="K599" s="57" t="s">
        <v>87</v>
      </c>
      <c r="L599" s="53" t="str">
        <f t="shared" si="39"/>
        <v>NÃO</v>
      </c>
      <c r="M599" s="57" t="s">
        <v>72</v>
      </c>
      <c r="N599" s="57" t="s">
        <v>79</v>
      </c>
      <c r="O599" s="57" t="s">
        <v>3035</v>
      </c>
      <c r="P599" s="57">
        <v>64992474422</v>
      </c>
      <c r="Q599" s="57" t="s">
        <v>3033</v>
      </c>
      <c r="R599" s="57" t="s">
        <v>3034</v>
      </c>
      <c r="S599" s="61" t="str">
        <f t="shared" ca="1" si="40"/>
        <v>EXECUTADA</v>
      </c>
    </row>
    <row r="600" spans="1:19" s="55" customFormat="1" ht="18" x14ac:dyDescent="0.25">
      <c r="A600" s="269" t="s">
        <v>3071</v>
      </c>
      <c r="B600" s="57" t="s">
        <v>30</v>
      </c>
      <c r="C600" s="268" t="s">
        <v>3076</v>
      </c>
      <c r="D600" s="53" t="s">
        <v>868</v>
      </c>
      <c r="E600" s="57">
        <v>34991230780</v>
      </c>
      <c r="F600" s="59">
        <v>46186</v>
      </c>
      <c r="G600" s="51" t="str">
        <f>PROPER(TEXT(F600,"DDD"))</f>
        <v>Sáb</v>
      </c>
      <c r="H600" s="60">
        <v>0.33333333333333331</v>
      </c>
      <c r="I600" s="57" t="s">
        <v>46</v>
      </c>
      <c r="J600" s="57" t="s">
        <v>3081</v>
      </c>
      <c r="K600" s="57" t="s">
        <v>94</v>
      </c>
      <c r="L600" s="53" t="str">
        <f>IF(B600="MUD END","NÃO","SIM")</f>
        <v>SIM</v>
      </c>
      <c r="M600" s="57" t="s">
        <v>1651</v>
      </c>
      <c r="N600" s="57" t="s">
        <v>89</v>
      </c>
      <c r="O600" s="57" t="s">
        <v>72</v>
      </c>
      <c r="P600" s="57" t="s">
        <v>72</v>
      </c>
      <c r="Q600" s="57" t="s">
        <v>3082</v>
      </c>
      <c r="R600" s="57" t="s">
        <v>3083</v>
      </c>
      <c r="S600" s="61" t="str">
        <f ca="1">IF(F600&lt;TODAY(),"EXECUTADA",IF(F600=TODAY(),"EM EXECUÇÃO",IF(F600=TODAY()+1,"VALIDAR HOJE",IF(F600&gt;TODAY()+1,"VALIDAR DEPOIS","-"))))</f>
        <v>EXECUTADA</v>
      </c>
    </row>
    <row r="601" spans="1:19" s="55" customFormat="1" ht="18" x14ac:dyDescent="0.25">
      <c r="A601" s="269" t="s">
        <v>3072</v>
      </c>
      <c r="B601" s="57" t="s">
        <v>30</v>
      </c>
      <c r="C601" s="268" t="s">
        <v>3077</v>
      </c>
      <c r="D601" s="53" t="s">
        <v>868</v>
      </c>
      <c r="E601" s="57">
        <v>34999582185</v>
      </c>
      <c r="F601" s="59">
        <v>46186</v>
      </c>
      <c r="G601" s="51" t="str">
        <f t="shared" si="41"/>
        <v>Sáb</v>
      </c>
      <c r="H601" s="60">
        <v>0.41666666666666669</v>
      </c>
      <c r="I601" s="57" t="s">
        <v>46</v>
      </c>
      <c r="J601" s="57" t="s">
        <v>3084</v>
      </c>
      <c r="K601" s="57" t="s">
        <v>87</v>
      </c>
      <c r="L601" s="53" t="str">
        <f t="shared" si="39"/>
        <v>SIM</v>
      </c>
      <c r="M601" s="57" t="s">
        <v>3085</v>
      </c>
      <c r="N601" s="57" t="s">
        <v>79</v>
      </c>
      <c r="O601" s="57" t="s">
        <v>3086</v>
      </c>
      <c r="P601" s="57" t="s">
        <v>3087</v>
      </c>
      <c r="Q601" s="57" t="s">
        <v>3088</v>
      </c>
      <c r="R601" s="57" t="s">
        <v>3105</v>
      </c>
      <c r="S601" s="61" t="str">
        <f t="shared" ca="1" si="40"/>
        <v>EXECUTADA</v>
      </c>
    </row>
    <row r="602" spans="1:19" s="55" customFormat="1" ht="18" x14ac:dyDescent="0.25">
      <c r="A602" s="269" t="s">
        <v>3073</v>
      </c>
      <c r="B602" s="57" t="s">
        <v>27</v>
      </c>
      <c r="C602" s="268" t="s">
        <v>3078</v>
      </c>
      <c r="D602" s="53" t="s">
        <v>868</v>
      </c>
      <c r="E602" s="57">
        <v>34999988651</v>
      </c>
      <c r="F602" s="59">
        <v>46186</v>
      </c>
      <c r="G602" s="51" t="str">
        <f t="shared" si="41"/>
        <v>Sáb</v>
      </c>
      <c r="H602" s="60">
        <v>0.41666666666666669</v>
      </c>
      <c r="I602" s="57" t="s">
        <v>38</v>
      </c>
      <c r="J602" s="57" t="s">
        <v>3090</v>
      </c>
      <c r="K602" s="57" t="s">
        <v>146</v>
      </c>
      <c r="L602" s="53" t="str">
        <f t="shared" ref="L602:L604" si="42">IF(B602="MUD END","NÃO","SIM")</f>
        <v>NÃO</v>
      </c>
      <c r="M602" s="57" t="s">
        <v>72</v>
      </c>
      <c r="N602" s="57" t="s">
        <v>89</v>
      </c>
      <c r="O602" s="57" t="s">
        <v>72</v>
      </c>
      <c r="P602" s="57" t="s">
        <v>72</v>
      </c>
      <c r="Q602" s="57" t="s">
        <v>3093</v>
      </c>
      <c r="R602" s="57" t="s">
        <v>3092</v>
      </c>
      <c r="S602" s="61" t="str">
        <f t="shared" ref="S602:S604" ca="1" si="43">IF(F602&lt;TODAY(),"EXECUTADA",IF(F602=TODAY(),"EM EXECUÇÃO",IF(F602=TODAY()+1,"VALIDAR HOJE",IF(F602&gt;TODAY()+1,"VALIDAR DEPOIS","-"))))</f>
        <v>EXECUTADA</v>
      </c>
    </row>
    <row r="603" spans="1:19" s="55" customFormat="1" ht="18" x14ac:dyDescent="0.25">
      <c r="A603" s="269" t="s">
        <v>3074</v>
      </c>
      <c r="B603" s="57" t="s">
        <v>27</v>
      </c>
      <c r="C603" s="268" t="s">
        <v>3079</v>
      </c>
      <c r="D603" s="53" t="s">
        <v>868</v>
      </c>
      <c r="E603" s="57" t="s">
        <v>3091</v>
      </c>
      <c r="F603" s="59">
        <v>46186</v>
      </c>
      <c r="G603" s="51" t="str">
        <f t="shared" si="41"/>
        <v>Sáb</v>
      </c>
      <c r="H603" s="60" t="s">
        <v>183</v>
      </c>
      <c r="I603" s="57" t="s">
        <v>42</v>
      </c>
      <c r="J603" s="57" t="s">
        <v>3107</v>
      </c>
      <c r="K603" s="57" t="s">
        <v>71</v>
      </c>
      <c r="L603" s="53" t="str">
        <f t="shared" si="42"/>
        <v>NÃO</v>
      </c>
      <c r="M603" s="57" t="s">
        <v>72</v>
      </c>
      <c r="N603" s="57" t="s">
        <v>89</v>
      </c>
      <c r="O603" s="57" t="s">
        <v>72</v>
      </c>
      <c r="P603" s="57" t="s">
        <v>72</v>
      </c>
      <c r="Q603" s="57" t="s">
        <v>3095</v>
      </c>
      <c r="R603" s="57" t="s">
        <v>3106</v>
      </c>
      <c r="S603" s="61" t="str">
        <f t="shared" ca="1" si="43"/>
        <v>EXECUTADA</v>
      </c>
    </row>
    <row r="604" spans="1:19" s="55" customFormat="1" ht="18" x14ac:dyDescent="0.25">
      <c r="A604" s="269" t="s">
        <v>3075</v>
      </c>
      <c r="B604" s="57" t="s">
        <v>30</v>
      </c>
      <c r="C604" s="268" t="s">
        <v>3080</v>
      </c>
      <c r="D604" s="53" t="s">
        <v>868</v>
      </c>
      <c r="E604" s="57">
        <v>71986127217</v>
      </c>
      <c r="F604" s="59">
        <v>46186</v>
      </c>
      <c r="G604" s="51" t="str">
        <f t="shared" si="41"/>
        <v>Sáb</v>
      </c>
      <c r="H604" s="60" t="s">
        <v>183</v>
      </c>
      <c r="I604" s="57" t="s">
        <v>46</v>
      </c>
      <c r="J604" s="57" t="s">
        <v>3096</v>
      </c>
      <c r="K604" s="57" t="s">
        <v>781</v>
      </c>
      <c r="L604" s="53" t="str">
        <f t="shared" si="42"/>
        <v>SIM</v>
      </c>
      <c r="M604" s="57" t="s">
        <v>3108</v>
      </c>
      <c r="N604" s="57" t="s">
        <v>89</v>
      </c>
      <c r="O604" s="57" t="s">
        <v>72</v>
      </c>
      <c r="P604" s="57" t="s">
        <v>72</v>
      </c>
      <c r="Q604" s="57" t="s">
        <v>3097</v>
      </c>
      <c r="R604" s="57" t="s">
        <v>3098</v>
      </c>
      <c r="S604" s="61" t="str">
        <f t="shared" ca="1" si="43"/>
        <v>EXECUTADA</v>
      </c>
    </row>
    <row r="605" spans="1:19" s="55" customFormat="1" ht="18" x14ac:dyDescent="0.25">
      <c r="A605" s="269" t="s">
        <v>2961</v>
      </c>
      <c r="B605" s="57" t="s">
        <v>27</v>
      </c>
      <c r="C605" s="268" t="s">
        <v>2963</v>
      </c>
      <c r="D605" s="53" t="s">
        <v>868</v>
      </c>
      <c r="E605" s="57">
        <v>34988333222</v>
      </c>
      <c r="F605" s="59">
        <v>46186</v>
      </c>
      <c r="G605" s="51" t="str">
        <f>PROPER(TEXT(F605,"DDD"))</f>
        <v>Sáb</v>
      </c>
      <c r="H605" s="60" t="s">
        <v>183</v>
      </c>
      <c r="I605" s="57" t="s">
        <v>38</v>
      </c>
      <c r="J605" s="57" t="s">
        <v>3036</v>
      </c>
      <c r="K605" s="57" t="s">
        <v>146</v>
      </c>
      <c r="L605" s="53" t="str">
        <f>IF(B605="MUD END","NÃO","SIM")</f>
        <v>NÃO</v>
      </c>
      <c r="M605" s="57" t="s">
        <v>72</v>
      </c>
      <c r="N605" s="57" t="s">
        <v>89</v>
      </c>
      <c r="O605" s="57" t="s">
        <v>72</v>
      </c>
      <c r="P605" s="57" t="s">
        <v>72</v>
      </c>
      <c r="Q605" s="57" t="s">
        <v>3037</v>
      </c>
      <c r="R605" s="57" t="s">
        <v>3038</v>
      </c>
      <c r="S605" s="61" t="str">
        <f ca="1">IF(F605&lt;TODAY(),"EXECUTADA",IF(F605=TODAY(),"EM EXECUÇÃO",IF(F605=TODAY()+1,"VALIDAR HOJE",IF(F605&gt;TODAY()+1,"VALIDAR DEPOIS","-"))))</f>
        <v>EXECUTADA</v>
      </c>
    </row>
    <row r="606" spans="1:19" s="55" customFormat="1" ht="18" x14ac:dyDescent="0.25">
      <c r="A606" s="269" t="s">
        <v>3109</v>
      </c>
      <c r="B606" s="57" t="s">
        <v>27</v>
      </c>
      <c r="C606" s="268" t="s">
        <v>3113</v>
      </c>
      <c r="D606" s="53" t="s">
        <v>868</v>
      </c>
      <c r="E606" s="57">
        <v>34992658455</v>
      </c>
      <c r="F606" s="59">
        <v>46188</v>
      </c>
      <c r="G606" s="51" t="str">
        <f t="shared" ref="G606:G620" si="44">PROPER(TEXT(F606,"DDD"))</f>
        <v>Seg</v>
      </c>
      <c r="H606" s="60">
        <v>0.33333333333333331</v>
      </c>
      <c r="I606" s="57" t="s">
        <v>35</v>
      </c>
      <c r="J606" s="57" t="s">
        <v>3119</v>
      </c>
      <c r="K606" s="57" t="s">
        <v>87</v>
      </c>
      <c r="L606" s="53" t="str">
        <f t="shared" ref="L606:L620" si="45">IF(B606="MUD END","NÃO","SIM")</f>
        <v>NÃO</v>
      </c>
      <c r="M606" s="57" t="s">
        <v>72</v>
      </c>
      <c r="N606" s="57" t="s">
        <v>89</v>
      </c>
      <c r="O606" s="57" t="s">
        <v>72</v>
      </c>
      <c r="P606" s="57" t="s">
        <v>72</v>
      </c>
      <c r="Q606" s="57" t="s">
        <v>3120</v>
      </c>
      <c r="R606" s="57" t="s">
        <v>3121</v>
      </c>
      <c r="S606" s="61" t="str">
        <f t="shared" ref="S606:S620" ca="1" si="46">IF(F606&lt;TODAY(),"EXECUTADA",IF(F606=TODAY(),"EM EXECUÇÃO",IF(F606=TODAY()+1,"VALIDAR HOJE",IF(F606&gt;TODAY()+1,"VALIDAR DEPOIS","-"))))</f>
        <v>EXECUTADA</v>
      </c>
    </row>
    <row r="607" spans="1:19" s="83" customFormat="1" ht="18" x14ac:dyDescent="0.25">
      <c r="A607" s="225" t="s">
        <v>3110</v>
      </c>
      <c r="B607" s="74" t="s">
        <v>30</v>
      </c>
      <c r="C607" s="272" t="s">
        <v>3114</v>
      </c>
      <c r="D607" s="78" t="s">
        <v>3126</v>
      </c>
      <c r="E607" s="74">
        <v>34991357765</v>
      </c>
      <c r="F607" s="92">
        <v>46188</v>
      </c>
      <c r="G607" s="93" t="str">
        <f t="shared" si="44"/>
        <v>Seg</v>
      </c>
      <c r="H607" s="77">
        <v>0.33333333333333331</v>
      </c>
      <c r="I607" s="74" t="s">
        <v>46</v>
      </c>
      <c r="J607" s="74" t="s">
        <v>3122</v>
      </c>
      <c r="K607" s="74" t="s">
        <v>71</v>
      </c>
      <c r="L607" s="78" t="str">
        <f t="shared" si="45"/>
        <v>SIM</v>
      </c>
      <c r="M607" s="74" t="s">
        <v>3123</v>
      </c>
      <c r="N607" s="74" t="s">
        <v>89</v>
      </c>
      <c r="O607" s="74" t="s">
        <v>72</v>
      </c>
      <c r="P607" s="74" t="s">
        <v>72</v>
      </c>
      <c r="Q607" s="74" t="s">
        <v>3124</v>
      </c>
      <c r="R607" s="296" t="s">
        <v>3125</v>
      </c>
      <c r="S607" s="79" t="str">
        <f t="shared" ca="1" si="46"/>
        <v>EXECUTADA</v>
      </c>
    </row>
    <row r="608" spans="1:19" s="55" customFormat="1" ht="18" x14ac:dyDescent="0.25">
      <c r="A608" s="269" t="s">
        <v>3111</v>
      </c>
      <c r="B608" s="57" t="s">
        <v>27</v>
      </c>
      <c r="C608" s="268" t="s">
        <v>3115</v>
      </c>
      <c r="D608" s="53" t="s">
        <v>868</v>
      </c>
      <c r="E608" s="57">
        <v>34997184068</v>
      </c>
      <c r="F608" s="59">
        <v>46188</v>
      </c>
      <c r="G608" s="51" t="str">
        <f t="shared" si="44"/>
        <v>Seg</v>
      </c>
      <c r="H608" s="60">
        <v>0.41666666666666669</v>
      </c>
      <c r="I608" s="57" t="s">
        <v>42</v>
      </c>
      <c r="J608" s="57" t="s">
        <v>3127</v>
      </c>
      <c r="K608" s="57" t="s">
        <v>87</v>
      </c>
      <c r="L608" s="53" t="str">
        <f t="shared" si="45"/>
        <v>NÃO</v>
      </c>
      <c r="M608" s="57" t="s">
        <v>72</v>
      </c>
      <c r="N608" s="57" t="s">
        <v>89</v>
      </c>
      <c r="O608" s="57" t="s">
        <v>72</v>
      </c>
      <c r="P608" s="57" t="s">
        <v>72</v>
      </c>
      <c r="Q608" s="57" t="s">
        <v>3128</v>
      </c>
      <c r="R608" s="57" t="s">
        <v>3129</v>
      </c>
      <c r="S608" s="61" t="str">
        <f t="shared" ca="1" si="46"/>
        <v>EXECUTADA</v>
      </c>
    </row>
    <row r="609" spans="1:19" s="55" customFormat="1" ht="18" x14ac:dyDescent="0.25">
      <c r="A609" s="297" t="s">
        <v>3112</v>
      </c>
      <c r="B609" s="57" t="s">
        <v>27</v>
      </c>
      <c r="C609" s="268" t="s">
        <v>3116</v>
      </c>
      <c r="D609" s="53" t="s">
        <v>868</v>
      </c>
      <c r="E609" s="57">
        <v>34998988901</v>
      </c>
      <c r="F609" s="59">
        <v>46188</v>
      </c>
      <c r="G609" s="51" t="str">
        <f t="shared" si="44"/>
        <v>Seg</v>
      </c>
      <c r="H609" s="60">
        <v>0.41666666666666669</v>
      </c>
      <c r="I609" s="57" t="s">
        <v>38</v>
      </c>
      <c r="J609" s="57" t="s">
        <v>3130</v>
      </c>
      <c r="K609" s="57" t="s">
        <v>107</v>
      </c>
      <c r="L609" s="53" t="str">
        <f t="shared" si="45"/>
        <v>NÃO</v>
      </c>
      <c r="M609" s="57" t="s">
        <v>72</v>
      </c>
      <c r="N609" s="57" t="s">
        <v>89</v>
      </c>
      <c r="O609" s="57" t="s">
        <v>72</v>
      </c>
      <c r="P609" s="57" t="s">
        <v>72</v>
      </c>
      <c r="Q609" s="57" t="s">
        <v>3145</v>
      </c>
      <c r="R609" s="57" t="s">
        <v>3147</v>
      </c>
      <c r="S609" s="61" t="str">
        <f t="shared" ca="1" si="46"/>
        <v>EXECUTADA</v>
      </c>
    </row>
    <row r="610" spans="1:19" s="55" customFormat="1" ht="18" x14ac:dyDescent="0.25">
      <c r="A610" s="269" t="s">
        <v>3144</v>
      </c>
      <c r="B610" s="57" t="s">
        <v>30</v>
      </c>
      <c r="C610" s="268" t="s">
        <v>3117</v>
      </c>
      <c r="D610" s="53" t="s">
        <v>868</v>
      </c>
      <c r="E610" s="57">
        <v>34991564552</v>
      </c>
      <c r="F610" s="59">
        <v>46188</v>
      </c>
      <c r="G610" s="51" t="str">
        <f t="shared" si="44"/>
        <v>Seg</v>
      </c>
      <c r="H610" s="60">
        <v>0.54166666666666663</v>
      </c>
      <c r="I610" s="57" t="s">
        <v>46</v>
      </c>
      <c r="J610" s="57" t="s">
        <v>3131</v>
      </c>
      <c r="K610" s="57" t="s">
        <v>139</v>
      </c>
      <c r="L610" s="53" t="str">
        <f t="shared" si="45"/>
        <v>SIM</v>
      </c>
      <c r="M610" s="57" t="s">
        <v>3132</v>
      </c>
      <c r="N610" s="57" t="s">
        <v>79</v>
      </c>
      <c r="O610" s="57" t="s">
        <v>3134</v>
      </c>
      <c r="P610" s="57" t="s">
        <v>3135</v>
      </c>
      <c r="Q610" s="57" t="s">
        <v>3133</v>
      </c>
      <c r="R610" s="57" t="s">
        <v>3136</v>
      </c>
      <c r="S610" s="61" t="str">
        <f t="shared" ca="1" si="46"/>
        <v>EXECUTADA</v>
      </c>
    </row>
    <row r="611" spans="1:19" s="81" customFormat="1" ht="68.25" customHeight="1" x14ac:dyDescent="0.25">
      <c r="A611" s="302" t="s">
        <v>3148</v>
      </c>
      <c r="B611" s="38" t="s">
        <v>30</v>
      </c>
      <c r="C611" s="39" t="s">
        <v>3118</v>
      </c>
      <c r="D611" s="89" t="s">
        <v>3215</v>
      </c>
      <c r="E611" s="38">
        <v>34999190736</v>
      </c>
      <c r="F611" s="41">
        <v>46188</v>
      </c>
      <c r="G611" s="42" t="str">
        <f t="shared" si="44"/>
        <v>Seg</v>
      </c>
      <c r="H611" s="43">
        <v>0.625</v>
      </c>
      <c r="I611" s="38" t="s">
        <v>46</v>
      </c>
      <c r="J611" s="90" t="s">
        <v>3164</v>
      </c>
      <c r="K611" s="90" t="s">
        <v>139</v>
      </c>
      <c r="L611" s="40" t="str">
        <f t="shared" si="45"/>
        <v>SIM</v>
      </c>
      <c r="M611" s="90" t="s">
        <v>3165</v>
      </c>
      <c r="N611" s="38" t="s">
        <v>89</v>
      </c>
      <c r="O611" s="90" t="s">
        <v>3137</v>
      </c>
      <c r="P611" s="38">
        <v>34999190736</v>
      </c>
      <c r="Q611" s="90" t="s">
        <v>3166</v>
      </c>
      <c r="R611" s="90" t="s">
        <v>3167</v>
      </c>
      <c r="S611" s="44" t="str">
        <f t="shared" ca="1" si="46"/>
        <v>EXECUTADA</v>
      </c>
    </row>
    <row r="612" spans="1:19" s="55" customFormat="1" ht="18" x14ac:dyDescent="0.25">
      <c r="A612" s="297" t="s">
        <v>3149</v>
      </c>
      <c r="B612" s="57" t="s">
        <v>30</v>
      </c>
      <c r="C612" s="268" t="s">
        <v>3150</v>
      </c>
      <c r="D612" s="53" t="s">
        <v>868</v>
      </c>
      <c r="E612" s="57">
        <v>34999434243</v>
      </c>
      <c r="F612" s="59">
        <v>46198</v>
      </c>
      <c r="G612" s="51" t="str">
        <f>PROPER(TEXT(F612,"DDD"))</f>
        <v>Qui</v>
      </c>
      <c r="H612" s="215">
        <v>0.70833333333333337</v>
      </c>
      <c r="I612" s="57" t="s">
        <v>46</v>
      </c>
      <c r="J612" s="57" t="s">
        <v>3168</v>
      </c>
      <c r="K612" s="57" t="s">
        <v>132</v>
      </c>
      <c r="L612" s="141" t="str">
        <f>IF(B612="MUD END","NÃO","SIM")</f>
        <v>SIM</v>
      </c>
      <c r="M612" s="57" t="s">
        <v>3169</v>
      </c>
      <c r="N612" s="57" t="s">
        <v>89</v>
      </c>
      <c r="O612" s="57" t="s">
        <v>72</v>
      </c>
      <c r="P612" s="57" t="s">
        <v>72</v>
      </c>
      <c r="Q612" s="57" t="s">
        <v>3170</v>
      </c>
      <c r="R612" s="57" t="s">
        <v>3171</v>
      </c>
      <c r="S612" s="61" t="str">
        <f ca="1">IF(F612&lt;TODAY(),"EXECUTADA",IF(F612=TODAY(),"EM EXECUÇÃO",IF(F612=TODAY()+1,"VALIDAR HOJE",IF(F612&gt;TODAY()+1,"VALIDAR DEPOIS","-"))))</f>
        <v>VALIDAR DEPOIS</v>
      </c>
    </row>
    <row r="613" spans="1:19" s="55" customFormat="1" ht="18" x14ac:dyDescent="0.25">
      <c r="A613" s="269" t="s">
        <v>3138</v>
      </c>
      <c r="B613" s="57" t="s">
        <v>30</v>
      </c>
      <c r="C613" s="268" t="s">
        <v>3139</v>
      </c>
      <c r="D613" s="53" t="s">
        <v>868</v>
      </c>
      <c r="E613" s="57">
        <v>34998604366</v>
      </c>
      <c r="F613" s="59">
        <v>46188</v>
      </c>
      <c r="G613" s="51" t="str">
        <f t="shared" si="44"/>
        <v>Seg</v>
      </c>
      <c r="H613" s="60">
        <v>0.625</v>
      </c>
      <c r="I613" s="57" t="s">
        <v>46</v>
      </c>
      <c r="J613" s="57" t="s">
        <v>3140</v>
      </c>
      <c r="K613" s="57" t="s">
        <v>87</v>
      </c>
      <c r="L613" s="53" t="str">
        <f t="shared" si="45"/>
        <v>SIM</v>
      </c>
      <c r="M613" s="57" t="s">
        <v>3141</v>
      </c>
      <c r="N613" s="57" t="s">
        <v>79</v>
      </c>
      <c r="O613" s="57" t="s">
        <v>3142</v>
      </c>
      <c r="P613" s="57">
        <v>34998774366</v>
      </c>
      <c r="Q613" s="57" t="s">
        <v>3143</v>
      </c>
      <c r="R613" s="57" t="s">
        <v>3146</v>
      </c>
      <c r="S613" s="61" t="str">
        <f t="shared" ca="1" si="46"/>
        <v>EXECUTADA</v>
      </c>
    </row>
    <row r="614" spans="1:19" s="55" customFormat="1" ht="18" x14ac:dyDescent="0.25">
      <c r="A614" s="297" t="s">
        <v>3151</v>
      </c>
      <c r="B614" s="57" t="s">
        <v>27</v>
      </c>
      <c r="C614" s="268" t="s">
        <v>3152</v>
      </c>
      <c r="D614" s="53" t="s">
        <v>868</v>
      </c>
      <c r="E614" s="57">
        <v>34996400248</v>
      </c>
      <c r="F614" s="59">
        <v>46188</v>
      </c>
      <c r="G614" s="51" t="str">
        <f t="shared" si="44"/>
        <v>Seg</v>
      </c>
      <c r="H614" s="60">
        <v>0.54166666666666663</v>
      </c>
      <c r="I614" s="57" t="s">
        <v>42</v>
      </c>
      <c r="J614" s="57" t="s">
        <v>3172</v>
      </c>
      <c r="K614" s="57" t="s">
        <v>146</v>
      </c>
      <c r="L614" s="53" t="str">
        <f t="shared" si="45"/>
        <v>NÃO</v>
      </c>
      <c r="M614" s="57" t="s">
        <v>72</v>
      </c>
      <c r="N614" s="57" t="s">
        <v>89</v>
      </c>
      <c r="O614" s="57" t="s">
        <v>72</v>
      </c>
      <c r="P614" s="57" t="s">
        <v>72</v>
      </c>
      <c r="Q614" s="57" t="s">
        <v>3173</v>
      </c>
      <c r="R614" s="57" t="s">
        <v>3174</v>
      </c>
      <c r="S614" s="61" t="str">
        <f t="shared" ca="1" si="46"/>
        <v>EXECUTADA</v>
      </c>
    </row>
    <row r="615" spans="1:19" s="55" customFormat="1" ht="18" x14ac:dyDescent="0.25">
      <c r="A615" s="297" t="s">
        <v>3153</v>
      </c>
      <c r="B615" s="57" t="s">
        <v>30</v>
      </c>
      <c r="C615" s="268" t="s">
        <v>3154</v>
      </c>
      <c r="D615" s="53" t="s">
        <v>868</v>
      </c>
      <c r="E615" s="57">
        <v>34991815336</v>
      </c>
      <c r="F615" s="59">
        <v>46189</v>
      </c>
      <c r="G615" s="51" t="str">
        <f t="shared" si="44"/>
        <v>Ter</v>
      </c>
      <c r="H615" s="60">
        <v>0.33333333333333331</v>
      </c>
      <c r="I615" s="57" t="s">
        <v>46</v>
      </c>
      <c r="J615" s="57" t="s">
        <v>3175</v>
      </c>
      <c r="K615" s="57" t="s">
        <v>139</v>
      </c>
      <c r="L615" s="53" t="str">
        <f t="shared" si="45"/>
        <v>SIM</v>
      </c>
      <c r="M615" s="57" t="s">
        <v>1103</v>
      </c>
      <c r="N615" s="57" t="s">
        <v>89</v>
      </c>
      <c r="O615" s="57" t="s">
        <v>72</v>
      </c>
      <c r="P615" s="57" t="s">
        <v>72</v>
      </c>
      <c r="Q615" s="57" t="s">
        <v>3176</v>
      </c>
      <c r="R615" s="57" t="s">
        <v>3177</v>
      </c>
      <c r="S615" s="61" t="str">
        <f t="shared" ca="1" si="46"/>
        <v>EXECUTADA</v>
      </c>
    </row>
    <row r="616" spans="1:19" s="55" customFormat="1" ht="18" x14ac:dyDescent="0.25">
      <c r="A616" s="269" t="s">
        <v>3217</v>
      </c>
      <c r="B616" s="57" t="s">
        <v>27</v>
      </c>
      <c r="C616" s="268" t="s">
        <v>3218</v>
      </c>
      <c r="D616" s="260" t="s">
        <v>868</v>
      </c>
      <c r="E616" s="57">
        <v>34988214978</v>
      </c>
      <c r="F616" s="59">
        <v>46189</v>
      </c>
      <c r="G616" s="51" t="str">
        <f>PROPER(TEXT(F616,"DDD"))</f>
        <v>Ter</v>
      </c>
      <c r="H616" s="60">
        <v>0.33333333333333331</v>
      </c>
      <c r="I616" s="57" t="s">
        <v>42</v>
      </c>
      <c r="J616" s="57" t="s">
        <v>3220</v>
      </c>
      <c r="K616" s="57" t="s">
        <v>87</v>
      </c>
      <c r="L616" s="53" t="str">
        <f>IF(B616="MUD END","NÃO","SIM")</f>
        <v>NÃO</v>
      </c>
      <c r="M616" s="57" t="s">
        <v>72</v>
      </c>
      <c r="N616" s="57" t="s">
        <v>79</v>
      </c>
      <c r="O616" s="57" t="s">
        <v>3222</v>
      </c>
      <c r="P616" s="57">
        <v>34997990307</v>
      </c>
      <c r="Q616" s="57" t="s">
        <v>3219</v>
      </c>
      <c r="R616" s="57" t="s">
        <v>3221</v>
      </c>
      <c r="S616" s="61" t="str">
        <f ca="1">IF(F616&lt;TODAY(),"EXECUTADA",IF(F616=TODAY(),"EM EXECUÇÃO",IF(F616=TODAY()+1,"VALIDAR HOJE",IF(F616&gt;TODAY()+1,"VALIDAR DEPOIS","-"))))</f>
        <v>EXECUTADA</v>
      </c>
    </row>
    <row r="617" spans="1:19" s="55" customFormat="1" ht="18" x14ac:dyDescent="0.25">
      <c r="A617" s="297" t="s">
        <v>3155</v>
      </c>
      <c r="B617" s="57" t="s">
        <v>27</v>
      </c>
      <c r="C617" s="268" t="s">
        <v>3156</v>
      </c>
      <c r="D617" s="53" t="s">
        <v>868</v>
      </c>
      <c r="E617" s="57">
        <v>34991130178</v>
      </c>
      <c r="F617" s="59">
        <v>46189</v>
      </c>
      <c r="G617" s="51" t="str">
        <f t="shared" si="44"/>
        <v>Ter</v>
      </c>
      <c r="H617" s="60">
        <v>0.41666666666666669</v>
      </c>
      <c r="I617" s="57" t="s">
        <v>35</v>
      </c>
      <c r="J617" s="57" t="s">
        <v>3178</v>
      </c>
      <c r="K617" s="57" t="s">
        <v>146</v>
      </c>
      <c r="L617" s="53" t="str">
        <f t="shared" si="45"/>
        <v>NÃO</v>
      </c>
      <c r="M617" s="57" t="s">
        <v>72</v>
      </c>
      <c r="N617" s="57" t="s">
        <v>89</v>
      </c>
      <c r="O617" s="57" t="s">
        <v>72</v>
      </c>
      <c r="P617" s="57" t="s">
        <v>72</v>
      </c>
      <c r="Q617" s="57" t="s">
        <v>3179</v>
      </c>
      <c r="R617" s="57" t="s">
        <v>3180</v>
      </c>
      <c r="S617" s="61" t="str">
        <f t="shared" ca="1" si="46"/>
        <v>EXECUTADA</v>
      </c>
    </row>
    <row r="618" spans="1:19" s="301" customFormat="1" ht="93.75" customHeight="1" x14ac:dyDescent="0.25">
      <c r="A618" s="308" t="s">
        <v>3157</v>
      </c>
      <c r="B618" s="274" t="s">
        <v>30</v>
      </c>
      <c r="C618" s="58" t="s">
        <v>3158</v>
      </c>
      <c r="D618" s="53" t="s">
        <v>868</v>
      </c>
      <c r="E618" s="274">
        <v>34991072127</v>
      </c>
      <c r="F618" s="298">
        <v>46189</v>
      </c>
      <c r="G618" s="294" t="str">
        <f>PROPER(TEXT(F618,"DDD"))</f>
        <v>Ter</v>
      </c>
      <c r="H618" s="299">
        <v>0.41666666666666669</v>
      </c>
      <c r="I618" s="300" t="s">
        <v>46</v>
      </c>
      <c r="J618" s="300" t="s">
        <v>3181</v>
      </c>
      <c r="K618" s="300" t="s">
        <v>107</v>
      </c>
      <c r="L618" s="105" t="str">
        <f>IF(B618="MUD END","NÃO","SIM")</f>
        <v>SIM</v>
      </c>
      <c r="M618" s="274" t="s">
        <v>3182</v>
      </c>
      <c r="N618" s="274" t="s">
        <v>89</v>
      </c>
      <c r="O618" s="274" t="s">
        <v>72</v>
      </c>
      <c r="P618" s="274" t="s">
        <v>72</v>
      </c>
      <c r="Q618" s="274" t="s">
        <v>3183</v>
      </c>
      <c r="R618" s="274" t="s">
        <v>3184</v>
      </c>
      <c r="S618" s="300" t="str">
        <f ca="1">IF(F618&lt;TODAY(),"EXECUTADA",IF(F618=TODAY(),"EM EXECUÇÃO",IF(F618=TODAY()+1,"VALIDAR HOJE",IF(F618&gt;TODAY()+1,"VALIDAR DEPOIS","-"))))</f>
        <v>EXECUTADA</v>
      </c>
    </row>
    <row r="619" spans="1:19" s="55" customFormat="1" ht="18" x14ac:dyDescent="0.25">
      <c r="A619" s="297" t="s">
        <v>3159</v>
      </c>
      <c r="B619" s="57" t="s">
        <v>30</v>
      </c>
      <c r="C619" s="268" t="s">
        <v>3160</v>
      </c>
      <c r="D619" s="53" t="s">
        <v>868</v>
      </c>
      <c r="E619" s="57">
        <v>34974007593</v>
      </c>
      <c r="F619" s="59">
        <v>46189</v>
      </c>
      <c r="G619" s="51" t="str">
        <f t="shared" si="44"/>
        <v>Ter</v>
      </c>
      <c r="H619" s="60">
        <v>0.54166666666666663</v>
      </c>
      <c r="I619" s="139" t="s">
        <v>46</v>
      </c>
      <c r="J619" s="139" t="s">
        <v>3185</v>
      </c>
      <c r="K619" s="139" t="s">
        <v>139</v>
      </c>
      <c r="L619" s="53" t="str">
        <f t="shared" si="45"/>
        <v>SIM</v>
      </c>
      <c r="M619" s="57" t="s">
        <v>3186</v>
      </c>
      <c r="N619" s="57" t="s">
        <v>79</v>
      </c>
      <c r="O619" s="57" t="s">
        <v>3161</v>
      </c>
      <c r="P619" s="57">
        <v>34998829898</v>
      </c>
      <c r="Q619" s="57" t="s">
        <v>3187</v>
      </c>
      <c r="R619" s="57" t="s">
        <v>3188</v>
      </c>
      <c r="S619" s="61" t="str">
        <f t="shared" ca="1" si="46"/>
        <v>EXECUTADA</v>
      </c>
    </row>
    <row r="620" spans="1:19" s="307" customFormat="1" ht="108" customHeight="1" x14ac:dyDescent="0.25">
      <c r="A620" s="302" t="s">
        <v>3162</v>
      </c>
      <c r="B620" s="90" t="s">
        <v>27</v>
      </c>
      <c r="C620" s="39" t="s">
        <v>3163</v>
      </c>
      <c r="D620" s="89" t="s">
        <v>3216</v>
      </c>
      <c r="E620" s="90">
        <v>11915133968</v>
      </c>
      <c r="F620" s="303">
        <v>46189</v>
      </c>
      <c r="G620" s="304" t="str">
        <f t="shared" si="44"/>
        <v>Ter</v>
      </c>
      <c r="H620" s="305">
        <v>0.70833333333333337</v>
      </c>
      <c r="I620" s="90" t="s">
        <v>42</v>
      </c>
      <c r="J620" s="90" t="s">
        <v>3189</v>
      </c>
      <c r="K620" s="90" t="s">
        <v>71</v>
      </c>
      <c r="L620" s="89" t="str">
        <f t="shared" si="45"/>
        <v>NÃO</v>
      </c>
      <c r="M620" s="90" t="s">
        <v>72</v>
      </c>
      <c r="N620" s="90" t="s">
        <v>89</v>
      </c>
      <c r="O620" s="90" t="s">
        <v>72</v>
      </c>
      <c r="P620" s="90" t="s">
        <v>72</v>
      </c>
      <c r="Q620" s="90" t="s">
        <v>3190</v>
      </c>
      <c r="R620" s="90" t="s">
        <v>3191</v>
      </c>
      <c r="S620" s="306" t="str">
        <f t="shared" ca="1" si="46"/>
        <v>EXECUTADA</v>
      </c>
    </row>
    <row r="621" spans="1:19" s="55" customFormat="1" ht="18" x14ac:dyDescent="0.25">
      <c r="A621" s="269" t="s">
        <v>3193</v>
      </c>
      <c r="B621" s="57" t="s">
        <v>27</v>
      </c>
      <c r="C621" s="268" t="s">
        <v>3196</v>
      </c>
      <c r="D621" s="53" t="s">
        <v>3206</v>
      </c>
      <c r="E621" s="57">
        <v>34998740634</v>
      </c>
      <c r="F621" s="59">
        <v>46190</v>
      </c>
      <c r="G621" s="51" t="str">
        <f t="shared" ref="G621:G669" si="47">PROPER(TEXT(F621,"DDD"))</f>
        <v>Qua</v>
      </c>
      <c r="H621" s="60">
        <v>0.33333333333333331</v>
      </c>
      <c r="I621" s="57" t="s">
        <v>42</v>
      </c>
      <c r="J621" s="57" t="s">
        <v>3201</v>
      </c>
      <c r="K621" s="57" t="s">
        <v>87</v>
      </c>
      <c r="L621" s="53" t="str">
        <f t="shared" ref="L621:L674" si="48">IF(B621="MUD END","NÃO","SIM")</f>
        <v>NÃO</v>
      </c>
      <c r="M621" s="57" t="s">
        <v>72</v>
      </c>
      <c r="N621" s="57" t="s">
        <v>79</v>
      </c>
      <c r="O621" s="57" t="s">
        <v>3202</v>
      </c>
      <c r="P621" s="57" t="s">
        <v>3203</v>
      </c>
      <c r="Q621" s="57" t="s">
        <v>3205</v>
      </c>
      <c r="R621" s="57" t="s">
        <v>3204</v>
      </c>
      <c r="S621" s="61" t="str">
        <f t="shared" ref="S621:S674" ca="1" si="49">IF(F621&lt;TODAY(),"EXECUTADA",IF(F621=TODAY(),"EM EXECUÇÃO",IF(F621=TODAY()+1,"VALIDAR HOJE",IF(F621&gt;TODAY()+1,"VALIDAR DEPOIS","-"))))</f>
        <v>EXECUTADA</v>
      </c>
    </row>
    <row r="622" spans="1:19" s="55" customFormat="1" ht="18" x14ac:dyDescent="0.25">
      <c r="A622" s="269" t="s">
        <v>3194</v>
      </c>
      <c r="B622" s="57" t="s">
        <v>27</v>
      </c>
      <c r="C622" s="268" t="s">
        <v>3197</v>
      </c>
      <c r="D622" s="53" t="s">
        <v>3207</v>
      </c>
      <c r="E622" s="57"/>
      <c r="F622" s="59">
        <v>46190</v>
      </c>
      <c r="G622" s="51" t="str">
        <f t="shared" si="47"/>
        <v>Qua</v>
      </c>
      <c r="H622" s="60">
        <v>0.33333333333333331</v>
      </c>
      <c r="I622" s="57" t="s">
        <v>42</v>
      </c>
      <c r="J622" s="57"/>
      <c r="K622" s="57"/>
      <c r="L622" s="53" t="str">
        <f t="shared" si="48"/>
        <v>NÃO</v>
      </c>
      <c r="M622" s="57"/>
      <c r="N622" s="57"/>
      <c r="O622" s="57"/>
      <c r="P622" s="57"/>
      <c r="Q622" s="57"/>
      <c r="R622" s="57"/>
      <c r="S622" s="61" t="str">
        <f t="shared" ca="1" si="49"/>
        <v>EXECUTADA</v>
      </c>
    </row>
    <row r="623" spans="1:19" s="55" customFormat="1" ht="18" x14ac:dyDescent="0.25">
      <c r="A623" s="269" t="s">
        <v>3192</v>
      </c>
      <c r="B623" s="57" t="s">
        <v>27</v>
      </c>
      <c r="C623" s="268" t="s">
        <v>3198</v>
      </c>
      <c r="D623" s="53" t="s">
        <v>868</v>
      </c>
      <c r="E623" s="57">
        <v>34996461899</v>
      </c>
      <c r="F623" s="59">
        <v>46190</v>
      </c>
      <c r="G623" s="51" t="str">
        <f t="shared" si="47"/>
        <v>Qua</v>
      </c>
      <c r="H623" s="60">
        <v>0.41666666666666669</v>
      </c>
      <c r="I623" s="57" t="s">
        <v>42</v>
      </c>
      <c r="J623" s="57" t="s">
        <v>3208</v>
      </c>
      <c r="K623" s="57" t="s">
        <v>71</v>
      </c>
      <c r="L623" s="53" t="str">
        <f t="shared" si="48"/>
        <v>NÃO</v>
      </c>
      <c r="M623" s="57" t="s">
        <v>72</v>
      </c>
      <c r="N623" s="57" t="s">
        <v>89</v>
      </c>
      <c r="O623" s="57" t="s">
        <v>72</v>
      </c>
      <c r="P623" s="57" t="s">
        <v>72</v>
      </c>
      <c r="Q623" s="57" t="s">
        <v>3210</v>
      </c>
      <c r="R623" s="57" t="s">
        <v>3209</v>
      </c>
      <c r="S623" s="61" t="str">
        <f t="shared" ca="1" si="49"/>
        <v>EXECUTADA</v>
      </c>
    </row>
    <row r="624" spans="1:19" s="55" customFormat="1" ht="18" x14ac:dyDescent="0.25">
      <c r="A624" s="269" t="s">
        <v>3195</v>
      </c>
      <c r="B624" s="57" t="s">
        <v>27</v>
      </c>
      <c r="C624" s="268" t="s">
        <v>3199</v>
      </c>
      <c r="D624" s="53" t="s">
        <v>868</v>
      </c>
      <c r="E624" s="57">
        <v>34992119939</v>
      </c>
      <c r="F624" s="59">
        <v>46190</v>
      </c>
      <c r="G624" s="51" t="str">
        <f t="shared" si="47"/>
        <v>Qua</v>
      </c>
      <c r="H624" s="60">
        <v>0.54166666666666663</v>
      </c>
      <c r="I624" s="57" t="s">
        <v>42</v>
      </c>
      <c r="J624" s="57" t="s">
        <v>3211</v>
      </c>
      <c r="K624" s="57" t="s">
        <v>132</v>
      </c>
      <c r="L624" s="53" t="str">
        <f t="shared" si="48"/>
        <v>NÃO</v>
      </c>
      <c r="M624" s="57" t="s">
        <v>72</v>
      </c>
      <c r="N624" s="57" t="s">
        <v>79</v>
      </c>
      <c r="O624" s="57" t="s">
        <v>3213</v>
      </c>
      <c r="P624" s="57">
        <v>34984356122</v>
      </c>
      <c r="Q624" s="57" t="s">
        <v>3212</v>
      </c>
      <c r="R624" s="57" t="s">
        <v>3214</v>
      </c>
      <c r="S624" s="61" t="str">
        <f t="shared" ca="1" si="49"/>
        <v>EXECUTADA</v>
      </c>
    </row>
    <row r="625" spans="1:19" s="55" customFormat="1" ht="18" x14ac:dyDescent="0.25">
      <c r="A625" s="269" t="s">
        <v>3255</v>
      </c>
      <c r="B625" s="57" t="s">
        <v>27</v>
      </c>
      <c r="C625" s="268" t="s">
        <v>3229</v>
      </c>
      <c r="D625" s="53" t="s">
        <v>868</v>
      </c>
      <c r="E625" s="57">
        <v>34991162795</v>
      </c>
      <c r="F625" s="59">
        <v>46190</v>
      </c>
      <c r="G625" s="51" t="str">
        <f t="shared" si="47"/>
        <v>Qua</v>
      </c>
      <c r="H625" s="60">
        <v>0.33333333333333331</v>
      </c>
      <c r="I625" s="57" t="s">
        <v>35</v>
      </c>
      <c r="J625" s="57" t="s">
        <v>3238</v>
      </c>
      <c r="K625" s="57" t="s">
        <v>146</v>
      </c>
      <c r="L625" s="53" t="str">
        <f t="shared" si="48"/>
        <v>NÃO</v>
      </c>
      <c r="M625" s="57" t="s">
        <v>72</v>
      </c>
      <c r="N625" s="57" t="s">
        <v>89</v>
      </c>
      <c r="O625" s="57" t="s">
        <v>72</v>
      </c>
      <c r="P625" s="57" t="s">
        <v>72</v>
      </c>
      <c r="Q625" s="57" t="s">
        <v>3239</v>
      </c>
      <c r="R625" s="57" t="s">
        <v>3240</v>
      </c>
      <c r="S625" s="61" t="str">
        <f t="shared" ca="1" si="49"/>
        <v>EXECUTADA</v>
      </c>
    </row>
    <row r="626" spans="1:19" s="55" customFormat="1" ht="18" x14ac:dyDescent="0.25">
      <c r="A626" s="269" t="s">
        <v>3223</v>
      </c>
      <c r="B626" s="57" t="s">
        <v>30</v>
      </c>
      <c r="C626" s="268" t="s">
        <v>3232</v>
      </c>
      <c r="D626" s="53" t="s">
        <v>3244</v>
      </c>
      <c r="E626" s="57">
        <v>34996678754</v>
      </c>
      <c r="F626" s="59">
        <v>46190</v>
      </c>
      <c r="G626" s="51" t="str">
        <f t="shared" si="47"/>
        <v>Qua</v>
      </c>
      <c r="H626" s="60">
        <v>0.41666666666666669</v>
      </c>
      <c r="I626" s="57" t="s">
        <v>46</v>
      </c>
      <c r="J626" s="57" t="s">
        <v>3241</v>
      </c>
      <c r="K626" s="57" t="s">
        <v>100</v>
      </c>
      <c r="L626" s="53" t="str">
        <f t="shared" si="48"/>
        <v>SIM</v>
      </c>
      <c r="M626" s="57" t="s">
        <v>401</v>
      </c>
      <c r="N626" s="57" t="s">
        <v>89</v>
      </c>
      <c r="O626" s="57" t="s">
        <v>72</v>
      </c>
      <c r="P626" s="57" t="s">
        <v>72</v>
      </c>
      <c r="Q626" s="57" t="s">
        <v>3242</v>
      </c>
      <c r="R626" s="57" t="s">
        <v>3243</v>
      </c>
      <c r="S626" s="61" t="str">
        <f t="shared" ca="1" si="49"/>
        <v>EXECUTADA</v>
      </c>
    </row>
    <row r="627" spans="1:19" s="55" customFormat="1" ht="18" x14ac:dyDescent="0.25">
      <c r="A627" s="269" t="s">
        <v>3224</v>
      </c>
      <c r="B627" s="57" t="s">
        <v>27</v>
      </c>
      <c r="C627" s="268" t="s">
        <v>3233</v>
      </c>
      <c r="D627" s="53" t="s">
        <v>3244</v>
      </c>
      <c r="E627" s="57">
        <v>34998166769</v>
      </c>
      <c r="F627" s="59">
        <v>46190</v>
      </c>
      <c r="G627" s="51" t="str">
        <f t="shared" si="47"/>
        <v>Qua</v>
      </c>
      <c r="H627" s="60">
        <v>0.54166666666666663</v>
      </c>
      <c r="I627" s="57" t="s">
        <v>42</v>
      </c>
      <c r="J627" s="57" t="s">
        <v>3245</v>
      </c>
      <c r="K627" s="57" t="s">
        <v>71</v>
      </c>
      <c r="L627" s="53" t="str">
        <f t="shared" si="48"/>
        <v>NÃO</v>
      </c>
      <c r="M627" s="57" t="s">
        <v>72</v>
      </c>
      <c r="N627" s="57" t="s">
        <v>79</v>
      </c>
      <c r="O627" s="57" t="s">
        <v>3246</v>
      </c>
      <c r="P627" s="57" t="s">
        <v>3247</v>
      </c>
      <c r="Q627" s="57" t="s">
        <v>3248</v>
      </c>
      <c r="R627" s="57" t="s">
        <v>3249</v>
      </c>
      <c r="S627" s="61" t="str">
        <f t="shared" ca="1" si="49"/>
        <v>EXECUTADA</v>
      </c>
    </row>
    <row r="628" spans="1:19" s="55" customFormat="1" ht="18" x14ac:dyDescent="0.25">
      <c r="A628" s="269" t="s">
        <v>3254</v>
      </c>
      <c r="B628" s="57" t="s">
        <v>30</v>
      </c>
      <c r="C628" s="268" t="s">
        <v>3230</v>
      </c>
      <c r="D628" s="53" t="s">
        <v>3244</v>
      </c>
      <c r="E628" s="57">
        <v>31996084979</v>
      </c>
      <c r="F628" s="59">
        <v>46190</v>
      </c>
      <c r="G628" s="51" t="str">
        <f t="shared" si="47"/>
        <v>Qua</v>
      </c>
      <c r="H628" s="60">
        <v>0.54166666666666663</v>
      </c>
      <c r="I628" s="57" t="s">
        <v>46</v>
      </c>
      <c r="J628" s="57" t="s">
        <v>3250</v>
      </c>
      <c r="K628" s="57" t="s">
        <v>566</v>
      </c>
      <c r="L628" s="53" t="str">
        <f t="shared" si="48"/>
        <v>SIM</v>
      </c>
      <c r="M628" s="57" t="s">
        <v>3251</v>
      </c>
      <c r="N628" s="57" t="s">
        <v>89</v>
      </c>
      <c r="O628" s="57" t="s">
        <v>72</v>
      </c>
      <c r="P628" s="57" t="s">
        <v>72</v>
      </c>
      <c r="Q628" s="57" t="s">
        <v>3252</v>
      </c>
      <c r="R628" s="57" t="s">
        <v>3253</v>
      </c>
      <c r="S628" s="61" t="str">
        <f t="shared" ca="1" si="49"/>
        <v>EXECUTADA</v>
      </c>
    </row>
    <row r="629" spans="1:19" s="83" customFormat="1" ht="18" x14ac:dyDescent="0.25">
      <c r="A629" s="225" t="s">
        <v>3225</v>
      </c>
      <c r="B629" s="74" t="s">
        <v>30</v>
      </c>
      <c r="C629" s="272" t="s">
        <v>3234</v>
      </c>
      <c r="D629" s="78" t="s">
        <v>3260</v>
      </c>
      <c r="E629" s="74">
        <v>34991433148</v>
      </c>
      <c r="F629" s="92">
        <v>46190</v>
      </c>
      <c r="G629" s="93" t="str">
        <f t="shared" si="47"/>
        <v>Qua</v>
      </c>
      <c r="H629" s="77">
        <v>0.625</v>
      </c>
      <c r="I629" s="74" t="s">
        <v>46</v>
      </c>
      <c r="J629" s="74" t="s">
        <v>3256</v>
      </c>
      <c r="K629" s="74" t="s">
        <v>146</v>
      </c>
      <c r="L629" s="78" t="str">
        <f t="shared" si="48"/>
        <v>SIM</v>
      </c>
      <c r="M629" s="74" t="s">
        <v>3257</v>
      </c>
      <c r="N629" s="74" t="s">
        <v>89</v>
      </c>
      <c r="O629" s="74" t="s">
        <v>72</v>
      </c>
      <c r="P629" s="74" t="s">
        <v>72</v>
      </c>
      <c r="Q629" s="74" t="s">
        <v>3258</v>
      </c>
      <c r="R629" s="74" t="s">
        <v>3259</v>
      </c>
      <c r="S629" s="79" t="str">
        <f t="shared" ca="1" si="49"/>
        <v>EXECUTADA</v>
      </c>
    </row>
    <row r="630" spans="1:19" s="55" customFormat="1" ht="18" x14ac:dyDescent="0.25">
      <c r="A630" s="269" t="s">
        <v>3226</v>
      </c>
      <c r="B630" s="57" t="s">
        <v>27</v>
      </c>
      <c r="C630" s="268" t="s">
        <v>3235</v>
      </c>
      <c r="D630" s="53" t="s">
        <v>3244</v>
      </c>
      <c r="E630" s="57">
        <v>34991855058</v>
      </c>
      <c r="F630" s="59">
        <v>46190</v>
      </c>
      <c r="G630" s="51" t="str">
        <f t="shared" si="47"/>
        <v>Qua</v>
      </c>
      <c r="H630" s="60">
        <v>0.625</v>
      </c>
      <c r="I630" s="57" t="s">
        <v>38</v>
      </c>
      <c r="J630" s="57" t="s">
        <v>3261</v>
      </c>
      <c r="K630" s="57" t="s">
        <v>71</v>
      </c>
      <c r="L630" s="53" t="str">
        <f t="shared" si="48"/>
        <v>NÃO</v>
      </c>
      <c r="M630" s="57" t="s">
        <v>72</v>
      </c>
      <c r="N630" s="57" t="s">
        <v>89</v>
      </c>
      <c r="O630" s="57" t="s">
        <v>72</v>
      </c>
      <c r="P630" s="57" t="s">
        <v>72</v>
      </c>
      <c r="Q630" s="57" t="s">
        <v>3262</v>
      </c>
      <c r="R630" s="57" t="s">
        <v>3263</v>
      </c>
      <c r="S630" s="61" t="str">
        <f t="shared" ca="1" si="49"/>
        <v>EXECUTADA</v>
      </c>
    </row>
    <row r="631" spans="1:19" s="55" customFormat="1" ht="18" x14ac:dyDescent="0.25">
      <c r="A631" s="269" t="s">
        <v>3227</v>
      </c>
      <c r="B631" s="57" t="s">
        <v>27</v>
      </c>
      <c r="C631" s="268" t="s">
        <v>3236</v>
      </c>
      <c r="D631" s="53" t="s">
        <v>3244</v>
      </c>
      <c r="E631" s="57">
        <v>34988438190</v>
      </c>
      <c r="F631" s="59">
        <v>46190</v>
      </c>
      <c r="G631" s="51" t="str">
        <f t="shared" si="47"/>
        <v>Qua</v>
      </c>
      <c r="H631" s="60">
        <v>0.70833333333333337</v>
      </c>
      <c r="I631" s="57" t="s">
        <v>35</v>
      </c>
      <c r="J631" s="57" t="s">
        <v>3264</v>
      </c>
      <c r="K631" s="57" t="s">
        <v>71</v>
      </c>
      <c r="L631" s="53" t="str">
        <f t="shared" si="48"/>
        <v>NÃO</v>
      </c>
      <c r="M631" s="57" t="s">
        <v>72</v>
      </c>
      <c r="N631" s="57" t="s">
        <v>89</v>
      </c>
      <c r="O631" s="57" t="s">
        <v>72</v>
      </c>
      <c r="P631" s="57" t="s">
        <v>72</v>
      </c>
      <c r="Q631" s="57" t="s">
        <v>3265</v>
      </c>
      <c r="R631" s="57" t="s">
        <v>3266</v>
      </c>
      <c r="S631" s="61" t="str">
        <f t="shared" ca="1" si="49"/>
        <v>EXECUTADA</v>
      </c>
    </row>
    <row r="632" spans="1:19" s="83" customFormat="1" ht="18" x14ac:dyDescent="0.25">
      <c r="A632" s="225" t="s">
        <v>3228</v>
      </c>
      <c r="B632" s="74" t="s">
        <v>27</v>
      </c>
      <c r="C632" s="272" t="s">
        <v>3237</v>
      </c>
      <c r="D632" s="78" t="s">
        <v>364</v>
      </c>
      <c r="E632" s="74">
        <v>34997936557</v>
      </c>
      <c r="F632" s="92">
        <v>46190</v>
      </c>
      <c r="G632" s="93" t="str">
        <f t="shared" si="47"/>
        <v>Qua</v>
      </c>
      <c r="H632" s="77">
        <v>0.70833333333333337</v>
      </c>
      <c r="I632" s="74" t="s">
        <v>42</v>
      </c>
      <c r="J632" s="74" t="s">
        <v>3267</v>
      </c>
      <c r="K632" s="74" t="s">
        <v>71</v>
      </c>
      <c r="L632" s="78" t="str">
        <f t="shared" si="48"/>
        <v>NÃO</v>
      </c>
      <c r="M632" s="74" t="s">
        <v>72</v>
      </c>
      <c r="N632" s="74" t="s">
        <v>79</v>
      </c>
      <c r="O632" s="74" t="s">
        <v>3269</v>
      </c>
      <c r="P632" s="74" t="s">
        <v>3270</v>
      </c>
      <c r="Q632" s="74" t="s">
        <v>3268</v>
      </c>
      <c r="R632" s="74" t="s">
        <v>3271</v>
      </c>
      <c r="S632" s="79" t="str">
        <f t="shared" ca="1" si="49"/>
        <v>EXECUTADA</v>
      </c>
    </row>
    <row r="633" spans="1:19" s="55" customFormat="1" ht="18" x14ac:dyDescent="0.25">
      <c r="A633" s="269" t="s">
        <v>3280</v>
      </c>
      <c r="B633" s="57" t="s">
        <v>30</v>
      </c>
      <c r="C633" s="268" t="s">
        <v>3231</v>
      </c>
      <c r="D633" s="53" t="s">
        <v>3244</v>
      </c>
      <c r="E633" s="57">
        <v>34998941602</v>
      </c>
      <c r="F633" s="59">
        <v>46190</v>
      </c>
      <c r="G633" s="51" t="str">
        <f t="shared" si="47"/>
        <v>Qua</v>
      </c>
      <c r="H633" s="60">
        <v>0.70833333333333337</v>
      </c>
      <c r="I633" s="57" t="s">
        <v>46</v>
      </c>
      <c r="J633" s="57" t="s">
        <v>3272</v>
      </c>
      <c r="K633" s="57" t="s">
        <v>87</v>
      </c>
      <c r="L633" s="53" t="str">
        <f t="shared" si="48"/>
        <v>SIM</v>
      </c>
      <c r="M633" s="57" t="s">
        <v>3273</v>
      </c>
      <c r="N633" s="57" t="s">
        <v>79</v>
      </c>
      <c r="O633" s="57" t="s">
        <v>3274</v>
      </c>
      <c r="P633" s="57">
        <v>34997305673</v>
      </c>
      <c r="Q633" s="57" t="s">
        <v>3275</v>
      </c>
      <c r="R633" s="57" t="s">
        <v>3276</v>
      </c>
      <c r="S633" s="61" t="str">
        <f t="shared" ca="1" si="49"/>
        <v>EXECUTADA</v>
      </c>
    </row>
    <row r="634" spans="1:19" s="55" customFormat="1" ht="18" x14ac:dyDescent="0.25">
      <c r="A634" s="151" t="s">
        <v>2353</v>
      </c>
      <c r="B634" s="57" t="s">
        <v>27</v>
      </c>
      <c r="C634" s="268" t="s">
        <v>2361</v>
      </c>
      <c r="D634" s="260" t="s">
        <v>868</v>
      </c>
      <c r="E634" s="57">
        <v>34998797415</v>
      </c>
      <c r="F634" s="59">
        <v>46192</v>
      </c>
      <c r="G634" s="51" t="str">
        <f>PROPER(TEXT(F634,"DDD"))</f>
        <v>Sex</v>
      </c>
      <c r="H634" s="60">
        <v>0.625</v>
      </c>
      <c r="I634" s="57" t="s">
        <v>35</v>
      </c>
      <c r="J634" s="57" t="s">
        <v>2379</v>
      </c>
      <c r="K634" s="57" t="s">
        <v>87</v>
      </c>
      <c r="L634" s="53" t="str">
        <f>IF(B634="MUD END","NÃO","SIM")</f>
        <v>NÃO</v>
      </c>
      <c r="M634" s="57" t="s">
        <v>72</v>
      </c>
      <c r="N634" s="57" t="s">
        <v>89</v>
      </c>
      <c r="O634" s="57" t="s">
        <v>72</v>
      </c>
      <c r="P634" s="57" t="s">
        <v>72</v>
      </c>
      <c r="Q634" s="57" t="s">
        <v>2380</v>
      </c>
      <c r="R634" s="57" t="s">
        <v>2381</v>
      </c>
      <c r="S634" s="61" t="str">
        <f ca="1">IF(F634&lt;TODAY(),"EXECUTADA",IF(F634=TODAY(),"EM EXECUÇÃO",IF(F634=TODAY()+1,"VALIDAR HOJE",IF(F634&gt;TODAY()+1,"VALIDAR DEPOIS","-"))))</f>
        <v>EM EXECUÇÃO</v>
      </c>
    </row>
    <row r="635" spans="1:19" s="55" customFormat="1" ht="18" x14ac:dyDescent="0.25">
      <c r="A635" s="269" t="s">
        <v>3284</v>
      </c>
      <c r="B635" s="57" t="s">
        <v>27</v>
      </c>
      <c r="C635" s="268" t="s">
        <v>3277</v>
      </c>
      <c r="D635" s="260" t="s">
        <v>868</v>
      </c>
      <c r="E635" s="57">
        <v>34992068286</v>
      </c>
      <c r="F635" s="59">
        <v>46189</v>
      </c>
      <c r="G635" s="51" t="str">
        <f t="shared" si="47"/>
        <v>Ter</v>
      </c>
      <c r="H635" s="60">
        <v>0.54166666666666663</v>
      </c>
      <c r="I635" s="57" t="s">
        <v>46</v>
      </c>
      <c r="J635" s="57" t="s">
        <v>3278</v>
      </c>
      <c r="K635" s="57" t="s">
        <v>3281</v>
      </c>
      <c r="L635" s="53" t="str">
        <f t="shared" si="48"/>
        <v>NÃO</v>
      </c>
      <c r="M635" s="57" t="s">
        <v>3279</v>
      </c>
      <c r="N635" s="57" t="s">
        <v>89</v>
      </c>
      <c r="O635" s="57" t="s">
        <v>72</v>
      </c>
      <c r="P635" s="57" t="s">
        <v>72</v>
      </c>
      <c r="Q635" s="57" t="s">
        <v>3282</v>
      </c>
      <c r="R635" s="57" t="s">
        <v>3283</v>
      </c>
      <c r="S635" s="61" t="str">
        <f t="shared" ca="1" si="49"/>
        <v>EXECUTADA</v>
      </c>
    </row>
    <row r="636" spans="1:19" s="55" customFormat="1" ht="18" x14ac:dyDescent="0.25">
      <c r="A636" s="269" t="s">
        <v>3286</v>
      </c>
      <c r="B636" s="57" t="s">
        <v>27</v>
      </c>
      <c r="C636" s="268" t="s">
        <v>3292</v>
      </c>
      <c r="D636" s="260" t="s">
        <v>868</v>
      </c>
      <c r="E636" s="57">
        <v>34984434496</v>
      </c>
      <c r="F636" s="59">
        <v>46191</v>
      </c>
      <c r="G636" s="51" t="str">
        <f t="shared" si="47"/>
        <v>Qui</v>
      </c>
      <c r="H636" s="60">
        <v>0.33333333333333331</v>
      </c>
      <c r="I636" s="57" t="s">
        <v>35</v>
      </c>
      <c r="J636" s="57" t="s">
        <v>3299</v>
      </c>
      <c r="K636" s="57" t="s">
        <v>71</v>
      </c>
      <c r="L636" s="53" t="str">
        <f t="shared" si="48"/>
        <v>NÃO</v>
      </c>
      <c r="M636" s="57" t="s">
        <v>72</v>
      </c>
      <c r="N636" s="57" t="s">
        <v>89</v>
      </c>
      <c r="O636" s="57" t="s">
        <v>72</v>
      </c>
      <c r="P636" s="57" t="s">
        <v>72</v>
      </c>
      <c r="Q636" s="57" t="s">
        <v>3300</v>
      </c>
      <c r="R636" s="57" t="s">
        <v>3301</v>
      </c>
      <c r="S636" s="61" t="str">
        <f t="shared" ca="1" si="49"/>
        <v>EXECUTADA</v>
      </c>
    </row>
    <row r="637" spans="1:19" s="55" customFormat="1" ht="18" x14ac:dyDescent="0.25">
      <c r="A637" s="269" t="s">
        <v>3287</v>
      </c>
      <c r="B637" s="57" t="s">
        <v>27</v>
      </c>
      <c r="C637" s="268" t="s">
        <v>3293</v>
      </c>
      <c r="D637" s="260" t="s">
        <v>3323</v>
      </c>
      <c r="E637" s="57">
        <v>34991399598</v>
      </c>
      <c r="F637" s="59">
        <v>46191</v>
      </c>
      <c r="G637" s="51" t="str">
        <f t="shared" si="47"/>
        <v>Qui</v>
      </c>
      <c r="H637" s="60">
        <v>0.33333333333333331</v>
      </c>
      <c r="I637" s="57" t="s">
        <v>42</v>
      </c>
      <c r="J637" s="57" t="s">
        <v>3302</v>
      </c>
      <c r="K637" s="57" t="s">
        <v>87</v>
      </c>
      <c r="L637" s="53" t="str">
        <f t="shared" si="48"/>
        <v>NÃO</v>
      </c>
      <c r="M637" s="57" t="s">
        <v>72</v>
      </c>
      <c r="N637" s="57" t="s">
        <v>89</v>
      </c>
      <c r="O637" s="57" t="s">
        <v>72</v>
      </c>
      <c r="P637" s="57" t="s">
        <v>72</v>
      </c>
      <c r="Q637" s="57" t="s">
        <v>3305</v>
      </c>
      <c r="R637" s="57" t="s">
        <v>3306</v>
      </c>
      <c r="S637" s="61" t="str">
        <f t="shared" ca="1" si="49"/>
        <v>EXECUTADA</v>
      </c>
    </row>
    <row r="638" spans="1:19" s="55" customFormat="1" ht="18" x14ac:dyDescent="0.25">
      <c r="A638" s="269" t="s">
        <v>3288</v>
      </c>
      <c r="B638" s="57" t="s">
        <v>27</v>
      </c>
      <c r="C638" s="268" t="s">
        <v>3294</v>
      </c>
      <c r="D638" s="260" t="s">
        <v>868</v>
      </c>
      <c r="E638" s="57">
        <v>34996887707</v>
      </c>
      <c r="F638" s="59">
        <v>46191</v>
      </c>
      <c r="G638" s="51" t="str">
        <f t="shared" si="47"/>
        <v>Qui</v>
      </c>
      <c r="H638" s="60">
        <v>0.41666666666666669</v>
      </c>
      <c r="I638" s="57" t="s">
        <v>42</v>
      </c>
      <c r="J638" s="57" t="s">
        <v>3303</v>
      </c>
      <c r="K638" s="57" t="s">
        <v>146</v>
      </c>
      <c r="L638" s="53" t="str">
        <f t="shared" si="48"/>
        <v>NÃO</v>
      </c>
      <c r="M638" s="57" t="s">
        <v>72</v>
      </c>
      <c r="N638" s="57" t="s">
        <v>89</v>
      </c>
      <c r="O638" s="57" t="s">
        <v>72</v>
      </c>
      <c r="P638" s="57" t="s">
        <v>72</v>
      </c>
      <c r="Q638" s="57" t="s">
        <v>3304</v>
      </c>
      <c r="R638" s="57" t="s">
        <v>3307</v>
      </c>
      <c r="S638" s="61" t="str">
        <f t="shared" ca="1" si="49"/>
        <v>EXECUTADA</v>
      </c>
    </row>
    <row r="639" spans="1:19" s="81" customFormat="1" ht="18" x14ac:dyDescent="0.25">
      <c r="A639" s="292" t="s">
        <v>3290</v>
      </c>
      <c r="B639" s="38" t="s">
        <v>30</v>
      </c>
      <c r="C639" s="293" t="s">
        <v>3200</v>
      </c>
      <c r="D639" s="40" t="s">
        <v>3326</v>
      </c>
      <c r="E639" s="38">
        <v>34992391020</v>
      </c>
      <c r="F639" s="41">
        <v>46191</v>
      </c>
      <c r="G639" s="42" t="str">
        <f>PROPER(TEXT(F639,"DDD"))</f>
        <v>Qui</v>
      </c>
      <c r="H639" s="43">
        <v>0.54166666666666663</v>
      </c>
      <c r="I639" s="38" t="s">
        <v>46</v>
      </c>
      <c r="J639" s="38" t="s">
        <v>3285</v>
      </c>
      <c r="K639" s="38"/>
      <c r="L639" s="40" t="str">
        <f>IF(B639="MUD END","NÃO","SIM")</f>
        <v>SIM</v>
      </c>
      <c r="M639" s="38" t="s">
        <v>1215</v>
      </c>
      <c r="N639" s="38"/>
      <c r="O639" s="38"/>
      <c r="P639" s="38"/>
      <c r="Q639" s="38"/>
      <c r="R639" s="38"/>
      <c r="S639" s="44" t="str">
        <f ca="1">IF(F639&lt;TODAY(),"EXECUTADA",IF(F639=TODAY(),"EM EXECUÇÃO",IF(F639=TODAY()+1,"VALIDAR HOJE",IF(F639&gt;TODAY()+1,"VALIDAR DEPOIS","-"))))</f>
        <v>EXECUTADA</v>
      </c>
    </row>
    <row r="640" spans="1:19" s="55" customFormat="1" ht="18" x14ac:dyDescent="0.25">
      <c r="A640" s="269" t="s">
        <v>3225</v>
      </c>
      <c r="B640" s="57" t="s">
        <v>30</v>
      </c>
      <c r="C640" s="268" t="s">
        <v>3234</v>
      </c>
      <c r="D640" s="260" t="s">
        <v>868</v>
      </c>
      <c r="E640" s="57">
        <v>34991433148</v>
      </c>
      <c r="F640" s="298">
        <v>46191</v>
      </c>
      <c r="G640" s="51" t="str">
        <f t="shared" ref="G640" si="50">PROPER(TEXT(F640,"DDD"))</f>
        <v>Qui</v>
      </c>
      <c r="H640" s="299">
        <v>0.54166666666666663</v>
      </c>
      <c r="I640" s="57" t="s">
        <v>46</v>
      </c>
      <c r="J640" s="57" t="s">
        <v>3256</v>
      </c>
      <c r="K640" s="57" t="s">
        <v>146</v>
      </c>
      <c r="L640" s="53" t="str">
        <f t="shared" ref="L640" si="51">IF(B640="MUD END","NÃO","SIM")</f>
        <v>SIM</v>
      </c>
      <c r="M640" s="57" t="s">
        <v>3257</v>
      </c>
      <c r="N640" s="57" t="s">
        <v>89</v>
      </c>
      <c r="O640" s="57" t="s">
        <v>72</v>
      </c>
      <c r="P640" s="57" t="s">
        <v>72</v>
      </c>
      <c r="Q640" s="57" t="s">
        <v>3258</v>
      </c>
      <c r="R640" s="57" t="s">
        <v>3259</v>
      </c>
      <c r="S640" s="61" t="str">
        <f t="shared" ref="S640" ca="1" si="52">IF(F640&lt;TODAY(),"EXECUTADA",IF(F640=TODAY(),"EM EXECUÇÃO",IF(F640=TODAY()+1,"VALIDAR HOJE",IF(F640&gt;TODAY()+1,"VALIDAR DEPOIS","-"))))</f>
        <v>EXECUTADA</v>
      </c>
    </row>
    <row r="641" spans="1:19" s="81" customFormat="1" ht="18" x14ac:dyDescent="0.25">
      <c r="A641" s="292" t="s">
        <v>3289</v>
      </c>
      <c r="B641" s="38"/>
      <c r="C641" s="293" t="s">
        <v>3295</v>
      </c>
      <c r="D641" s="40" t="s">
        <v>3325</v>
      </c>
      <c r="E641" s="38"/>
      <c r="F641" s="41">
        <v>46191</v>
      </c>
      <c r="G641" s="42" t="str">
        <f t="shared" si="47"/>
        <v>Qui</v>
      </c>
      <c r="H641" s="43">
        <v>0.54166666666666663</v>
      </c>
      <c r="I641" s="38"/>
      <c r="J641" s="38"/>
      <c r="K641" s="38"/>
      <c r="L641" s="40" t="str">
        <f t="shared" si="48"/>
        <v>SIM</v>
      </c>
      <c r="M641" s="38"/>
      <c r="N641" s="38"/>
      <c r="O641" s="38"/>
      <c r="P641" s="38"/>
      <c r="Q641" s="38"/>
      <c r="R641" s="38"/>
      <c r="S641" s="44" t="str">
        <f t="shared" ca="1" si="49"/>
        <v>EXECUTADA</v>
      </c>
    </row>
    <row r="642" spans="1:19" s="55" customFormat="1" ht="18" x14ac:dyDescent="0.25">
      <c r="A642" s="269" t="s">
        <v>3291</v>
      </c>
      <c r="B642" s="57" t="s">
        <v>30</v>
      </c>
      <c r="C642" s="268" t="s">
        <v>3296</v>
      </c>
      <c r="D642" s="260" t="s">
        <v>868</v>
      </c>
      <c r="E642" s="57">
        <v>64984440397</v>
      </c>
      <c r="F642" s="59">
        <v>46191</v>
      </c>
      <c r="G642" s="51" t="str">
        <f t="shared" si="47"/>
        <v>Qui</v>
      </c>
      <c r="H642" s="60">
        <v>0.625</v>
      </c>
      <c r="I642" s="57" t="s">
        <v>46</v>
      </c>
      <c r="J642" s="57" t="s">
        <v>3309</v>
      </c>
      <c r="K642" s="57" t="s">
        <v>107</v>
      </c>
      <c r="L642" s="53" t="str">
        <f t="shared" si="48"/>
        <v>SIM</v>
      </c>
      <c r="M642" s="57" t="s">
        <v>3308</v>
      </c>
      <c r="N642" s="57" t="s">
        <v>89</v>
      </c>
      <c r="O642" s="57" t="s">
        <v>72</v>
      </c>
      <c r="P642" s="57" t="s">
        <v>72</v>
      </c>
      <c r="Q642" s="57" t="s">
        <v>3311</v>
      </c>
      <c r="R642" s="57" t="s">
        <v>3310</v>
      </c>
      <c r="S642" s="61" t="str">
        <f t="shared" ca="1" si="49"/>
        <v>EXECUTADA</v>
      </c>
    </row>
    <row r="643" spans="1:19" s="55" customFormat="1" ht="18" x14ac:dyDescent="0.25">
      <c r="A643" s="269" t="s">
        <v>3312</v>
      </c>
      <c r="B643" s="57" t="s">
        <v>30</v>
      </c>
      <c r="C643" s="268" t="s">
        <v>3297</v>
      </c>
      <c r="D643" s="260" t="s">
        <v>868</v>
      </c>
      <c r="E643" s="57">
        <v>34998927869</v>
      </c>
      <c r="F643" s="59">
        <v>46191</v>
      </c>
      <c r="G643" s="51" t="str">
        <f t="shared" si="47"/>
        <v>Qui</v>
      </c>
      <c r="H643" s="60">
        <v>0.625</v>
      </c>
      <c r="I643" s="57" t="s">
        <v>46</v>
      </c>
      <c r="J643" s="57" t="s">
        <v>3313</v>
      </c>
      <c r="K643" s="57" t="s">
        <v>100</v>
      </c>
      <c r="L643" s="53" t="str">
        <f t="shared" si="48"/>
        <v>SIM</v>
      </c>
      <c r="M643" s="57" t="s">
        <v>474</v>
      </c>
      <c r="N643" s="57" t="s">
        <v>79</v>
      </c>
      <c r="O643" s="57" t="s">
        <v>3316</v>
      </c>
      <c r="P643" s="57">
        <v>34991213214</v>
      </c>
      <c r="Q643" s="57" t="s">
        <v>3314</v>
      </c>
      <c r="R643" s="57" t="s">
        <v>3315</v>
      </c>
      <c r="S643" s="61" t="str">
        <f t="shared" ca="1" si="49"/>
        <v>EXECUTADA</v>
      </c>
    </row>
    <row r="644" spans="1:19" s="55" customFormat="1" ht="18" x14ac:dyDescent="0.25">
      <c r="A644" s="151" t="s">
        <v>2352</v>
      </c>
      <c r="B644" s="55" t="s">
        <v>27</v>
      </c>
      <c r="C644" s="268" t="s">
        <v>2359</v>
      </c>
      <c r="D644" s="260" t="s">
        <v>3324</v>
      </c>
      <c r="E644" s="57" t="s">
        <v>2374</v>
      </c>
      <c r="F644" s="59">
        <v>46191</v>
      </c>
      <c r="G644" s="114" t="str">
        <f t="shared" si="47"/>
        <v>Qui</v>
      </c>
      <c r="H644" s="60">
        <v>0.33333333333333331</v>
      </c>
      <c r="I644" s="57" t="s">
        <v>42</v>
      </c>
      <c r="J644" s="57" t="s">
        <v>2375</v>
      </c>
      <c r="K644" s="57" t="s">
        <v>71</v>
      </c>
      <c r="L644" s="53" t="str">
        <f t="shared" si="48"/>
        <v>NÃO</v>
      </c>
      <c r="M644" s="57" t="s">
        <v>72</v>
      </c>
      <c r="N644" s="57" t="s">
        <v>89</v>
      </c>
      <c r="O644" s="57" t="s">
        <v>72</v>
      </c>
      <c r="P644" s="57" t="s">
        <v>72</v>
      </c>
      <c r="Q644" s="57" t="s">
        <v>3317</v>
      </c>
      <c r="R644" s="57" t="s">
        <v>3318</v>
      </c>
      <c r="S644" s="61" t="str">
        <f t="shared" ca="1" si="49"/>
        <v>EXECUTADA</v>
      </c>
    </row>
    <row r="645" spans="1:19" s="55" customFormat="1" ht="18" x14ac:dyDescent="0.25">
      <c r="A645" s="269" t="s">
        <v>3319</v>
      </c>
      <c r="B645" s="57" t="s">
        <v>27</v>
      </c>
      <c r="C645" s="268" t="s">
        <v>3298</v>
      </c>
      <c r="D645" s="260" t="s">
        <v>868</v>
      </c>
      <c r="E645" s="57">
        <v>34992772364</v>
      </c>
      <c r="F645" s="59">
        <v>46191</v>
      </c>
      <c r="G645" s="51" t="str">
        <f t="shared" si="47"/>
        <v>Qui</v>
      </c>
      <c r="H645" s="60">
        <v>0.70833333333333337</v>
      </c>
      <c r="I645" s="57" t="s">
        <v>35</v>
      </c>
      <c r="J645" s="57" t="s">
        <v>3320</v>
      </c>
      <c r="K645" s="57" t="s">
        <v>71</v>
      </c>
      <c r="L645" s="53" t="str">
        <f t="shared" si="48"/>
        <v>NÃO</v>
      </c>
      <c r="M645" s="57" t="s">
        <v>72</v>
      </c>
      <c r="N645" s="57" t="s">
        <v>89</v>
      </c>
      <c r="O645" s="57" t="s">
        <v>72</v>
      </c>
      <c r="P645" s="57" t="s">
        <v>72</v>
      </c>
      <c r="Q645" s="57" t="s">
        <v>3321</v>
      </c>
      <c r="R645" s="57" t="s">
        <v>3322</v>
      </c>
      <c r="S645" s="61" t="str">
        <f t="shared" ca="1" si="49"/>
        <v>EXECUTADA</v>
      </c>
    </row>
    <row r="646" spans="1:19" s="55" customFormat="1" ht="18" x14ac:dyDescent="0.25">
      <c r="A646" s="269" t="s">
        <v>3327</v>
      </c>
      <c r="B646" s="57" t="s">
        <v>27</v>
      </c>
      <c r="C646" s="268" t="s">
        <v>3339</v>
      </c>
      <c r="D646" s="260" t="s">
        <v>868</v>
      </c>
      <c r="E646" s="57">
        <v>34992326888</v>
      </c>
      <c r="F646" s="59">
        <v>46192</v>
      </c>
      <c r="G646" s="51" t="str">
        <f t="shared" si="47"/>
        <v>Sex</v>
      </c>
      <c r="H646" s="60">
        <v>0.33333333333333331</v>
      </c>
      <c r="I646" s="57" t="s">
        <v>38</v>
      </c>
      <c r="J646" s="57" t="s">
        <v>3351</v>
      </c>
      <c r="K646" s="57" t="s">
        <v>132</v>
      </c>
      <c r="L646" s="53" t="str">
        <f t="shared" si="48"/>
        <v>NÃO</v>
      </c>
      <c r="M646" s="57" t="s">
        <v>72</v>
      </c>
      <c r="N646" s="57" t="s">
        <v>89</v>
      </c>
      <c r="O646" s="57" t="s">
        <v>72</v>
      </c>
      <c r="P646" s="57" t="s">
        <v>72</v>
      </c>
      <c r="Q646" s="57" t="s">
        <v>3352</v>
      </c>
      <c r="R646" s="57" t="s">
        <v>3353</v>
      </c>
      <c r="S646" s="61" t="str">
        <f t="shared" ca="1" si="49"/>
        <v>EM EXECUÇÃO</v>
      </c>
    </row>
    <row r="647" spans="1:19" s="55" customFormat="1" ht="18" x14ac:dyDescent="0.25">
      <c r="A647" s="269" t="s">
        <v>3328</v>
      </c>
      <c r="B647" s="57" t="s">
        <v>30</v>
      </c>
      <c r="C647" s="268" t="s">
        <v>3340</v>
      </c>
      <c r="D647" s="260" t="s">
        <v>868</v>
      </c>
      <c r="E647" s="57">
        <v>34998239964</v>
      </c>
      <c r="F647" s="59">
        <v>46192</v>
      </c>
      <c r="G647" s="51" t="str">
        <f t="shared" si="47"/>
        <v>Sex</v>
      </c>
      <c r="H647" s="60">
        <v>0.33333333333333331</v>
      </c>
      <c r="I647" s="57" t="s">
        <v>46</v>
      </c>
      <c r="J647" s="57" t="s">
        <v>3354</v>
      </c>
      <c r="K647" s="57" t="s">
        <v>146</v>
      </c>
      <c r="L647" s="53" t="str">
        <f t="shared" si="48"/>
        <v>SIM</v>
      </c>
      <c r="M647" s="57" t="s">
        <v>1072</v>
      </c>
      <c r="N647" s="57" t="s">
        <v>89</v>
      </c>
      <c r="O647" s="57" t="s">
        <v>72</v>
      </c>
      <c r="P647" s="57" t="s">
        <v>72</v>
      </c>
      <c r="Q647" s="57" t="s">
        <v>3355</v>
      </c>
      <c r="R647" s="57" t="s">
        <v>3356</v>
      </c>
      <c r="S647" s="61" t="str">
        <f t="shared" ca="1" si="49"/>
        <v>EM EXECUÇÃO</v>
      </c>
    </row>
    <row r="648" spans="1:19" s="55" customFormat="1" ht="18" x14ac:dyDescent="0.25">
      <c r="A648" s="269" t="s">
        <v>3329</v>
      </c>
      <c r="B648" s="57" t="s">
        <v>30</v>
      </c>
      <c r="C648" s="268" t="s">
        <v>3345</v>
      </c>
      <c r="D648" s="260" t="s">
        <v>868</v>
      </c>
      <c r="E648" s="57">
        <v>34991227875</v>
      </c>
      <c r="F648" s="59">
        <v>46192</v>
      </c>
      <c r="G648" s="51" t="str">
        <f t="shared" si="47"/>
        <v>Sex</v>
      </c>
      <c r="H648" s="60">
        <v>0.33333333333333331</v>
      </c>
      <c r="I648" s="57" t="s">
        <v>46</v>
      </c>
      <c r="J648" s="57" t="s">
        <v>3359</v>
      </c>
      <c r="K648" s="57" t="s">
        <v>87</v>
      </c>
      <c r="L648" s="53" t="str">
        <f t="shared" si="48"/>
        <v>SIM</v>
      </c>
      <c r="M648" s="57" t="s">
        <v>3357</v>
      </c>
      <c r="N648" s="57" t="s">
        <v>89</v>
      </c>
      <c r="O648" s="57" t="s">
        <v>72</v>
      </c>
      <c r="P648" s="57" t="s">
        <v>72</v>
      </c>
      <c r="Q648" s="57" t="s">
        <v>3358</v>
      </c>
      <c r="R648" s="57" t="s">
        <v>3360</v>
      </c>
      <c r="S648" s="61" t="str">
        <f t="shared" ca="1" si="49"/>
        <v>EM EXECUÇÃO</v>
      </c>
    </row>
    <row r="649" spans="1:19" s="55" customFormat="1" ht="18" x14ac:dyDescent="0.25">
      <c r="A649" s="269" t="s">
        <v>3330</v>
      </c>
      <c r="B649" s="57" t="s">
        <v>27</v>
      </c>
      <c r="C649" s="268" t="s">
        <v>3341</v>
      </c>
      <c r="D649" s="53" t="s">
        <v>868</v>
      </c>
      <c r="E649" s="57">
        <v>34999994443</v>
      </c>
      <c r="F649" s="59">
        <v>46192</v>
      </c>
      <c r="G649" s="51" t="str">
        <f t="shared" si="47"/>
        <v>Sex</v>
      </c>
      <c r="H649" s="60">
        <v>0.41666666666666669</v>
      </c>
      <c r="I649" s="57" t="s">
        <v>38</v>
      </c>
      <c r="J649" s="57" t="s">
        <v>3361</v>
      </c>
      <c r="K649" s="57" t="s">
        <v>107</v>
      </c>
      <c r="L649" s="53" t="str">
        <f t="shared" si="48"/>
        <v>NÃO</v>
      </c>
      <c r="M649" s="57" t="s">
        <v>72</v>
      </c>
      <c r="N649" s="57" t="s">
        <v>89</v>
      </c>
      <c r="O649" s="57" t="s">
        <v>72</v>
      </c>
      <c r="P649" s="57" t="s">
        <v>72</v>
      </c>
      <c r="Q649" s="57" t="s">
        <v>3362</v>
      </c>
      <c r="R649" s="57" t="s">
        <v>3363</v>
      </c>
      <c r="S649" s="61" t="str">
        <f t="shared" ca="1" si="49"/>
        <v>EM EXECUÇÃO</v>
      </c>
    </row>
    <row r="650" spans="1:19" s="55" customFormat="1" ht="18" x14ac:dyDescent="0.25">
      <c r="A650" s="269" t="s">
        <v>3331</v>
      </c>
      <c r="B650" s="57" t="s">
        <v>27</v>
      </c>
      <c r="C650" s="268" t="s">
        <v>3343</v>
      </c>
      <c r="D650" s="53" t="s">
        <v>868</v>
      </c>
      <c r="E650" s="57">
        <v>34997167518</v>
      </c>
      <c r="F650" s="59">
        <v>46192</v>
      </c>
      <c r="G650" s="51" t="str">
        <f t="shared" si="47"/>
        <v>Sex</v>
      </c>
      <c r="H650" s="60">
        <v>0.41666666666666669</v>
      </c>
      <c r="I650" s="57" t="s">
        <v>42</v>
      </c>
      <c r="J650" s="57" t="s">
        <v>3364</v>
      </c>
      <c r="K650" s="57" t="s">
        <v>107</v>
      </c>
      <c r="L650" s="53" t="str">
        <f t="shared" si="48"/>
        <v>NÃO</v>
      </c>
      <c r="M650" s="57" t="s">
        <v>72</v>
      </c>
      <c r="N650" s="57" t="s">
        <v>79</v>
      </c>
      <c r="O650" s="57" t="s">
        <v>3366</v>
      </c>
      <c r="P650" s="57">
        <v>34996964701</v>
      </c>
      <c r="Q650" s="57" t="s">
        <v>3365</v>
      </c>
      <c r="R650" s="57" t="s">
        <v>3393</v>
      </c>
      <c r="S650" s="61" t="str">
        <f t="shared" ca="1" si="49"/>
        <v>EM EXECUÇÃO</v>
      </c>
    </row>
    <row r="651" spans="1:19" s="55" customFormat="1" ht="18" x14ac:dyDescent="0.25">
      <c r="A651" s="269" t="s">
        <v>3332</v>
      </c>
      <c r="B651" s="57" t="s">
        <v>30</v>
      </c>
      <c r="C651" s="268" t="s">
        <v>3344</v>
      </c>
      <c r="D651" s="53" t="s">
        <v>868</v>
      </c>
      <c r="E651" s="57">
        <v>38998622357</v>
      </c>
      <c r="F651" s="59">
        <v>46192</v>
      </c>
      <c r="G651" s="51" t="str">
        <f t="shared" si="47"/>
        <v>Sex</v>
      </c>
      <c r="H651" s="60">
        <v>0.41666666666666669</v>
      </c>
      <c r="I651" s="57" t="s">
        <v>46</v>
      </c>
      <c r="J651" s="57" t="s">
        <v>3370</v>
      </c>
      <c r="K651" s="57" t="s">
        <v>139</v>
      </c>
      <c r="L651" s="53" t="str">
        <f t="shared" si="48"/>
        <v>SIM</v>
      </c>
      <c r="M651" s="57" t="s">
        <v>3367</v>
      </c>
      <c r="N651" s="57" t="s">
        <v>89</v>
      </c>
      <c r="O651" s="57" t="s">
        <v>72</v>
      </c>
      <c r="P651" s="57" t="s">
        <v>72</v>
      </c>
      <c r="Q651" s="57" t="s">
        <v>3368</v>
      </c>
      <c r="R651" s="57" t="s">
        <v>3369</v>
      </c>
      <c r="S651" s="61" t="str">
        <f t="shared" ca="1" si="49"/>
        <v>EM EXECUÇÃO</v>
      </c>
    </row>
    <row r="652" spans="1:19" s="55" customFormat="1" ht="18" x14ac:dyDescent="0.25">
      <c r="A652" s="269" t="s">
        <v>3333</v>
      </c>
      <c r="B652" s="57" t="s">
        <v>30</v>
      </c>
      <c r="C652" s="268" t="s">
        <v>3342</v>
      </c>
      <c r="D652" s="53" t="s">
        <v>868</v>
      </c>
      <c r="E652" s="57">
        <v>34984265622</v>
      </c>
      <c r="F652" s="59">
        <v>46192</v>
      </c>
      <c r="G652" s="51" t="str">
        <f t="shared" si="47"/>
        <v>Sex</v>
      </c>
      <c r="H652" s="60">
        <v>0.54166666666666663</v>
      </c>
      <c r="I652" s="57" t="s">
        <v>46</v>
      </c>
      <c r="J652" s="57" t="s">
        <v>3371</v>
      </c>
      <c r="K652" s="57" t="s">
        <v>71</v>
      </c>
      <c r="L652" s="53" t="str">
        <f t="shared" si="48"/>
        <v>SIM</v>
      </c>
      <c r="M652" s="57" t="s">
        <v>1570</v>
      </c>
      <c r="N652" s="57" t="s">
        <v>89</v>
      </c>
      <c r="O652" s="57" t="s">
        <v>72</v>
      </c>
      <c r="P652" s="57" t="s">
        <v>72</v>
      </c>
      <c r="Q652" s="57" t="s">
        <v>3372</v>
      </c>
      <c r="R652" s="57" t="s">
        <v>3373</v>
      </c>
      <c r="S652" s="61" t="str">
        <f t="shared" ca="1" si="49"/>
        <v>EM EXECUÇÃO</v>
      </c>
    </row>
    <row r="653" spans="1:19" s="55" customFormat="1" ht="18" x14ac:dyDescent="0.25">
      <c r="A653" s="151" t="s">
        <v>2353</v>
      </c>
      <c r="B653" s="57" t="s">
        <v>27</v>
      </c>
      <c r="C653" s="268" t="s">
        <v>2361</v>
      </c>
      <c r="D653" s="260" t="s">
        <v>868</v>
      </c>
      <c r="E653" s="57">
        <v>34998797415</v>
      </c>
      <c r="F653" s="59">
        <v>46192</v>
      </c>
      <c r="G653" s="51" t="str">
        <f>PROPER(TEXT(F653,"DDD"))</f>
        <v>Sex</v>
      </c>
      <c r="H653" s="60">
        <v>0.625</v>
      </c>
      <c r="I653" s="57" t="s">
        <v>35</v>
      </c>
      <c r="J653" s="57" t="s">
        <v>2379</v>
      </c>
      <c r="K653" s="57" t="s">
        <v>87</v>
      </c>
      <c r="L653" s="53" t="str">
        <f>IF(B653="MUD END","NÃO","SIM")</f>
        <v>NÃO</v>
      </c>
      <c r="M653" s="57" t="s">
        <v>72</v>
      </c>
      <c r="N653" s="57" t="s">
        <v>89</v>
      </c>
      <c r="O653" s="57" t="s">
        <v>72</v>
      </c>
      <c r="P653" s="57" t="s">
        <v>72</v>
      </c>
      <c r="Q653" s="57" t="s">
        <v>2380</v>
      </c>
      <c r="R653" s="57" t="s">
        <v>2381</v>
      </c>
      <c r="S653" s="61" t="str">
        <f ca="1">IF(F653&lt;TODAY(),"EXECUTADA",IF(F653=TODAY(),"EM EXECUÇÃO",IF(F653=TODAY()+1,"VALIDAR HOJE",IF(F653&gt;TODAY()+1,"VALIDAR DEPOIS","-"))))</f>
        <v>EM EXECUÇÃO</v>
      </c>
    </row>
    <row r="654" spans="1:19" s="55" customFormat="1" ht="18" x14ac:dyDescent="0.25">
      <c r="A654" s="269" t="s">
        <v>3334</v>
      </c>
      <c r="B654" s="57" t="s">
        <v>30</v>
      </c>
      <c r="C654" s="268" t="s">
        <v>3346</v>
      </c>
      <c r="D654" s="260" t="s">
        <v>868</v>
      </c>
      <c r="E654" s="57">
        <v>34991047446</v>
      </c>
      <c r="F654" s="59">
        <v>46192</v>
      </c>
      <c r="G654" s="51" t="str">
        <f t="shared" si="47"/>
        <v>Sex</v>
      </c>
      <c r="H654" s="60">
        <v>0.625</v>
      </c>
      <c r="I654" s="57" t="s">
        <v>46</v>
      </c>
      <c r="J654" s="57" t="s">
        <v>3374</v>
      </c>
      <c r="K654" s="57" t="s">
        <v>71</v>
      </c>
      <c r="L654" s="53" t="str">
        <f t="shared" si="48"/>
        <v>SIM</v>
      </c>
      <c r="M654" s="57" t="s">
        <v>3375</v>
      </c>
      <c r="N654" s="57" t="s">
        <v>89</v>
      </c>
      <c r="O654" s="57" t="s">
        <v>72</v>
      </c>
      <c r="P654" s="57" t="s">
        <v>72</v>
      </c>
      <c r="Q654" s="57" t="s">
        <v>3376</v>
      </c>
      <c r="R654" s="57" t="s">
        <v>3377</v>
      </c>
      <c r="S654" s="61" t="str">
        <f t="shared" ca="1" si="49"/>
        <v>EM EXECUÇÃO</v>
      </c>
    </row>
    <row r="655" spans="1:19" s="55" customFormat="1" ht="18" x14ac:dyDescent="0.25">
      <c r="A655" s="269" t="s">
        <v>3335</v>
      </c>
      <c r="B655" s="57" t="s">
        <v>27</v>
      </c>
      <c r="C655" s="268" t="s">
        <v>3347</v>
      </c>
      <c r="D655" s="260" t="s">
        <v>868</v>
      </c>
      <c r="E655" s="57">
        <v>34998613944</v>
      </c>
      <c r="F655" s="59">
        <v>46192</v>
      </c>
      <c r="G655" s="51" t="str">
        <f t="shared" si="47"/>
        <v>Sex</v>
      </c>
      <c r="H655" s="60">
        <v>0.70833333333333337</v>
      </c>
      <c r="I655" s="57" t="s">
        <v>42</v>
      </c>
      <c r="J655" s="57" t="s">
        <v>3378</v>
      </c>
      <c r="K655" s="57" t="s">
        <v>87</v>
      </c>
      <c r="L655" s="53" t="str">
        <f t="shared" si="48"/>
        <v>NÃO</v>
      </c>
      <c r="M655" s="57" t="s">
        <v>72</v>
      </c>
      <c r="N655" s="57" t="s">
        <v>89</v>
      </c>
      <c r="O655" s="57" t="s">
        <v>72</v>
      </c>
      <c r="P655" s="57" t="s">
        <v>72</v>
      </c>
      <c r="Q655" s="57" t="s">
        <v>3379</v>
      </c>
      <c r="R655" s="57" t="s">
        <v>3380</v>
      </c>
      <c r="S655" s="61" t="str">
        <f t="shared" ca="1" si="49"/>
        <v>EM EXECUÇÃO</v>
      </c>
    </row>
    <row r="656" spans="1:19" s="55" customFormat="1" ht="18" x14ac:dyDescent="0.25">
      <c r="A656" s="269" t="s">
        <v>3336</v>
      </c>
      <c r="B656" s="57" t="s">
        <v>30</v>
      </c>
      <c r="C656" s="268" t="s">
        <v>3348</v>
      </c>
      <c r="D656" s="260" t="s">
        <v>868</v>
      </c>
      <c r="E656" s="57">
        <v>34991336324</v>
      </c>
      <c r="F656" s="59">
        <v>46192</v>
      </c>
      <c r="G656" s="51" t="str">
        <f t="shared" si="47"/>
        <v>Sex</v>
      </c>
      <c r="H656" s="60">
        <v>0.70833333333333337</v>
      </c>
      <c r="I656" s="57" t="s">
        <v>46</v>
      </c>
      <c r="J656" s="57" t="s">
        <v>3381</v>
      </c>
      <c r="K656" s="57"/>
      <c r="L656" s="53" t="str">
        <f t="shared" si="48"/>
        <v>SIM</v>
      </c>
      <c r="M656" s="57" t="s">
        <v>3382</v>
      </c>
      <c r="N656" s="57" t="s">
        <v>79</v>
      </c>
      <c r="O656" s="57" t="s">
        <v>3383</v>
      </c>
      <c r="P656" s="57">
        <v>34996767606</v>
      </c>
      <c r="Q656" s="57" t="s">
        <v>3384</v>
      </c>
      <c r="R656" s="57" t="s">
        <v>3385</v>
      </c>
      <c r="S656" s="61" t="str">
        <f t="shared" ca="1" si="49"/>
        <v>EM EXECUÇÃO</v>
      </c>
    </row>
    <row r="657" spans="1:19" s="55" customFormat="1" ht="18" x14ac:dyDescent="0.25">
      <c r="A657" s="269" t="s">
        <v>3337</v>
      </c>
      <c r="B657" s="57" t="s">
        <v>30</v>
      </c>
      <c r="C657" s="268" t="s">
        <v>3349</v>
      </c>
      <c r="D657" s="260" t="s">
        <v>868</v>
      </c>
      <c r="E657" s="57">
        <v>34984256939</v>
      </c>
      <c r="F657" s="59">
        <v>46192</v>
      </c>
      <c r="G657" s="51" t="str">
        <f t="shared" si="47"/>
        <v>Sex</v>
      </c>
      <c r="H657" s="60">
        <v>0.70833333333333337</v>
      </c>
      <c r="I657" s="57" t="s">
        <v>46</v>
      </c>
      <c r="J657" s="57" t="s">
        <v>3386</v>
      </c>
      <c r="K657" s="57" t="s">
        <v>71</v>
      </c>
      <c r="L657" s="53" t="str">
        <f t="shared" si="48"/>
        <v>SIM</v>
      </c>
      <c r="M657" s="57" t="s">
        <v>1872</v>
      </c>
      <c r="N657" s="57" t="s">
        <v>89</v>
      </c>
      <c r="O657" s="57" t="s">
        <v>72</v>
      </c>
      <c r="P657" s="57" t="s">
        <v>72</v>
      </c>
      <c r="Q657" s="57" t="s">
        <v>3387</v>
      </c>
      <c r="R657" s="57" t="s">
        <v>3388</v>
      </c>
      <c r="S657" s="61" t="str">
        <f t="shared" ca="1" si="49"/>
        <v>EM EXECUÇÃO</v>
      </c>
    </row>
    <row r="658" spans="1:19" s="55" customFormat="1" ht="18" x14ac:dyDescent="0.25">
      <c r="A658" s="269" t="s">
        <v>3338</v>
      </c>
      <c r="B658" s="57" t="s">
        <v>30</v>
      </c>
      <c r="C658" s="268" t="s">
        <v>3350</v>
      </c>
      <c r="D658" s="260" t="s">
        <v>868</v>
      </c>
      <c r="E658" s="57">
        <v>34992449815</v>
      </c>
      <c r="F658" s="59">
        <v>46192</v>
      </c>
      <c r="G658" s="51" t="str">
        <f t="shared" si="47"/>
        <v>Sex</v>
      </c>
      <c r="H658" s="60">
        <v>0.70833333333333337</v>
      </c>
      <c r="I658" s="57" t="s">
        <v>46</v>
      </c>
      <c r="J658" s="57" t="s">
        <v>3391</v>
      </c>
      <c r="K658" s="57" t="s">
        <v>107</v>
      </c>
      <c r="L658" s="53" t="str">
        <f t="shared" si="48"/>
        <v>SIM</v>
      </c>
      <c r="M658" s="57" t="s">
        <v>3389</v>
      </c>
      <c r="N658" s="57" t="s">
        <v>89</v>
      </c>
      <c r="O658" s="57" t="s">
        <v>72</v>
      </c>
      <c r="P658" s="57" t="s">
        <v>72</v>
      </c>
      <c r="Q658" s="57" t="s">
        <v>3390</v>
      </c>
      <c r="R658" s="57" t="s">
        <v>3392</v>
      </c>
      <c r="S658" s="61" t="str">
        <f t="shared" ca="1" si="49"/>
        <v>EM EXECUÇÃO</v>
      </c>
    </row>
    <row r="659" spans="1:19" s="55" customFormat="1" ht="18" x14ac:dyDescent="0.25">
      <c r="A659" s="297" t="s">
        <v>3162</v>
      </c>
      <c r="B659" s="57" t="s">
        <v>27</v>
      </c>
      <c r="C659" s="268" t="s">
        <v>3163</v>
      </c>
      <c r="D659" s="260" t="s">
        <v>868</v>
      </c>
      <c r="E659" s="57">
        <v>11915133968</v>
      </c>
      <c r="F659" s="59">
        <v>46192</v>
      </c>
      <c r="G659" s="51" t="str">
        <f t="shared" si="47"/>
        <v>Sex</v>
      </c>
      <c r="H659" s="60">
        <v>0.54166666666666663</v>
      </c>
      <c r="I659" s="57" t="s">
        <v>42</v>
      </c>
      <c r="J659" s="57" t="s">
        <v>3189</v>
      </c>
      <c r="K659" s="57" t="s">
        <v>71</v>
      </c>
      <c r="L659" s="53" t="str">
        <f t="shared" si="48"/>
        <v>NÃO</v>
      </c>
      <c r="M659" s="57" t="s">
        <v>72</v>
      </c>
      <c r="N659" s="57" t="s">
        <v>89</v>
      </c>
      <c r="O659" s="57" t="s">
        <v>72</v>
      </c>
      <c r="P659" s="57" t="s">
        <v>72</v>
      </c>
      <c r="Q659" s="57" t="s">
        <v>3190</v>
      </c>
      <c r="R659" s="57" t="s">
        <v>3191</v>
      </c>
      <c r="S659" s="61" t="str">
        <f t="shared" ca="1" si="49"/>
        <v>EM EXECUÇÃO</v>
      </c>
    </row>
    <row r="660" spans="1:19" s="343" customFormat="1" ht="198" x14ac:dyDescent="0.25">
      <c r="A660" s="223" t="s">
        <v>3395</v>
      </c>
      <c r="B660" s="104" t="s">
        <v>30</v>
      </c>
      <c r="C660" s="75" t="s">
        <v>3402</v>
      </c>
      <c r="D660" s="103" t="s">
        <v>208</v>
      </c>
      <c r="E660" s="104">
        <v>34991228698</v>
      </c>
      <c r="F660" s="340">
        <v>46195</v>
      </c>
      <c r="G660" s="341" t="str">
        <f t="shared" si="47"/>
        <v>Seg</v>
      </c>
      <c r="H660" s="342">
        <v>0.33333333333333331</v>
      </c>
      <c r="I660" s="104" t="s">
        <v>46</v>
      </c>
      <c r="J660" s="104" t="s">
        <v>3410</v>
      </c>
      <c r="K660" s="104" t="s">
        <v>107</v>
      </c>
      <c r="L660" s="103" t="str">
        <f t="shared" si="48"/>
        <v>SIM</v>
      </c>
      <c r="M660" s="104" t="s">
        <v>1812</v>
      </c>
      <c r="N660" s="104" t="s">
        <v>89</v>
      </c>
      <c r="O660" s="104" t="s">
        <v>72</v>
      </c>
      <c r="P660" s="104" t="s">
        <v>72</v>
      </c>
      <c r="Q660" s="104" t="s">
        <v>208</v>
      </c>
      <c r="R660" s="104"/>
      <c r="S660" s="295" t="str">
        <f t="shared" ca="1" si="49"/>
        <v>VALIDAR DEPOIS</v>
      </c>
    </row>
    <row r="661" spans="1:19" s="55" customFormat="1" ht="18" x14ac:dyDescent="0.25">
      <c r="A661" s="344" t="s">
        <v>3394</v>
      </c>
      <c r="B661" s="57" t="s">
        <v>27</v>
      </c>
      <c r="C661" s="268" t="s">
        <v>3404</v>
      </c>
      <c r="D661" s="260" t="s">
        <v>868</v>
      </c>
      <c r="E661" s="57">
        <v>34998291614</v>
      </c>
      <c r="F661" s="59">
        <v>46195</v>
      </c>
      <c r="G661" s="51" t="str">
        <f t="shared" si="47"/>
        <v>Seg</v>
      </c>
      <c r="H661" s="60">
        <v>0.33333333333333331</v>
      </c>
      <c r="I661" s="57" t="s">
        <v>35</v>
      </c>
      <c r="J661" s="57" t="s">
        <v>3411</v>
      </c>
      <c r="K661" s="57" t="s">
        <v>71</v>
      </c>
      <c r="L661" s="53" t="str">
        <f t="shared" si="48"/>
        <v>NÃO</v>
      </c>
      <c r="M661" s="57" t="s">
        <v>72</v>
      </c>
      <c r="N661" s="57" t="s">
        <v>79</v>
      </c>
      <c r="O661" s="57" t="s">
        <v>1837</v>
      </c>
      <c r="P661" s="57">
        <v>34998291614</v>
      </c>
      <c r="Q661" s="57" t="s">
        <v>3412</v>
      </c>
      <c r="R661" s="57" t="s">
        <v>3413</v>
      </c>
      <c r="S661" s="61" t="str">
        <f t="shared" ca="1" si="49"/>
        <v>VALIDAR DEPOIS</v>
      </c>
    </row>
    <row r="662" spans="1:19" s="55" customFormat="1" ht="18" x14ac:dyDescent="0.25">
      <c r="A662" s="344" t="s">
        <v>3396</v>
      </c>
      <c r="B662" s="57" t="s">
        <v>30</v>
      </c>
      <c r="C662" s="268" t="s">
        <v>3403</v>
      </c>
      <c r="D662" s="260" t="s">
        <v>868</v>
      </c>
      <c r="E662" s="57">
        <v>34999917090</v>
      </c>
      <c r="F662" s="59">
        <v>46195</v>
      </c>
      <c r="G662" s="51" t="str">
        <f t="shared" si="47"/>
        <v>Seg</v>
      </c>
      <c r="H662" s="60">
        <v>0.33333333333333331</v>
      </c>
      <c r="I662" s="57" t="s">
        <v>46</v>
      </c>
      <c r="J662" s="57" t="s">
        <v>3415</v>
      </c>
      <c r="K662" s="57" t="s">
        <v>100</v>
      </c>
      <c r="L662" s="53" t="str">
        <f t="shared" si="48"/>
        <v>SIM</v>
      </c>
      <c r="M662" s="57" t="s">
        <v>1053</v>
      </c>
      <c r="N662" s="57" t="s">
        <v>89</v>
      </c>
      <c r="O662" s="57" t="s">
        <v>72</v>
      </c>
      <c r="P662" s="57" t="s">
        <v>72</v>
      </c>
      <c r="Q662" s="57" t="s">
        <v>3414</v>
      </c>
      <c r="R662" s="57" t="s">
        <v>3416</v>
      </c>
      <c r="S662" s="61" t="str">
        <f t="shared" ca="1" si="49"/>
        <v>VALIDAR DEPOIS</v>
      </c>
    </row>
    <row r="663" spans="1:19" s="83" customFormat="1" ht="198" x14ac:dyDescent="0.25">
      <c r="A663" s="223" t="s">
        <v>3397</v>
      </c>
      <c r="B663" s="104" t="s">
        <v>30</v>
      </c>
      <c r="C663" s="75" t="s">
        <v>3405</v>
      </c>
      <c r="D663" s="103" t="s">
        <v>3418</v>
      </c>
      <c r="E663" s="74">
        <v>34992226300</v>
      </c>
      <c r="F663" s="340">
        <v>46195</v>
      </c>
      <c r="G663" s="93" t="str">
        <f t="shared" si="47"/>
        <v>Seg</v>
      </c>
      <c r="H663" s="77">
        <v>0.41666666666666669</v>
      </c>
      <c r="I663" s="74" t="s">
        <v>46</v>
      </c>
      <c r="J663" s="104" t="s">
        <v>3417</v>
      </c>
      <c r="K663" s="104" t="s">
        <v>781</v>
      </c>
      <c r="L663" s="78" t="str">
        <f t="shared" si="48"/>
        <v>SIM</v>
      </c>
      <c r="M663" s="104" t="s">
        <v>3063</v>
      </c>
      <c r="N663" s="74" t="s">
        <v>89</v>
      </c>
      <c r="O663" s="104" t="s">
        <v>72</v>
      </c>
      <c r="P663" s="74" t="s">
        <v>72</v>
      </c>
      <c r="Q663" s="104" t="s">
        <v>208</v>
      </c>
      <c r="R663" s="104"/>
      <c r="S663" s="79" t="str">
        <f t="shared" ca="1" si="49"/>
        <v>VALIDAR DEPOIS</v>
      </c>
    </row>
    <row r="664" spans="1:19" s="83" customFormat="1" ht="54" x14ac:dyDescent="0.25">
      <c r="A664" s="223" t="s">
        <v>3398</v>
      </c>
      <c r="B664" s="104" t="s">
        <v>27</v>
      </c>
      <c r="C664" s="75" t="s">
        <v>3406</v>
      </c>
      <c r="D664" s="103" t="s">
        <v>3419</v>
      </c>
      <c r="E664" s="74"/>
      <c r="F664" s="340">
        <v>46195</v>
      </c>
      <c r="G664" s="93" t="str">
        <f t="shared" si="47"/>
        <v>Seg</v>
      </c>
      <c r="H664" s="77">
        <v>0.54166666666666663</v>
      </c>
      <c r="I664" s="74" t="s">
        <v>38</v>
      </c>
      <c r="J664" s="104"/>
      <c r="K664" s="104"/>
      <c r="L664" s="78" t="str">
        <f t="shared" si="48"/>
        <v>NÃO</v>
      </c>
      <c r="M664" s="104"/>
      <c r="N664" s="74"/>
      <c r="O664" s="104"/>
      <c r="P664" s="74"/>
      <c r="Q664" s="104"/>
      <c r="R664" s="104"/>
      <c r="S664" s="79" t="str">
        <f t="shared" ca="1" si="49"/>
        <v>VALIDAR DEPOIS</v>
      </c>
    </row>
    <row r="665" spans="1:19" s="83" customFormat="1" ht="126" x14ac:dyDescent="0.25">
      <c r="A665" s="223" t="s">
        <v>3399</v>
      </c>
      <c r="B665" s="104" t="s">
        <v>27</v>
      </c>
      <c r="C665" s="75" t="s">
        <v>3407</v>
      </c>
      <c r="D665" s="103" t="s">
        <v>208</v>
      </c>
      <c r="E665" s="74">
        <v>34988398372</v>
      </c>
      <c r="F665" s="340">
        <v>46195</v>
      </c>
      <c r="G665" s="93" t="str">
        <f t="shared" si="47"/>
        <v>Seg</v>
      </c>
      <c r="H665" s="77">
        <v>0.54166666666666663</v>
      </c>
      <c r="I665" s="74" t="s">
        <v>35</v>
      </c>
      <c r="J665" s="104" t="s">
        <v>3420</v>
      </c>
      <c r="K665" s="104" t="s">
        <v>87</v>
      </c>
      <c r="L665" s="78" t="str">
        <f t="shared" si="48"/>
        <v>NÃO</v>
      </c>
      <c r="M665" s="104" t="s">
        <v>72</v>
      </c>
      <c r="N665" s="74" t="s">
        <v>89</v>
      </c>
      <c r="O665" s="104" t="s">
        <v>72</v>
      </c>
      <c r="P665" s="74" t="s">
        <v>72</v>
      </c>
      <c r="Q665" s="104" t="s">
        <v>208</v>
      </c>
      <c r="R665" s="104"/>
      <c r="S665" s="79" t="str">
        <f t="shared" ca="1" si="49"/>
        <v>VALIDAR DEPOIS</v>
      </c>
    </row>
    <row r="666" spans="1:19" s="83" customFormat="1" ht="54" x14ac:dyDescent="0.25">
      <c r="A666" s="223" t="s">
        <v>3400</v>
      </c>
      <c r="B666" s="104" t="s">
        <v>27</v>
      </c>
      <c r="C666" s="75" t="s">
        <v>3408</v>
      </c>
      <c r="D666" s="103" t="s">
        <v>3419</v>
      </c>
      <c r="E666" s="74"/>
      <c r="F666" s="340">
        <v>46195</v>
      </c>
      <c r="G666" s="93" t="str">
        <f t="shared" si="47"/>
        <v>Seg</v>
      </c>
      <c r="H666" s="77">
        <v>0.625</v>
      </c>
      <c r="I666" s="74"/>
      <c r="J666" s="104"/>
      <c r="K666" s="104"/>
      <c r="L666" s="78" t="str">
        <f t="shared" si="48"/>
        <v>NÃO</v>
      </c>
      <c r="M666" s="104"/>
      <c r="N666" s="74"/>
      <c r="O666" s="104"/>
      <c r="P666" s="74"/>
      <c r="Q666" s="104"/>
      <c r="R666" s="104"/>
      <c r="S666" s="79" t="str">
        <f t="shared" ca="1" si="49"/>
        <v>VALIDAR DEPOIS</v>
      </c>
    </row>
    <row r="667" spans="1:19" s="55" customFormat="1" ht="18" x14ac:dyDescent="0.25">
      <c r="A667" s="344" t="s">
        <v>3401</v>
      </c>
      <c r="B667" s="57" t="s">
        <v>30</v>
      </c>
      <c r="C667" s="268" t="s">
        <v>3409</v>
      </c>
      <c r="D667" s="260" t="s">
        <v>868</v>
      </c>
      <c r="E667" s="57">
        <v>11973329836</v>
      </c>
      <c r="F667" s="59">
        <v>46195</v>
      </c>
      <c r="G667" s="51" t="str">
        <f t="shared" si="47"/>
        <v>Seg</v>
      </c>
      <c r="H667" s="60">
        <v>0.70833333333333337</v>
      </c>
      <c r="I667" s="57" t="s">
        <v>46</v>
      </c>
      <c r="J667" s="57" t="s">
        <v>3421</v>
      </c>
      <c r="K667" s="57" t="s">
        <v>107</v>
      </c>
      <c r="L667" s="53" t="str">
        <f t="shared" si="48"/>
        <v>SIM</v>
      </c>
      <c r="M667" s="57" t="s">
        <v>3422</v>
      </c>
      <c r="N667" s="57" t="s">
        <v>89</v>
      </c>
      <c r="O667" s="57" t="s">
        <v>72</v>
      </c>
      <c r="P667" s="57" t="s">
        <v>72</v>
      </c>
      <c r="Q667" s="57" t="s">
        <v>3423</v>
      </c>
      <c r="R667" s="57" t="s">
        <v>3424</v>
      </c>
      <c r="S667" s="61" t="str">
        <f t="shared" ca="1" si="49"/>
        <v>VALIDAR DEPOIS</v>
      </c>
    </row>
    <row r="668" spans="1:19" ht="18" x14ac:dyDescent="0.25">
      <c r="A668" s="282"/>
      <c r="B668" s="47"/>
      <c r="C668" s="48"/>
      <c r="D668" s="284"/>
      <c r="E668" s="47"/>
      <c r="F668" s="50"/>
      <c r="G668" s="51" t="str">
        <f t="shared" si="47"/>
        <v>Sáb</v>
      </c>
      <c r="H668" s="52"/>
      <c r="I668" s="47"/>
      <c r="J668" s="283"/>
      <c r="K668" s="283"/>
      <c r="L668" s="53" t="str">
        <f t="shared" si="48"/>
        <v>SIM</v>
      </c>
      <c r="M668" s="283"/>
      <c r="N668" s="47"/>
      <c r="O668" s="283"/>
      <c r="P668" s="47"/>
      <c r="Q668" s="283"/>
      <c r="R668" s="283"/>
      <c r="S668" s="79" t="str">
        <f t="shared" ca="1" si="49"/>
        <v>EXECUTADA</v>
      </c>
    </row>
    <row r="669" spans="1:19" ht="18" x14ac:dyDescent="0.25">
      <c r="A669" s="282"/>
      <c r="B669" s="47"/>
      <c r="C669" s="48"/>
      <c r="D669" s="284"/>
      <c r="E669" s="47"/>
      <c r="F669" s="50"/>
      <c r="G669" s="51" t="str">
        <f t="shared" si="47"/>
        <v>Sáb</v>
      </c>
      <c r="H669" s="52"/>
      <c r="I669" s="47"/>
      <c r="J669" s="283"/>
      <c r="K669" s="283"/>
      <c r="L669" s="53" t="str">
        <f t="shared" si="48"/>
        <v>SIM</v>
      </c>
      <c r="M669" s="283"/>
      <c r="N669" s="47"/>
      <c r="O669" s="283"/>
      <c r="P669" s="47"/>
      <c r="Q669" s="283"/>
      <c r="R669" s="283"/>
      <c r="S669" s="79" t="str">
        <f t="shared" ca="1" si="49"/>
        <v>EXECUTADA</v>
      </c>
    </row>
    <row r="670" spans="1:19" ht="18" x14ac:dyDescent="0.25">
      <c r="A670" s="282"/>
      <c r="B670" s="47"/>
      <c r="C670" s="48"/>
      <c r="D670" s="284"/>
      <c r="E670" s="47"/>
      <c r="F670" s="50"/>
      <c r="G670" s="51" t="str">
        <f t="shared" ref="G670:G681" si="53">PROPER(TEXT(F670,"DDD"))</f>
        <v>Sáb</v>
      </c>
      <c r="H670" s="52"/>
      <c r="I670" s="47"/>
      <c r="J670" s="283"/>
      <c r="K670" s="283"/>
      <c r="L670" s="53" t="str">
        <f t="shared" si="48"/>
        <v>SIM</v>
      </c>
      <c r="M670" s="283"/>
      <c r="N670" s="47"/>
      <c r="O670" s="283"/>
      <c r="P670" s="47"/>
      <c r="Q670" s="283"/>
      <c r="R670" s="283"/>
      <c r="S670" s="79" t="str">
        <f t="shared" ca="1" si="49"/>
        <v>EXECUTADA</v>
      </c>
    </row>
    <row r="671" spans="1:19" ht="18" x14ac:dyDescent="0.25">
      <c r="A671" s="282"/>
      <c r="B671" s="47"/>
      <c r="C671" s="48"/>
      <c r="D671" s="284"/>
      <c r="E671" s="47"/>
      <c r="F671" s="50"/>
      <c r="G671" s="51" t="str">
        <f t="shared" si="53"/>
        <v>Sáb</v>
      </c>
      <c r="H671" s="52"/>
      <c r="I671" s="47"/>
      <c r="J671" s="283"/>
      <c r="K671" s="283"/>
      <c r="L671" s="53" t="str">
        <f t="shared" si="48"/>
        <v>SIM</v>
      </c>
      <c r="M671" s="283"/>
      <c r="N671" s="47"/>
      <c r="O671" s="283"/>
      <c r="P671" s="47"/>
      <c r="Q671" s="283"/>
      <c r="R671" s="283"/>
      <c r="S671" s="79" t="str">
        <f t="shared" ca="1" si="49"/>
        <v>EXECUTADA</v>
      </c>
    </row>
    <row r="672" spans="1:19" ht="18" x14ac:dyDescent="0.25">
      <c r="A672" s="282"/>
      <c r="B672" s="47"/>
      <c r="C672" s="48"/>
      <c r="D672" s="284"/>
      <c r="E672" s="47"/>
      <c r="F672" s="50"/>
      <c r="G672" s="51" t="str">
        <f t="shared" si="53"/>
        <v>Sáb</v>
      </c>
      <c r="H672" s="52"/>
      <c r="I672" s="47"/>
      <c r="J672" s="283"/>
      <c r="K672" s="283"/>
      <c r="L672" s="53" t="str">
        <f t="shared" si="48"/>
        <v>SIM</v>
      </c>
      <c r="M672" s="283"/>
      <c r="N672" s="47"/>
      <c r="O672" s="283"/>
      <c r="P672" s="47"/>
      <c r="Q672" s="283"/>
      <c r="R672" s="283"/>
      <c r="S672" s="79" t="str">
        <f t="shared" ca="1" si="49"/>
        <v>EXECUTADA</v>
      </c>
    </row>
    <row r="673" spans="1:19" ht="18" x14ac:dyDescent="0.25">
      <c r="A673" s="282"/>
      <c r="B673" s="47"/>
      <c r="C673" s="48"/>
      <c r="D673" s="284"/>
      <c r="E673" s="47"/>
      <c r="F673" s="50"/>
      <c r="G673" s="51" t="str">
        <f t="shared" si="53"/>
        <v>Sáb</v>
      </c>
      <c r="H673" s="52"/>
      <c r="I673" s="47"/>
      <c r="J673" s="283"/>
      <c r="K673" s="283"/>
      <c r="L673" s="53" t="str">
        <f t="shared" si="48"/>
        <v>SIM</v>
      </c>
      <c r="M673" s="283"/>
      <c r="N673" s="47"/>
      <c r="O673" s="283"/>
      <c r="P673" s="47"/>
      <c r="Q673" s="283"/>
      <c r="R673" s="283"/>
      <c r="S673" s="79" t="str">
        <f t="shared" ca="1" si="49"/>
        <v>EXECUTADA</v>
      </c>
    </row>
    <row r="674" spans="1:19" ht="18" x14ac:dyDescent="0.25">
      <c r="A674" s="282"/>
      <c r="B674" s="47"/>
      <c r="C674" s="48"/>
      <c r="D674" s="284"/>
      <c r="E674" s="47"/>
      <c r="F674" s="50"/>
      <c r="G674" s="51" t="str">
        <f t="shared" si="53"/>
        <v>Sáb</v>
      </c>
      <c r="H674" s="52"/>
      <c r="I674" s="47"/>
      <c r="J674" s="283"/>
      <c r="K674" s="283"/>
      <c r="L674" s="53" t="str">
        <f t="shared" si="48"/>
        <v>SIM</v>
      </c>
      <c r="M674" s="283"/>
      <c r="N674" s="47"/>
      <c r="O674" s="283"/>
      <c r="P674" s="47"/>
      <c r="Q674" s="283"/>
      <c r="R674" s="283"/>
      <c r="S674" s="79" t="str">
        <f t="shared" ca="1" si="49"/>
        <v>EXECUTADA</v>
      </c>
    </row>
    <row r="675" spans="1:19" ht="18" x14ac:dyDescent="0.25">
      <c r="A675" s="282"/>
      <c r="B675" s="47"/>
      <c r="C675" s="48"/>
      <c r="D675" s="284"/>
      <c r="E675" s="47"/>
      <c r="F675" s="50"/>
      <c r="G675" s="51" t="str">
        <f t="shared" si="53"/>
        <v>Sáb</v>
      </c>
      <c r="H675" s="52"/>
      <c r="I675" s="47"/>
      <c r="J675" s="283"/>
      <c r="K675" s="283"/>
      <c r="L675" s="53" t="str">
        <f t="shared" ref="L675:L684" si="54">IF(B675="MUD END","NÃO","SIM")</f>
        <v>SIM</v>
      </c>
      <c r="M675" s="283"/>
      <c r="N675" s="47"/>
      <c r="O675" s="283"/>
      <c r="P675" s="47"/>
      <c r="Q675" s="283"/>
      <c r="R675" s="283"/>
      <c r="S675" s="79" t="str">
        <f t="shared" ref="S675:S684" ca="1" si="55">IF(F675&lt;TODAY(),"EXECUTADA",IF(F675=TODAY(),"EM EXECUÇÃO",IF(F675=TODAY()+1,"VALIDAR HOJE",IF(F675&gt;TODAY()+1,"VALIDAR DEPOIS","-"))))</f>
        <v>EXECUTADA</v>
      </c>
    </row>
    <row r="676" spans="1:19" ht="18" x14ac:dyDescent="0.25">
      <c r="A676" s="282"/>
      <c r="B676" s="47"/>
      <c r="C676" s="48"/>
      <c r="D676" s="284"/>
      <c r="E676" s="47"/>
      <c r="F676" s="50"/>
      <c r="G676" s="51" t="str">
        <f t="shared" si="53"/>
        <v>Sáb</v>
      </c>
      <c r="H676" s="52"/>
      <c r="I676" s="47"/>
      <c r="J676" s="283"/>
      <c r="K676" s="283"/>
      <c r="L676" s="53" t="str">
        <f t="shared" si="54"/>
        <v>SIM</v>
      </c>
      <c r="M676" s="283"/>
      <c r="N676" s="47"/>
      <c r="O676" s="283"/>
      <c r="P676" s="47"/>
      <c r="Q676" s="283"/>
      <c r="R676" s="283"/>
      <c r="S676" s="79" t="str">
        <f t="shared" ca="1" si="55"/>
        <v>EXECUTADA</v>
      </c>
    </row>
    <row r="677" spans="1:19" ht="18" x14ac:dyDescent="0.25">
      <c r="A677" s="282"/>
      <c r="B677" s="47"/>
      <c r="C677" s="48"/>
      <c r="D677" s="284"/>
      <c r="E677" s="47"/>
      <c r="F677" s="50"/>
      <c r="G677" s="51" t="str">
        <f t="shared" si="53"/>
        <v>Sáb</v>
      </c>
      <c r="H677" s="52"/>
      <c r="I677" s="47"/>
      <c r="J677" s="283"/>
      <c r="K677" s="283"/>
      <c r="L677" s="53" t="str">
        <f t="shared" si="54"/>
        <v>SIM</v>
      </c>
      <c r="M677" s="283"/>
      <c r="N677" s="47"/>
      <c r="O677" s="283"/>
      <c r="P677" s="47"/>
      <c r="Q677" s="283"/>
      <c r="R677" s="283"/>
      <c r="S677" s="79" t="str">
        <f t="shared" ca="1" si="55"/>
        <v>EXECUTADA</v>
      </c>
    </row>
    <row r="678" spans="1:19" ht="18" x14ac:dyDescent="0.25">
      <c r="A678" s="282"/>
      <c r="B678" s="47"/>
      <c r="C678" s="48"/>
      <c r="D678" s="284"/>
      <c r="E678" s="47"/>
      <c r="F678" s="50"/>
      <c r="G678" s="51" t="str">
        <f t="shared" si="53"/>
        <v>Sáb</v>
      </c>
      <c r="H678" s="52"/>
      <c r="I678" s="47"/>
      <c r="J678" s="283"/>
      <c r="K678" s="283"/>
      <c r="L678" s="53" t="str">
        <f t="shared" si="54"/>
        <v>SIM</v>
      </c>
      <c r="M678" s="283"/>
      <c r="N678" s="47"/>
      <c r="O678" s="283"/>
      <c r="P678" s="47"/>
      <c r="Q678" s="283"/>
      <c r="R678" s="283"/>
      <c r="S678" s="79" t="str">
        <f t="shared" ca="1" si="55"/>
        <v>EXECUTADA</v>
      </c>
    </row>
    <row r="679" spans="1:19" ht="18" x14ac:dyDescent="0.25">
      <c r="A679" s="282"/>
      <c r="B679" s="47"/>
      <c r="C679" s="48"/>
      <c r="D679" s="284"/>
      <c r="E679" s="47"/>
      <c r="F679" s="50"/>
      <c r="G679" s="51" t="str">
        <f t="shared" si="53"/>
        <v>Sáb</v>
      </c>
      <c r="H679" s="52"/>
      <c r="I679" s="47"/>
      <c r="J679" s="283"/>
      <c r="K679" s="283"/>
      <c r="L679" s="53" t="str">
        <f t="shared" si="54"/>
        <v>SIM</v>
      </c>
      <c r="M679" s="283"/>
      <c r="N679" s="47"/>
      <c r="O679" s="283"/>
      <c r="P679" s="47"/>
      <c r="Q679" s="283"/>
      <c r="R679" s="283"/>
      <c r="S679" s="79" t="str">
        <f t="shared" ca="1" si="55"/>
        <v>EXECUTADA</v>
      </c>
    </row>
    <row r="680" spans="1:19" ht="18" x14ac:dyDescent="0.25">
      <c r="A680" s="282"/>
      <c r="B680" s="47"/>
      <c r="C680" s="48"/>
      <c r="D680" s="284"/>
      <c r="E680" s="47"/>
      <c r="F680" s="50"/>
      <c r="G680" s="51" t="str">
        <f t="shared" si="53"/>
        <v>Sáb</v>
      </c>
      <c r="H680" s="52"/>
      <c r="I680" s="47"/>
      <c r="J680" s="283"/>
      <c r="K680" s="283"/>
      <c r="L680" s="53" t="str">
        <f t="shared" si="54"/>
        <v>SIM</v>
      </c>
      <c r="M680" s="283"/>
      <c r="N680" s="47"/>
      <c r="O680" s="283"/>
      <c r="P680" s="47"/>
      <c r="Q680" s="283"/>
      <c r="R680" s="283"/>
      <c r="S680" s="79" t="str">
        <f t="shared" ca="1" si="55"/>
        <v>EXECUTADA</v>
      </c>
    </row>
    <row r="681" spans="1:19" ht="18" x14ac:dyDescent="0.25">
      <c r="A681" s="282"/>
      <c r="B681" s="47"/>
      <c r="C681" s="48"/>
      <c r="D681" s="284"/>
      <c r="E681" s="47"/>
      <c r="F681" s="50"/>
      <c r="G681" s="51" t="str">
        <f t="shared" si="53"/>
        <v>Sáb</v>
      </c>
      <c r="H681" s="52"/>
      <c r="I681" s="47"/>
      <c r="J681" s="283"/>
      <c r="K681" s="283"/>
      <c r="L681" s="53" t="str">
        <f t="shared" si="54"/>
        <v>SIM</v>
      </c>
      <c r="M681" s="283"/>
      <c r="N681" s="47"/>
      <c r="O681" s="283"/>
      <c r="P681" s="47"/>
      <c r="Q681" s="283"/>
      <c r="R681" s="283"/>
      <c r="S681" s="79" t="str">
        <f t="shared" ca="1" si="55"/>
        <v>EXECUTADA</v>
      </c>
    </row>
    <row r="682" spans="1:19" ht="18" x14ac:dyDescent="0.25">
      <c r="A682" s="282"/>
      <c r="B682" s="47"/>
      <c r="C682" s="48"/>
      <c r="D682" s="284"/>
      <c r="E682" s="47"/>
      <c r="F682" s="50"/>
      <c r="G682" s="51" t="str">
        <f t="shared" ref="G682:G745" si="56">PROPER(TEXT(F682,"DDD"))</f>
        <v>Sáb</v>
      </c>
      <c r="H682" s="52"/>
      <c r="I682" s="47"/>
      <c r="J682" s="283"/>
      <c r="K682" s="283"/>
      <c r="L682" s="53" t="str">
        <f t="shared" si="54"/>
        <v>SIM</v>
      </c>
      <c r="M682" s="283"/>
      <c r="N682" s="47"/>
      <c r="O682" s="283"/>
      <c r="P682" s="47"/>
      <c r="Q682" s="283"/>
      <c r="R682" s="283"/>
      <c r="S682" s="79" t="str">
        <f t="shared" ca="1" si="55"/>
        <v>EXECUTADA</v>
      </c>
    </row>
    <row r="683" spans="1:19" ht="18" x14ac:dyDescent="0.25">
      <c r="A683" s="282"/>
      <c r="B683" s="47"/>
      <c r="C683" s="48"/>
      <c r="D683" s="284"/>
      <c r="E683" s="47"/>
      <c r="F683" s="50"/>
      <c r="G683" s="51" t="str">
        <f t="shared" si="56"/>
        <v>Sáb</v>
      </c>
      <c r="H683" s="52"/>
      <c r="I683" s="47"/>
      <c r="J683" s="283"/>
      <c r="K683" s="283"/>
      <c r="L683" s="53" t="str">
        <f t="shared" si="54"/>
        <v>SIM</v>
      </c>
      <c r="M683" s="283"/>
      <c r="N683" s="47"/>
      <c r="O683" s="283"/>
      <c r="P683" s="47"/>
      <c r="Q683" s="283"/>
      <c r="R683" s="283"/>
      <c r="S683" s="79" t="str">
        <f t="shared" ca="1" si="55"/>
        <v>EXECUTADA</v>
      </c>
    </row>
    <row r="684" spans="1:19" ht="18" x14ac:dyDescent="0.25">
      <c r="A684" s="282"/>
      <c r="B684" s="47"/>
      <c r="C684" s="48"/>
      <c r="D684" s="284"/>
      <c r="E684" s="47"/>
      <c r="F684" s="50"/>
      <c r="G684" s="51" t="str">
        <f t="shared" si="56"/>
        <v>Sáb</v>
      </c>
      <c r="H684" s="52"/>
      <c r="I684" s="47"/>
      <c r="J684" s="283"/>
      <c r="K684" s="283"/>
      <c r="L684" s="53" t="str">
        <f t="shared" si="54"/>
        <v>SIM</v>
      </c>
      <c r="M684" s="283"/>
      <c r="N684" s="47"/>
      <c r="O684" s="283"/>
      <c r="P684" s="47"/>
      <c r="Q684" s="283"/>
      <c r="R684" s="283"/>
      <c r="S684" s="79" t="str">
        <f t="shared" ca="1" si="55"/>
        <v>EXECUTADA</v>
      </c>
    </row>
    <row r="685" spans="1:19" ht="18" x14ac:dyDescent="0.25">
      <c r="A685" s="282"/>
      <c r="B685" s="47"/>
      <c r="C685" s="48"/>
      <c r="D685" s="284"/>
      <c r="E685" s="47"/>
      <c r="F685" s="50"/>
      <c r="G685" s="51" t="str">
        <f t="shared" si="56"/>
        <v>Sáb</v>
      </c>
      <c r="H685" s="52"/>
      <c r="I685" s="47"/>
      <c r="J685" s="283"/>
      <c r="K685" s="283"/>
      <c r="L685" s="53" t="str">
        <f t="shared" ref="L685:L748" si="57">IF(B685="MUD END","NÃO","SIM")</f>
        <v>SIM</v>
      </c>
      <c r="M685" s="283"/>
      <c r="N685" s="47"/>
      <c r="O685" s="283"/>
      <c r="P685" s="47"/>
      <c r="Q685" s="283"/>
      <c r="R685" s="283"/>
      <c r="S685" s="79" t="str">
        <f t="shared" ref="S685:S748" ca="1" si="58">IF(F685&lt;TODAY(),"EXECUTADA",IF(F685=TODAY(),"EM EXECUÇÃO",IF(F685=TODAY()+1,"VALIDAR HOJE",IF(F685&gt;TODAY()+1,"VALIDAR DEPOIS","-"))))</f>
        <v>EXECUTADA</v>
      </c>
    </row>
    <row r="686" spans="1:19" ht="18" x14ac:dyDescent="0.25">
      <c r="A686" s="282"/>
      <c r="B686" s="47"/>
      <c r="C686" s="48"/>
      <c r="D686" s="284"/>
      <c r="E686" s="47"/>
      <c r="F686" s="50"/>
      <c r="G686" s="51" t="str">
        <f t="shared" si="56"/>
        <v>Sáb</v>
      </c>
      <c r="H686" s="52"/>
      <c r="I686" s="47"/>
      <c r="J686" s="283"/>
      <c r="K686" s="283"/>
      <c r="L686" s="53" t="str">
        <f t="shared" si="57"/>
        <v>SIM</v>
      </c>
      <c r="M686" s="283"/>
      <c r="N686" s="47"/>
      <c r="O686" s="283"/>
      <c r="P686" s="47"/>
      <c r="Q686" s="283"/>
      <c r="R686" s="283"/>
      <c r="S686" s="79" t="str">
        <f t="shared" ca="1" si="58"/>
        <v>EXECUTADA</v>
      </c>
    </row>
    <row r="687" spans="1:19" ht="18" x14ac:dyDescent="0.25">
      <c r="A687" s="282"/>
      <c r="B687" s="47"/>
      <c r="C687" s="48"/>
      <c r="D687" s="284"/>
      <c r="E687" s="47"/>
      <c r="F687" s="50"/>
      <c r="G687" s="51" t="str">
        <f t="shared" si="56"/>
        <v>Sáb</v>
      </c>
      <c r="H687" s="52"/>
      <c r="I687" s="47"/>
      <c r="J687" s="283"/>
      <c r="K687" s="283"/>
      <c r="L687" s="53" t="str">
        <f t="shared" si="57"/>
        <v>SIM</v>
      </c>
      <c r="M687" s="283"/>
      <c r="N687" s="47"/>
      <c r="O687" s="283"/>
      <c r="P687" s="47"/>
      <c r="Q687" s="283"/>
      <c r="R687" s="283"/>
      <c r="S687" s="79" t="str">
        <f t="shared" ca="1" si="58"/>
        <v>EXECUTADA</v>
      </c>
    </row>
    <row r="688" spans="1:19" ht="18" x14ac:dyDescent="0.25">
      <c r="A688" s="282"/>
      <c r="B688" s="47"/>
      <c r="C688" s="48"/>
      <c r="D688" s="284"/>
      <c r="E688" s="47"/>
      <c r="F688" s="50"/>
      <c r="G688" s="51" t="str">
        <f t="shared" si="56"/>
        <v>Sáb</v>
      </c>
      <c r="H688" s="52"/>
      <c r="I688" s="47"/>
      <c r="J688" s="283"/>
      <c r="K688" s="283"/>
      <c r="L688" s="53" t="str">
        <f t="shared" si="57"/>
        <v>SIM</v>
      </c>
      <c r="M688" s="283"/>
      <c r="N688" s="47"/>
      <c r="O688" s="283"/>
      <c r="P688" s="47"/>
      <c r="Q688" s="283"/>
      <c r="R688" s="283"/>
      <c r="S688" s="79" t="str">
        <f t="shared" ca="1" si="58"/>
        <v>EXECUTADA</v>
      </c>
    </row>
    <row r="689" spans="1:19" ht="18" x14ac:dyDescent="0.25">
      <c r="A689" s="282"/>
      <c r="B689" s="47"/>
      <c r="C689" s="48"/>
      <c r="D689" s="284"/>
      <c r="E689" s="47"/>
      <c r="F689" s="50"/>
      <c r="G689" s="51" t="str">
        <f t="shared" si="56"/>
        <v>Sáb</v>
      </c>
      <c r="H689" s="52"/>
      <c r="I689" s="47"/>
      <c r="J689" s="283"/>
      <c r="K689" s="283"/>
      <c r="L689" s="53" t="str">
        <f t="shared" si="57"/>
        <v>SIM</v>
      </c>
      <c r="M689" s="283"/>
      <c r="N689" s="47"/>
      <c r="O689" s="283"/>
      <c r="P689" s="47"/>
      <c r="Q689" s="283"/>
      <c r="R689" s="283"/>
      <c r="S689" s="79" t="str">
        <f t="shared" ca="1" si="58"/>
        <v>EXECUTADA</v>
      </c>
    </row>
    <row r="690" spans="1:19" ht="18" x14ac:dyDescent="0.25">
      <c r="A690" s="282"/>
      <c r="B690" s="47"/>
      <c r="C690" s="48"/>
      <c r="D690" s="284"/>
      <c r="E690" s="47"/>
      <c r="F690" s="50"/>
      <c r="G690" s="51" t="str">
        <f t="shared" si="56"/>
        <v>Sáb</v>
      </c>
      <c r="H690" s="52"/>
      <c r="I690" s="47"/>
      <c r="J690" s="283"/>
      <c r="K690" s="283"/>
      <c r="L690" s="53" t="str">
        <f t="shared" si="57"/>
        <v>SIM</v>
      </c>
      <c r="M690" s="283"/>
      <c r="N690" s="47"/>
      <c r="O690" s="283"/>
      <c r="P690" s="47"/>
      <c r="Q690" s="283"/>
      <c r="R690" s="283"/>
      <c r="S690" s="79" t="str">
        <f t="shared" ca="1" si="58"/>
        <v>EXECUTADA</v>
      </c>
    </row>
    <row r="691" spans="1:19" ht="18" x14ac:dyDescent="0.25">
      <c r="A691" s="282"/>
      <c r="B691" s="47"/>
      <c r="C691" s="48"/>
      <c r="D691" s="284"/>
      <c r="E691" s="47"/>
      <c r="F691" s="50"/>
      <c r="G691" s="51" t="str">
        <f t="shared" si="56"/>
        <v>Sáb</v>
      </c>
      <c r="H691" s="52"/>
      <c r="I691" s="47"/>
      <c r="J691" s="283"/>
      <c r="K691" s="283"/>
      <c r="L691" s="53" t="str">
        <f t="shared" si="57"/>
        <v>SIM</v>
      </c>
      <c r="M691" s="283"/>
      <c r="N691" s="47"/>
      <c r="O691" s="283"/>
      <c r="P691" s="47"/>
      <c r="Q691" s="283"/>
      <c r="R691" s="283"/>
      <c r="S691" s="79" t="str">
        <f t="shared" ca="1" si="58"/>
        <v>EXECUTADA</v>
      </c>
    </row>
    <row r="692" spans="1:19" ht="18" x14ac:dyDescent="0.25">
      <c r="A692" s="282"/>
      <c r="B692" s="47"/>
      <c r="C692" s="48"/>
      <c r="D692" s="284"/>
      <c r="E692" s="47"/>
      <c r="F692" s="50"/>
      <c r="G692" s="51" t="str">
        <f t="shared" si="56"/>
        <v>Sáb</v>
      </c>
      <c r="H692" s="52"/>
      <c r="I692" s="47"/>
      <c r="J692" s="283"/>
      <c r="K692" s="283"/>
      <c r="L692" s="53" t="str">
        <f t="shared" si="57"/>
        <v>SIM</v>
      </c>
      <c r="M692" s="283"/>
      <c r="N692" s="47"/>
      <c r="O692" s="283"/>
      <c r="P692" s="47"/>
      <c r="Q692" s="283"/>
      <c r="R692" s="283"/>
      <c r="S692" s="79" t="str">
        <f t="shared" ca="1" si="58"/>
        <v>EXECUTADA</v>
      </c>
    </row>
    <row r="693" spans="1:19" ht="18" x14ac:dyDescent="0.25">
      <c r="A693" s="282"/>
      <c r="B693" s="47"/>
      <c r="C693" s="48"/>
      <c r="D693" s="284"/>
      <c r="E693" s="47"/>
      <c r="F693" s="50"/>
      <c r="G693" s="51" t="str">
        <f t="shared" si="56"/>
        <v>Sáb</v>
      </c>
      <c r="H693" s="52"/>
      <c r="I693" s="47"/>
      <c r="J693" s="283"/>
      <c r="K693" s="283"/>
      <c r="L693" s="53" t="str">
        <f t="shared" si="57"/>
        <v>SIM</v>
      </c>
      <c r="M693" s="283"/>
      <c r="N693" s="47"/>
      <c r="O693" s="283"/>
      <c r="P693" s="47"/>
      <c r="Q693" s="283"/>
      <c r="R693" s="283"/>
      <c r="S693" s="79" t="str">
        <f t="shared" ca="1" si="58"/>
        <v>EXECUTADA</v>
      </c>
    </row>
    <row r="694" spans="1:19" ht="18" x14ac:dyDescent="0.25">
      <c r="A694" s="282"/>
      <c r="B694" s="47"/>
      <c r="C694" s="48"/>
      <c r="D694" s="284"/>
      <c r="E694" s="47"/>
      <c r="F694" s="50"/>
      <c r="G694" s="51" t="str">
        <f t="shared" si="56"/>
        <v>Sáb</v>
      </c>
      <c r="H694" s="52"/>
      <c r="I694" s="47"/>
      <c r="J694" s="283"/>
      <c r="K694" s="283"/>
      <c r="L694" s="53" t="str">
        <f t="shared" si="57"/>
        <v>SIM</v>
      </c>
      <c r="M694" s="283"/>
      <c r="N694" s="47"/>
      <c r="O694" s="283"/>
      <c r="P694" s="47"/>
      <c r="Q694" s="283"/>
      <c r="R694" s="283"/>
      <c r="S694" s="79" t="str">
        <f t="shared" ca="1" si="58"/>
        <v>EXECUTADA</v>
      </c>
    </row>
    <row r="695" spans="1:19" ht="18" x14ac:dyDescent="0.25">
      <c r="A695" s="282"/>
      <c r="B695" s="47"/>
      <c r="C695" s="48"/>
      <c r="D695" s="284"/>
      <c r="E695" s="47"/>
      <c r="F695" s="50"/>
      <c r="G695" s="51" t="str">
        <f t="shared" si="56"/>
        <v>Sáb</v>
      </c>
      <c r="H695" s="52"/>
      <c r="I695" s="47"/>
      <c r="J695" s="283"/>
      <c r="K695" s="283"/>
      <c r="L695" s="53" t="str">
        <f t="shared" si="57"/>
        <v>SIM</v>
      </c>
      <c r="M695" s="283"/>
      <c r="N695" s="47"/>
      <c r="O695" s="283"/>
      <c r="P695" s="47"/>
      <c r="Q695" s="283"/>
      <c r="R695" s="283"/>
      <c r="S695" s="79" t="str">
        <f t="shared" ca="1" si="58"/>
        <v>EXECUTADA</v>
      </c>
    </row>
    <row r="696" spans="1:19" ht="18" x14ac:dyDescent="0.25">
      <c r="A696" s="282"/>
      <c r="B696" s="47"/>
      <c r="C696" s="48"/>
      <c r="D696" s="284"/>
      <c r="E696" s="47"/>
      <c r="F696" s="50"/>
      <c r="G696" s="51" t="str">
        <f t="shared" si="56"/>
        <v>Sáb</v>
      </c>
      <c r="H696" s="52"/>
      <c r="I696" s="47"/>
      <c r="J696" s="283"/>
      <c r="K696" s="283"/>
      <c r="L696" s="53" t="str">
        <f t="shared" si="57"/>
        <v>SIM</v>
      </c>
      <c r="M696" s="283"/>
      <c r="N696" s="47"/>
      <c r="O696" s="283"/>
      <c r="P696" s="47"/>
      <c r="Q696" s="283"/>
      <c r="R696" s="283"/>
      <c r="S696" s="79" t="str">
        <f t="shared" ca="1" si="58"/>
        <v>EXECUTADA</v>
      </c>
    </row>
    <row r="697" spans="1:19" ht="18" x14ac:dyDescent="0.25">
      <c r="A697" s="282"/>
      <c r="B697" s="47"/>
      <c r="C697" s="48"/>
      <c r="D697" s="284"/>
      <c r="E697" s="47"/>
      <c r="F697" s="50"/>
      <c r="G697" s="51" t="str">
        <f t="shared" si="56"/>
        <v>Sáb</v>
      </c>
      <c r="H697" s="52"/>
      <c r="I697" s="47"/>
      <c r="J697" s="283"/>
      <c r="K697" s="283"/>
      <c r="L697" s="53" t="str">
        <f t="shared" si="57"/>
        <v>SIM</v>
      </c>
      <c r="M697" s="283"/>
      <c r="N697" s="47"/>
      <c r="O697" s="283"/>
      <c r="P697" s="47"/>
      <c r="Q697" s="283"/>
      <c r="R697" s="283"/>
      <c r="S697" s="79" t="str">
        <f t="shared" ca="1" si="58"/>
        <v>EXECUTADA</v>
      </c>
    </row>
    <row r="698" spans="1:19" ht="18" x14ac:dyDescent="0.25">
      <c r="A698" s="282"/>
      <c r="B698" s="47"/>
      <c r="C698" s="48"/>
      <c r="D698" s="284"/>
      <c r="E698" s="47"/>
      <c r="F698" s="50"/>
      <c r="G698" s="51" t="str">
        <f t="shared" si="56"/>
        <v>Sáb</v>
      </c>
      <c r="H698" s="52"/>
      <c r="I698" s="47"/>
      <c r="J698" s="283"/>
      <c r="K698" s="283"/>
      <c r="L698" s="53" t="str">
        <f t="shared" si="57"/>
        <v>SIM</v>
      </c>
      <c r="M698" s="283"/>
      <c r="N698" s="47"/>
      <c r="O698" s="283"/>
      <c r="P698" s="47"/>
      <c r="Q698" s="283"/>
      <c r="R698" s="283"/>
      <c r="S698" s="79" t="str">
        <f t="shared" ca="1" si="58"/>
        <v>EXECUTADA</v>
      </c>
    </row>
    <row r="699" spans="1:19" ht="18" x14ac:dyDescent="0.25">
      <c r="A699" s="282"/>
      <c r="B699" s="47"/>
      <c r="C699" s="48"/>
      <c r="D699" s="284"/>
      <c r="E699" s="47"/>
      <c r="F699" s="50"/>
      <c r="G699" s="51" t="str">
        <f t="shared" si="56"/>
        <v>Sáb</v>
      </c>
      <c r="H699" s="52"/>
      <c r="I699" s="47"/>
      <c r="J699" s="283"/>
      <c r="K699" s="283"/>
      <c r="L699" s="53" t="str">
        <f t="shared" si="57"/>
        <v>SIM</v>
      </c>
      <c r="M699" s="283"/>
      <c r="N699" s="47"/>
      <c r="O699" s="283"/>
      <c r="P699" s="47"/>
      <c r="Q699" s="283"/>
      <c r="R699" s="283"/>
      <c r="S699" s="79" t="str">
        <f t="shared" ca="1" si="58"/>
        <v>EXECUTADA</v>
      </c>
    </row>
    <row r="700" spans="1:19" ht="18" x14ac:dyDescent="0.25">
      <c r="A700" s="282"/>
      <c r="B700" s="47"/>
      <c r="C700" s="48"/>
      <c r="D700" s="284"/>
      <c r="E700" s="47"/>
      <c r="F700" s="50"/>
      <c r="G700" s="51" t="str">
        <f t="shared" si="56"/>
        <v>Sáb</v>
      </c>
      <c r="H700" s="52"/>
      <c r="I700" s="47"/>
      <c r="J700" s="283"/>
      <c r="K700" s="283"/>
      <c r="L700" s="53" t="str">
        <f t="shared" si="57"/>
        <v>SIM</v>
      </c>
      <c r="M700" s="283"/>
      <c r="N700" s="47"/>
      <c r="O700" s="283"/>
      <c r="P700" s="47"/>
      <c r="Q700" s="283"/>
      <c r="R700" s="283"/>
      <c r="S700" s="79" t="str">
        <f t="shared" ca="1" si="58"/>
        <v>EXECUTADA</v>
      </c>
    </row>
    <row r="701" spans="1:19" ht="18" x14ac:dyDescent="0.25">
      <c r="A701" s="282"/>
      <c r="B701" s="47"/>
      <c r="C701" s="48"/>
      <c r="D701" s="284"/>
      <c r="E701" s="47"/>
      <c r="F701" s="50"/>
      <c r="G701" s="51" t="str">
        <f t="shared" si="56"/>
        <v>Sáb</v>
      </c>
      <c r="H701" s="52"/>
      <c r="I701" s="47"/>
      <c r="J701" s="283"/>
      <c r="K701" s="283"/>
      <c r="L701" s="53" t="str">
        <f t="shared" si="57"/>
        <v>SIM</v>
      </c>
      <c r="M701" s="283"/>
      <c r="N701" s="47"/>
      <c r="O701" s="283"/>
      <c r="P701" s="47"/>
      <c r="Q701" s="283"/>
      <c r="R701" s="283"/>
      <c r="S701" s="79" t="str">
        <f t="shared" ca="1" si="58"/>
        <v>EXECUTADA</v>
      </c>
    </row>
    <row r="702" spans="1:19" ht="18" x14ac:dyDescent="0.25">
      <c r="A702" s="282"/>
      <c r="B702" s="47"/>
      <c r="C702" s="48"/>
      <c r="D702" s="284"/>
      <c r="E702" s="47"/>
      <c r="F702" s="50"/>
      <c r="G702" s="51" t="str">
        <f t="shared" si="56"/>
        <v>Sáb</v>
      </c>
      <c r="H702" s="52"/>
      <c r="I702" s="47"/>
      <c r="J702" s="283"/>
      <c r="K702" s="283"/>
      <c r="L702" s="53" t="str">
        <f t="shared" si="57"/>
        <v>SIM</v>
      </c>
      <c r="M702" s="283"/>
      <c r="N702" s="47"/>
      <c r="O702" s="283"/>
      <c r="P702" s="47"/>
      <c r="Q702" s="283"/>
      <c r="R702" s="283"/>
      <c r="S702" s="79" t="str">
        <f t="shared" ca="1" si="58"/>
        <v>EXECUTADA</v>
      </c>
    </row>
    <row r="703" spans="1:19" ht="18" x14ac:dyDescent="0.25">
      <c r="A703" s="282"/>
      <c r="B703" s="47"/>
      <c r="C703" s="48"/>
      <c r="D703" s="284"/>
      <c r="E703" s="47"/>
      <c r="F703" s="50"/>
      <c r="G703" s="51" t="str">
        <f t="shared" si="56"/>
        <v>Sáb</v>
      </c>
      <c r="H703" s="52"/>
      <c r="I703" s="47"/>
      <c r="J703" s="283"/>
      <c r="K703" s="283"/>
      <c r="L703" s="53" t="str">
        <f t="shared" si="57"/>
        <v>SIM</v>
      </c>
      <c r="M703" s="283"/>
      <c r="N703" s="47"/>
      <c r="O703" s="283"/>
      <c r="P703" s="47"/>
      <c r="Q703" s="283"/>
      <c r="R703" s="283"/>
      <c r="S703" s="79" t="str">
        <f t="shared" ca="1" si="58"/>
        <v>EXECUTADA</v>
      </c>
    </row>
    <row r="704" spans="1:19" ht="18" x14ac:dyDescent="0.25">
      <c r="A704" s="282"/>
      <c r="B704" s="47"/>
      <c r="C704" s="48"/>
      <c r="D704" s="284"/>
      <c r="E704" s="47"/>
      <c r="F704" s="50"/>
      <c r="G704" s="51" t="str">
        <f t="shared" si="56"/>
        <v>Sáb</v>
      </c>
      <c r="H704" s="52"/>
      <c r="I704" s="47"/>
      <c r="J704" s="283"/>
      <c r="K704" s="283"/>
      <c r="L704" s="53" t="str">
        <f t="shared" si="57"/>
        <v>SIM</v>
      </c>
      <c r="M704" s="283"/>
      <c r="N704" s="47"/>
      <c r="O704" s="283"/>
      <c r="P704" s="47"/>
      <c r="Q704" s="283"/>
      <c r="R704" s="283"/>
      <c r="S704" s="79" t="str">
        <f t="shared" ca="1" si="58"/>
        <v>EXECUTADA</v>
      </c>
    </row>
    <row r="705" spans="1:19" ht="18" x14ac:dyDescent="0.25">
      <c r="A705" s="282"/>
      <c r="B705" s="47"/>
      <c r="C705" s="48"/>
      <c r="D705" s="284"/>
      <c r="E705" s="47"/>
      <c r="F705" s="50"/>
      <c r="G705" s="51" t="str">
        <f t="shared" si="56"/>
        <v>Sáb</v>
      </c>
      <c r="H705" s="52"/>
      <c r="I705" s="47"/>
      <c r="J705" s="283"/>
      <c r="K705" s="283"/>
      <c r="L705" s="53" t="str">
        <f t="shared" si="57"/>
        <v>SIM</v>
      </c>
      <c r="M705" s="283"/>
      <c r="N705" s="47"/>
      <c r="O705" s="283"/>
      <c r="P705" s="47"/>
      <c r="Q705" s="283"/>
      <c r="R705" s="283"/>
      <c r="S705" s="79" t="str">
        <f t="shared" ca="1" si="58"/>
        <v>EXECUTADA</v>
      </c>
    </row>
    <row r="706" spans="1:19" ht="18" x14ac:dyDescent="0.25">
      <c r="A706" s="282"/>
      <c r="B706" s="47"/>
      <c r="C706" s="48"/>
      <c r="D706" s="284"/>
      <c r="E706" s="47"/>
      <c r="F706" s="50"/>
      <c r="G706" s="51" t="str">
        <f t="shared" si="56"/>
        <v>Sáb</v>
      </c>
      <c r="H706" s="52"/>
      <c r="I706" s="47"/>
      <c r="J706" s="283"/>
      <c r="K706" s="283"/>
      <c r="L706" s="53" t="str">
        <f t="shared" si="57"/>
        <v>SIM</v>
      </c>
      <c r="M706" s="283"/>
      <c r="N706" s="47"/>
      <c r="O706" s="283"/>
      <c r="P706" s="47"/>
      <c r="Q706" s="283"/>
      <c r="R706" s="283"/>
      <c r="S706" s="79" t="str">
        <f t="shared" ca="1" si="58"/>
        <v>EXECUTADA</v>
      </c>
    </row>
    <row r="707" spans="1:19" ht="18" x14ac:dyDescent="0.25">
      <c r="A707" s="282"/>
      <c r="B707" s="47"/>
      <c r="C707" s="48"/>
      <c r="D707" s="284"/>
      <c r="E707" s="47"/>
      <c r="F707" s="50"/>
      <c r="G707" s="51" t="str">
        <f t="shared" si="56"/>
        <v>Sáb</v>
      </c>
      <c r="H707" s="52"/>
      <c r="I707" s="47"/>
      <c r="J707" s="283"/>
      <c r="K707" s="283"/>
      <c r="L707" s="53" t="str">
        <f t="shared" si="57"/>
        <v>SIM</v>
      </c>
      <c r="M707" s="283"/>
      <c r="N707" s="47"/>
      <c r="O707" s="283"/>
      <c r="P707" s="47"/>
      <c r="Q707" s="283"/>
      <c r="R707" s="283"/>
      <c r="S707" s="79" t="str">
        <f t="shared" ca="1" si="58"/>
        <v>EXECUTADA</v>
      </c>
    </row>
    <row r="708" spans="1:19" ht="18" x14ac:dyDescent="0.25">
      <c r="A708" s="282"/>
      <c r="B708" s="47"/>
      <c r="C708" s="48"/>
      <c r="D708" s="284"/>
      <c r="E708" s="47"/>
      <c r="F708" s="50"/>
      <c r="G708" s="51" t="str">
        <f t="shared" si="56"/>
        <v>Sáb</v>
      </c>
      <c r="H708" s="52"/>
      <c r="I708" s="47"/>
      <c r="J708" s="283"/>
      <c r="K708" s="283"/>
      <c r="L708" s="53" t="str">
        <f t="shared" si="57"/>
        <v>SIM</v>
      </c>
      <c r="M708" s="283"/>
      <c r="N708" s="47"/>
      <c r="O708" s="283"/>
      <c r="P708" s="47"/>
      <c r="Q708" s="283"/>
      <c r="R708" s="283"/>
      <c r="S708" s="79" t="str">
        <f t="shared" ca="1" si="58"/>
        <v>EXECUTADA</v>
      </c>
    </row>
    <row r="709" spans="1:19" ht="18" x14ac:dyDescent="0.25">
      <c r="A709" s="282"/>
      <c r="B709" s="47"/>
      <c r="C709" s="48"/>
      <c r="D709" s="284"/>
      <c r="E709" s="47"/>
      <c r="F709" s="50"/>
      <c r="G709" s="51" t="str">
        <f t="shared" si="56"/>
        <v>Sáb</v>
      </c>
      <c r="H709" s="52"/>
      <c r="I709" s="47"/>
      <c r="J709" s="283"/>
      <c r="K709" s="283"/>
      <c r="L709" s="53" t="str">
        <f t="shared" si="57"/>
        <v>SIM</v>
      </c>
      <c r="M709" s="283"/>
      <c r="N709" s="47"/>
      <c r="O709" s="283"/>
      <c r="P709" s="47"/>
      <c r="Q709" s="283"/>
      <c r="R709" s="283"/>
      <c r="S709" s="79" t="str">
        <f t="shared" ca="1" si="58"/>
        <v>EXECUTADA</v>
      </c>
    </row>
    <row r="710" spans="1:19" ht="18" x14ac:dyDescent="0.25">
      <c r="A710" s="282"/>
      <c r="B710" s="47"/>
      <c r="C710" s="48"/>
      <c r="D710" s="284"/>
      <c r="E710" s="47"/>
      <c r="F710" s="50"/>
      <c r="G710" s="51" t="str">
        <f t="shared" si="56"/>
        <v>Sáb</v>
      </c>
      <c r="H710" s="52"/>
      <c r="I710" s="47"/>
      <c r="J710" s="283"/>
      <c r="K710" s="283"/>
      <c r="L710" s="53" t="str">
        <f t="shared" si="57"/>
        <v>SIM</v>
      </c>
      <c r="M710" s="283"/>
      <c r="N710" s="47"/>
      <c r="O710" s="283"/>
      <c r="P710" s="47"/>
      <c r="Q710" s="283"/>
      <c r="R710" s="283"/>
      <c r="S710" s="79" t="str">
        <f t="shared" ca="1" si="58"/>
        <v>EXECUTADA</v>
      </c>
    </row>
    <row r="711" spans="1:19" ht="18" x14ac:dyDescent="0.25">
      <c r="A711" s="282"/>
      <c r="B711" s="47"/>
      <c r="C711" s="48"/>
      <c r="D711" s="284"/>
      <c r="E711" s="47"/>
      <c r="F711" s="50"/>
      <c r="G711" s="51" t="str">
        <f t="shared" si="56"/>
        <v>Sáb</v>
      </c>
      <c r="H711" s="52"/>
      <c r="I711" s="47"/>
      <c r="J711" s="283"/>
      <c r="K711" s="283"/>
      <c r="L711" s="53" t="str">
        <f t="shared" si="57"/>
        <v>SIM</v>
      </c>
      <c r="M711" s="283"/>
      <c r="N711" s="47"/>
      <c r="O711" s="283"/>
      <c r="P711" s="47"/>
      <c r="Q711" s="283"/>
      <c r="R711" s="283"/>
      <c r="S711" s="79" t="str">
        <f t="shared" ca="1" si="58"/>
        <v>EXECUTADA</v>
      </c>
    </row>
    <row r="712" spans="1:19" ht="18" x14ac:dyDescent="0.25">
      <c r="A712" s="282"/>
      <c r="B712" s="47"/>
      <c r="C712" s="48"/>
      <c r="D712" s="284"/>
      <c r="E712" s="47"/>
      <c r="F712" s="50"/>
      <c r="G712" s="51" t="str">
        <f t="shared" si="56"/>
        <v>Sáb</v>
      </c>
      <c r="H712" s="52"/>
      <c r="I712" s="47"/>
      <c r="J712" s="283"/>
      <c r="K712" s="283"/>
      <c r="L712" s="53" t="str">
        <f t="shared" si="57"/>
        <v>SIM</v>
      </c>
      <c r="M712" s="283"/>
      <c r="N712" s="47"/>
      <c r="O712" s="283"/>
      <c r="P712" s="47"/>
      <c r="Q712" s="283"/>
      <c r="R712" s="283"/>
      <c r="S712" s="79" t="str">
        <f t="shared" ca="1" si="58"/>
        <v>EXECUTADA</v>
      </c>
    </row>
    <row r="713" spans="1:19" ht="18" x14ac:dyDescent="0.25">
      <c r="A713" s="282"/>
      <c r="B713" s="47"/>
      <c r="C713" s="48"/>
      <c r="D713" s="284"/>
      <c r="E713" s="47"/>
      <c r="F713" s="50"/>
      <c r="G713" s="51" t="str">
        <f t="shared" si="56"/>
        <v>Sáb</v>
      </c>
      <c r="H713" s="52"/>
      <c r="I713" s="47"/>
      <c r="J713" s="283"/>
      <c r="K713" s="283"/>
      <c r="L713" s="53" t="str">
        <f t="shared" si="57"/>
        <v>SIM</v>
      </c>
      <c r="M713" s="283"/>
      <c r="N713" s="47"/>
      <c r="O713" s="283"/>
      <c r="P713" s="47"/>
      <c r="Q713" s="283"/>
      <c r="R713" s="283"/>
      <c r="S713" s="79" t="str">
        <f t="shared" ca="1" si="58"/>
        <v>EXECUTADA</v>
      </c>
    </row>
    <row r="714" spans="1:19" ht="18" x14ac:dyDescent="0.25">
      <c r="A714" s="282"/>
      <c r="B714" s="47"/>
      <c r="C714" s="48"/>
      <c r="D714" s="284"/>
      <c r="E714" s="47"/>
      <c r="F714" s="50"/>
      <c r="G714" s="51" t="str">
        <f t="shared" si="56"/>
        <v>Sáb</v>
      </c>
      <c r="H714" s="52"/>
      <c r="I714" s="47"/>
      <c r="J714" s="283"/>
      <c r="K714" s="283"/>
      <c r="L714" s="53" t="str">
        <f t="shared" si="57"/>
        <v>SIM</v>
      </c>
      <c r="M714" s="283"/>
      <c r="N714" s="47"/>
      <c r="O714" s="283"/>
      <c r="P714" s="47"/>
      <c r="Q714" s="283"/>
      <c r="R714" s="283"/>
      <c r="S714" s="79" t="str">
        <f t="shared" ca="1" si="58"/>
        <v>EXECUTADA</v>
      </c>
    </row>
    <row r="715" spans="1:19" ht="18" x14ac:dyDescent="0.25">
      <c r="A715" s="282"/>
      <c r="B715" s="47"/>
      <c r="C715" s="48"/>
      <c r="D715" s="284"/>
      <c r="E715" s="47"/>
      <c r="F715" s="50"/>
      <c r="G715" s="51" t="str">
        <f t="shared" si="56"/>
        <v>Sáb</v>
      </c>
      <c r="H715" s="52"/>
      <c r="I715" s="47"/>
      <c r="J715" s="283"/>
      <c r="K715" s="283"/>
      <c r="L715" s="53" t="str">
        <f t="shared" si="57"/>
        <v>SIM</v>
      </c>
      <c r="M715" s="283"/>
      <c r="N715" s="47"/>
      <c r="O715" s="283"/>
      <c r="P715" s="47"/>
      <c r="Q715" s="283"/>
      <c r="R715" s="283"/>
      <c r="S715" s="79" t="str">
        <f t="shared" ca="1" si="58"/>
        <v>EXECUTADA</v>
      </c>
    </row>
    <row r="716" spans="1:19" ht="18" x14ac:dyDescent="0.25">
      <c r="A716" s="282"/>
      <c r="B716" s="47"/>
      <c r="C716" s="48"/>
      <c r="D716" s="284"/>
      <c r="E716" s="47"/>
      <c r="F716" s="50"/>
      <c r="G716" s="51" t="str">
        <f t="shared" si="56"/>
        <v>Sáb</v>
      </c>
      <c r="H716" s="52"/>
      <c r="I716" s="47"/>
      <c r="J716" s="283"/>
      <c r="K716" s="283"/>
      <c r="L716" s="53" t="str">
        <f t="shared" si="57"/>
        <v>SIM</v>
      </c>
      <c r="M716" s="283"/>
      <c r="N716" s="47"/>
      <c r="O716" s="283"/>
      <c r="P716" s="47"/>
      <c r="Q716" s="283"/>
      <c r="R716" s="283"/>
      <c r="S716" s="79" t="str">
        <f t="shared" ca="1" si="58"/>
        <v>EXECUTADA</v>
      </c>
    </row>
    <row r="717" spans="1:19" ht="18" x14ac:dyDescent="0.25">
      <c r="A717" s="282"/>
      <c r="B717" s="47"/>
      <c r="C717" s="48"/>
      <c r="D717" s="284"/>
      <c r="E717" s="47"/>
      <c r="F717" s="50"/>
      <c r="G717" s="51" t="str">
        <f t="shared" si="56"/>
        <v>Sáb</v>
      </c>
      <c r="H717" s="52"/>
      <c r="I717" s="47"/>
      <c r="J717" s="283"/>
      <c r="K717" s="283"/>
      <c r="L717" s="53" t="str">
        <f t="shared" si="57"/>
        <v>SIM</v>
      </c>
      <c r="M717" s="283"/>
      <c r="N717" s="47"/>
      <c r="O717" s="283"/>
      <c r="P717" s="47"/>
      <c r="Q717" s="283"/>
      <c r="R717" s="283"/>
      <c r="S717" s="79" t="str">
        <f t="shared" ca="1" si="58"/>
        <v>EXECUTADA</v>
      </c>
    </row>
    <row r="718" spans="1:19" ht="18" x14ac:dyDescent="0.25">
      <c r="A718" s="282"/>
      <c r="B718" s="47"/>
      <c r="C718" s="48"/>
      <c r="D718" s="284"/>
      <c r="E718" s="47"/>
      <c r="F718" s="50"/>
      <c r="G718" s="51" t="str">
        <f t="shared" si="56"/>
        <v>Sáb</v>
      </c>
      <c r="H718" s="52"/>
      <c r="I718" s="47"/>
      <c r="J718" s="283"/>
      <c r="K718" s="283"/>
      <c r="L718" s="53" t="str">
        <f t="shared" si="57"/>
        <v>SIM</v>
      </c>
      <c r="M718" s="283"/>
      <c r="N718" s="47"/>
      <c r="O718" s="283"/>
      <c r="P718" s="47"/>
      <c r="Q718" s="283"/>
      <c r="R718" s="283"/>
      <c r="S718" s="79" t="str">
        <f t="shared" ca="1" si="58"/>
        <v>EXECUTADA</v>
      </c>
    </row>
    <row r="719" spans="1:19" ht="18" x14ac:dyDescent="0.25">
      <c r="A719" s="282"/>
      <c r="B719" s="47"/>
      <c r="C719" s="48"/>
      <c r="D719" s="284"/>
      <c r="E719" s="47"/>
      <c r="F719" s="50"/>
      <c r="G719" s="51" t="str">
        <f t="shared" si="56"/>
        <v>Sáb</v>
      </c>
      <c r="H719" s="52"/>
      <c r="I719" s="47"/>
      <c r="J719" s="283"/>
      <c r="K719" s="283"/>
      <c r="L719" s="53" t="str">
        <f t="shared" si="57"/>
        <v>SIM</v>
      </c>
      <c r="M719" s="283"/>
      <c r="N719" s="47"/>
      <c r="O719" s="283"/>
      <c r="P719" s="47"/>
      <c r="Q719" s="283"/>
      <c r="R719" s="283"/>
      <c r="S719" s="79" t="str">
        <f t="shared" ca="1" si="58"/>
        <v>EXECUTADA</v>
      </c>
    </row>
    <row r="720" spans="1:19" ht="18" x14ac:dyDescent="0.25">
      <c r="A720" s="282"/>
      <c r="B720" s="47"/>
      <c r="C720" s="48"/>
      <c r="D720" s="284"/>
      <c r="E720" s="47"/>
      <c r="F720" s="50"/>
      <c r="G720" s="51" t="str">
        <f t="shared" si="56"/>
        <v>Sáb</v>
      </c>
      <c r="H720" s="52"/>
      <c r="I720" s="47"/>
      <c r="J720" s="283"/>
      <c r="K720" s="283"/>
      <c r="L720" s="53" t="str">
        <f t="shared" si="57"/>
        <v>SIM</v>
      </c>
      <c r="M720" s="283"/>
      <c r="N720" s="47"/>
      <c r="O720" s="283"/>
      <c r="P720" s="47"/>
      <c r="Q720" s="283"/>
      <c r="R720" s="283"/>
      <c r="S720" s="79" t="str">
        <f t="shared" ca="1" si="58"/>
        <v>EXECUTADA</v>
      </c>
    </row>
    <row r="721" spans="1:19" ht="18" x14ac:dyDescent="0.25">
      <c r="A721" s="282"/>
      <c r="B721" s="47"/>
      <c r="C721" s="48"/>
      <c r="D721" s="284"/>
      <c r="E721" s="47"/>
      <c r="F721" s="50"/>
      <c r="G721" s="51" t="str">
        <f t="shared" si="56"/>
        <v>Sáb</v>
      </c>
      <c r="H721" s="52"/>
      <c r="I721" s="47"/>
      <c r="J721" s="283"/>
      <c r="K721" s="283"/>
      <c r="L721" s="53" t="str">
        <f t="shared" si="57"/>
        <v>SIM</v>
      </c>
      <c r="M721" s="283"/>
      <c r="N721" s="47"/>
      <c r="O721" s="283"/>
      <c r="P721" s="47"/>
      <c r="Q721" s="283"/>
      <c r="R721" s="283"/>
      <c r="S721" s="79" t="str">
        <f t="shared" ca="1" si="58"/>
        <v>EXECUTADA</v>
      </c>
    </row>
    <row r="722" spans="1:19" ht="18" x14ac:dyDescent="0.25">
      <c r="A722" s="282"/>
      <c r="B722" s="47"/>
      <c r="C722" s="48"/>
      <c r="D722" s="284"/>
      <c r="E722" s="47"/>
      <c r="F722" s="50"/>
      <c r="G722" s="51" t="str">
        <f t="shared" si="56"/>
        <v>Sáb</v>
      </c>
      <c r="H722" s="52"/>
      <c r="I722" s="47"/>
      <c r="J722" s="283"/>
      <c r="K722" s="283"/>
      <c r="L722" s="53" t="str">
        <f t="shared" si="57"/>
        <v>SIM</v>
      </c>
      <c r="M722" s="283"/>
      <c r="N722" s="47"/>
      <c r="O722" s="283"/>
      <c r="P722" s="47"/>
      <c r="Q722" s="283"/>
      <c r="R722" s="283"/>
      <c r="S722" s="79" t="str">
        <f t="shared" ca="1" si="58"/>
        <v>EXECUTADA</v>
      </c>
    </row>
    <row r="723" spans="1:19" ht="18" x14ac:dyDescent="0.25">
      <c r="A723" s="282"/>
      <c r="B723" s="47"/>
      <c r="C723" s="48"/>
      <c r="D723" s="284"/>
      <c r="E723" s="47"/>
      <c r="F723" s="50"/>
      <c r="G723" s="51" t="str">
        <f t="shared" si="56"/>
        <v>Sáb</v>
      </c>
      <c r="H723" s="52"/>
      <c r="I723" s="47"/>
      <c r="J723" s="283"/>
      <c r="K723" s="283"/>
      <c r="L723" s="53" t="str">
        <f t="shared" si="57"/>
        <v>SIM</v>
      </c>
      <c r="M723" s="283"/>
      <c r="N723" s="47"/>
      <c r="O723" s="283"/>
      <c r="P723" s="47"/>
      <c r="Q723" s="283"/>
      <c r="R723" s="283"/>
      <c r="S723" s="79" t="str">
        <f t="shared" ca="1" si="58"/>
        <v>EXECUTADA</v>
      </c>
    </row>
    <row r="724" spans="1:19" ht="18" x14ac:dyDescent="0.25">
      <c r="A724" s="282"/>
      <c r="B724" s="47"/>
      <c r="C724" s="48"/>
      <c r="D724" s="284"/>
      <c r="E724" s="47"/>
      <c r="F724" s="50"/>
      <c r="G724" s="51" t="str">
        <f t="shared" si="56"/>
        <v>Sáb</v>
      </c>
      <c r="H724" s="52"/>
      <c r="I724" s="47"/>
      <c r="J724" s="283"/>
      <c r="K724" s="283"/>
      <c r="L724" s="53" t="str">
        <f t="shared" si="57"/>
        <v>SIM</v>
      </c>
      <c r="M724" s="283"/>
      <c r="N724" s="47"/>
      <c r="O724" s="283"/>
      <c r="P724" s="47"/>
      <c r="Q724" s="283"/>
      <c r="R724" s="283"/>
      <c r="S724" s="79" t="str">
        <f t="shared" ca="1" si="58"/>
        <v>EXECUTADA</v>
      </c>
    </row>
    <row r="725" spans="1:19" ht="18" x14ac:dyDescent="0.25">
      <c r="A725" s="282"/>
      <c r="B725" s="47"/>
      <c r="C725" s="48"/>
      <c r="D725" s="284"/>
      <c r="E725" s="47"/>
      <c r="F725" s="50"/>
      <c r="G725" s="51" t="str">
        <f t="shared" si="56"/>
        <v>Sáb</v>
      </c>
      <c r="H725" s="52"/>
      <c r="I725" s="47"/>
      <c r="J725" s="283"/>
      <c r="K725" s="283"/>
      <c r="L725" s="53" t="str">
        <f t="shared" si="57"/>
        <v>SIM</v>
      </c>
      <c r="M725" s="283"/>
      <c r="N725" s="47"/>
      <c r="O725" s="283"/>
      <c r="P725" s="47"/>
      <c r="Q725" s="283"/>
      <c r="R725" s="283"/>
      <c r="S725" s="79" t="str">
        <f t="shared" ca="1" si="58"/>
        <v>EXECUTADA</v>
      </c>
    </row>
    <row r="726" spans="1:19" ht="18" x14ac:dyDescent="0.25">
      <c r="A726" s="282"/>
      <c r="B726" s="47"/>
      <c r="C726" s="48"/>
      <c r="D726" s="284"/>
      <c r="E726" s="47"/>
      <c r="F726" s="50"/>
      <c r="G726" s="51" t="str">
        <f t="shared" si="56"/>
        <v>Sáb</v>
      </c>
      <c r="H726" s="52"/>
      <c r="I726" s="47"/>
      <c r="J726" s="283"/>
      <c r="K726" s="283"/>
      <c r="L726" s="53" t="str">
        <f t="shared" si="57"/>
        <v>SIM</v>
      </c>
      <c r="M726" s="283"/>
      <c r="N726" s="47"/>
      <c r="O726" s="283"/>
      <c r="P726" s="47"/>
      <c r="Q726" s="283"/>
      <c r="R726" s="283"/>
      <c r="S726" s="79" t="str">
        <f t="shared" ca="1" si="58"/>
        <v>EXECUTADA</v>
      </c>
    </row>
    <row r="727" spans="1:19" ht="18" x14ac:dyDescent="0.25">
      <c r="A727" s="282"/>
      <c r="B727" s="47"/>
      <c r="C727" s="48"/>
      <c r="D727" s="284"/>
      <c r="E727" s="47"/>
      <c r="F727" s="50"/>
      <c r="G727" s="51" t="str">
        <f t="shared" si="56"/>
        <v>Sáb</v>
      </c>
      <c r="H727" s="52"/>
      <c r="I727" s="47"/>
      <c r="J727" s="283"/>
      <c r="K727" s="283"/>
      <c r="L727" s="53" t="str">
        <f t="shared" si="57"/>
        <v>SIM</v>
      </c>
      <c r="M727" s="283"/>
      <c r="N727" s="47"/>
      <c r="O727" s="283"/>
      <c r="P727" s="47"/>
      <c r="Q727" s="283"/>
      <c r="R727" s="283"/>
      <c r="S727" s="79" t="str">
        <f t="shared" ca="1" si="58"/>
        <v>EXECUTADA</v>
      </c>
    </row>
    <row r="728" spans="1:19" ht="18" x14ac:dyDescent="0.25">
      <c r="A728" s="282"/>
      <c r="B728" s="47"/>
      <c r="C728" s="48"/>
      <c r="D728" s="284"/>
      <c r="E728" s="47"/>
      <c r="F728" s="50"/>
      <c r="G728" s="51" t="str">
        <f t="shared" si="56"/>
        <v>Sáb</v>
      </c>
      <c r="H728" s="52"/>
      <c r="I728" s="47"/>
      <c r="J728" s="283"/>
      <c r="K728" s="283"/>
      <c r="L728" s="53" t="str">
        <f t="shared" si="57"/>
        <v>SIM</v>
      </c>
      <c r="M728" s="283"/>
      <c r="N728" s="47"/>
      <c r="O728" s="283"/>
      <c r="P728" s="47"/>
      <c r="Q728" s="283"/>
      <c r="R728" s="283"/>
      <c r="S728" s="79" t="str">
        <f t="shared" ca="1" si="58"/>
        <v>EXECUTADA</v>
      </c>
    </row>
    <row r="729" spans="1:19" ht="18" x14ac:dyDescent="0.25">
      <c r="A729" s="282"/>
      <c r="B729" s="47"/>
      <c r="C729" s="48"/>
      <c r="D729" s="284"/>
      <c r="E729" s="47"/>
      <c r="F729" s="50"/>
      <c r="G729" s="51" t="str">
        <f t="shared" si="56"/>
        <v>Sáb</v>
      </c>
      <c r="H729" s="52"/>
      <c r="I729" s="47"/>
      <c r="J729" s="283"/>
      <c r="K729" s="283"/>
      <c r="L729" s="53" t="str">
        <f t="shared" si="57"/>
        <v>SIM</v>
      </c>
      <c r="M729" s="283"/>
      <c r="N729" s="47"/>
      <c r="O729" s="283"/>
      <c r="P729" s="47"/>
      <c r="Q729" s="283"/>
      <c r="R729" s="283"/>
      <c r="S729" s="79" t="str">
        <f t="shared" ca="1" si="58"/>
        <v>EXECUTADA</v>
      </c>
    </row>
    <row r="730" spans="1:19" ht="18" x14ac:dyDescent="0.25">
      <c r="A730" s="282"/>
      <c r="B730" s="47"/>
      <c r="C730" s="48"/>
      <c r="D730" s="284"/>
      <c r="E730" s="47"/>
      <c r="F730" s="50"/>
      <c r="G730" s="51" t="str">
        <f t="shared" si="56"/>
        <v>Sáb</v>
      </c>
      <c r="H730" s="52"/>
      <c r="I730" s="47"/>
      <c r="J730" s="283"/>
      <c r="K730" s="283"/>
      <c r="L730" s="53" t="str">
        <f t="shared" si="57"/>
        <v>SIM</v>
      </c>
      <c r="M730" s="283"/>
      <c r="N730" s="47"/>
      <c r="O730" s="283"/>
      <c r="P730" s="47"/>
      <c r="Q730" s="283"/>
      <c r="R730" s="283"/>
      <c r="S730" s="79" t="str">
        <f t="shared" ca="1" si="58"/>
        <v>EXECUTADA</v>
      </c>
    </row>
    <row r="731" spans="1:19" ht="18" x14ac:dyDescent="0.25">
      <c r="A731" s="282"/>
      <c r="B731" s="47"/>
      <c r="C731" s="48"/>
      <c r="D731" s="284"/>
      <c r="E731" s="47"/>
      <c r="F731" s="50"/>
      <c r="G731" s="51" t="str">
        <f t="shared" si="56"/>
        <v>Sáb</v>
      </c>
      <c r="H731" s="52"/>
      <c r="I731" s="47"/>
      <c r="J731" s="283"/>
      <c r="K731" s="283"/>
      <c r="L731" s="53" t="str">
        <f t="shared" si="57"/>
        <v>SIM</v>
      </c>
      <c r="M731" s="283"/>
      <c r="N731" s="47"/>
      <c r="O731" s="283"/>
      <c r="P731" s="47"/>
      <c r="Q731" s="283"/>
      <c r="R731" s="283"/>
      <c r="S731" s="79" t="str">
        <f t="shared" ca="1" si="58"/>
        <v>EXECUTADA</v>
      </c>
    </row>
    <row r="732" spans="1:19" ht="18" x14ac:dyDescent="0.25">
      <c r="A732" s="282"/>
      <c r="B732" s="47"/>
      <c r="C732" s="48"/>
      <c r="D732" s="284"/>
      <c r="E732" s="47"/>
      <c r="F732" s="50"/>
      <c r="G732" s="51" t="str">
        <f t="shared" si="56"/>
        <v>Sáb</v>
      </c>
      <c r="H732" s="52"/>
      <c r="I732" s="47"/>
      <c r="J732" s="283"/>
      <c r="K732" s="283"/>
      <c r="L732" s="53" t="str">
        <f t="shared" si="57"/>
        <v>SIM</v>
      </c>
      <c r="M732" s="283"/>
      <c r="N732" s="47"/>
      <c r="O732" s="283"/>
      <c r="P732" s="47"/>
      <c r="Q732" s="283"/>
      <c r="R732" s="283"/>
      <c r="S732" s="79" t="str">
        <f t="shared" ca="1" si="58"/>
        <v>EXECUTADA</v>
      </c>
    </row>
    <row r="733" spans="1:19" ht="18" x14ac:dyDescent="0.25">
      <c r="A733" s="282"/>
      <c r="B733" s="47"/>
      <c r="C733" s="48"/>
      <c r="D733" s="284"/>
      <c r="E733" s="47"/>
      <c r="F733" s="50"/>
      <c r="G733" s="51" t="str">
        <f t="shared" si="56"/>
        <v>Sáb</v>
      </c>
      <c r="H733" s="52"/>
      <c r="I733" s="47"/>
      <c r="J733" s="283"/>
      <c r="K733" s="283"/>
      <c r="L733" s="53" t="str">
        <f t="shared" si="57"/>
        <v>SIM</v>
      </c>
      <c r="M733" s="283"/>
      <c r="N733" s="47"/>
      <c r="O733" s="283"/>
      <c r="P733" s="47"/>
      <c r="Q733" s="283"/>
      <c r="R733" s="283"/>
      <c r="S733" s="79" t="str">
        <f t="shared" ca="1" si="58"/>
        <v>EXECUTADA</v>
      </c>
    </row>
    <row r="734" spans="1:19" ht="18" x14ac:dyDescent="0.25">
      <c r="A734" s="282"/>
      <c r="B734" s="47"/>
      <c r="C734" s="48"/>
      <c r="D734" s="284"/>
      <c r="E734" s="47"/>
      <c r="F734" s="50"/>
      <c r="G734" s="51" t="str">
        <f t="shared" si="56"/>
        <v>Sáb</v>
      </c>
      <c r="H734" s="52"/>
      <c r="I734" s="47"/>
      <c r="J734" s="283"/>
      <c r="K734" s="283"/>
      <c r="L734" s="53" t="str">
        <f t="shared" si="57"/>
        <v>SIM</v>
      </c>
      <c r="M734" s="283"/>
      <c r="N734" s="47"/>
      <c r="O734" s="283"/>
      <c r="P734" s="47"/>
      <c r="Q734" s="283"/>
      <c r="R734" s="283"/>
      <c r="S734" s="79" t="str">
        <f t="shared" ca="1" si="58"/>
        <v>EXECUTADA</v>
      </c>
    </row>
    <row r="735" spans="1:19" ht="18" x14ac:dyDescent="0.25">
      <c r="A735" s="282"/>
      <c r="B735" s="47"/>
      <c r="C735" s="48"/>
      <c r="D735" s="284"/>
      <c r="E735" s="47"/>
      <c r="F735" s="50"/>
      <c r="G735" s="51" t="str">
        <f t="shared" si="56"/>
        <v>Sáb</v>
      </c>
      <c r="H735" s="52"/>
      <c r="I735" s="47"/>
      <c r="J735" s="283"/>
      <c r="K735" s="283"/>
      <c r="L735" s="53" t="str">
        <f t="shared" si="57"/>
        <v>SIM</v>
      </c>
      <c r="M735" s="283"/>
      <c r="N735" s="47"/>
      <c r="O735" s="283"/>
      <c r="P735" s="47"/>
      <c r="Q735" s="283"/>
      <c r="R735" s="283"/>
      <c r="S735" s="79" t="str">
        <f t="shared" ca="1" si="58"/>
        <v>EXECUTADA</v>
      </c>
    </row>
    <row r="736" spans="1:19" ht="18" x14ac:dyDescent="0.25">
      <c r="A736" s="282"/>
      <c r="B736" s="47"/>
      <c r="C736" s="48"/>
      <c r="D736" s="284"/>
      <c r="E736" s="47"/>
      <c r="F736" s="50"/>
      <c r="G736" s="51" t="str">
        <f t="shared" si="56"/>
        <v>Sáb</v>
      </c>
      <c r="H736" s="52"/>
      <c r="I736" s="47"/>
      <c r="J736" s="283"/>
      <c r="K736" s="283"/>
      <c r="L736" s="53" t="str">
        <f t="shared" si="57"/>
        <v>SIM</v>
      </c>
      <c r="M736" s="283"/>
      <c r="N736" s="47"/>
      <c r="O736" s="283"/>
      <c r="P736" s="47"/>
      <c r="Q736" s="283"/>
      <c r="R736" s="283"/>
      <c r="S736" s="79" t="str">
        <f t="shared" ca="1" si="58"/>
        <v>EXECUTADA</v>
      </c>
    </row>
    <row r="737" spans="1:19" ht="18" x14ac:dyDescent="0.25">
      <c r="A737" s="282"/>
      <c r="B737" s="47"/>
      <c r="C737" s="48"/>
      <c r="D737" s="284"/>
      <c r="E737" s="47"/>
      <c r="F737" s="50"/>
      <c r="G737" s="51" t="str">
        <f t="shared" si="56"/>
        <v>Sáb</v>
      </c>
      <c r="H737" s="52"/>
      <c r="I737" s="47"/>
      <c r="J737" s="283"/>
      <c r="K737" s="283"/>
      <c r="L737" s="53" t="str">
        <f t="shared" si="57"/>
        <v>SIM</v>
      </c>
      <c r="M737" s="283"/>
      <c r="N737" s="47"/>
      <c r="O737" s="283"/>
      <c r="P737" s="47"/>
      <c r="Q737" s="283"/>
      <c r="R737" s="283"/>
      <c r="S737" s="79" t="str">
        <f t="shared" ca="1" si="58"/>
        <v>EXECUTADA</v>
      </c>
    </row>
    <row r="738" spans="1:19" ht="18" x14ac:dyDescent="0.25">
      <c r="A738" s="282"/>
      <c r="B738" s="47"/>
      <c r="C738" s="48"/>
      <c r="D738" s="284"/>
      <c r="E738" s="47"/>
      <c r="F738" s="50"/>
      <c r="G738" s="51" t="str">
        <f t="shared" si="56"/>
        <v>Sáb</v>
      </c>
      <c r="H738" s="52"/>
      <c r="I738" s="47"/>
      <c r="J738" s="283"/>
      <c r="K738" s="283"/>
      <c r="L738" s="53" t="str">
        <f t="shared" si="57"/>
        <v>SIM</v>
      </c>
      <c r="M738" s="283"/>
      <c r="N738" s="47"/>
      <c r="O738" s="283"/>
      <c r="P738" s="47"/>
      <c r="Q738" s="283"/>
      <c r="R738" s="283"/>
      <c r="S738" s="79" t="str">
        <f t="shared" ca="1" si="58"/>
        <v>EXECUTADA</v>
      </c>
    </row>
    <row r="739" spans="1:19" ht="18" x14ac:dyDescent="0.25">
      <c r="A739" s="282"/>
      <c r="B739" s="47"/>
      <c r="C739" s="48"/>
      <c r="D739" s="284"/>
      <c r="E739" s="47"/>
      <c r="F739" s="50"/>
      <c r="G739" s="51" t="str">
        <f t="shared" si="56"/>
        <v>Sáb</v>
      </c>
      <c r="H739" s="52"/>
      <c r="I739" s="47"/>
      <c r="J739" s="283"/>
      <c r="K739" s="283"/>
      <c r="L739" s="53" t="str">
        <f t="shared" si="57"/>
        <v>SIM</v>
      </c>
      <c r="M739" s="283"/>
      <c r="N739" s="47"/>
      <c r="O739" s="283"/>
      <c r="P739" s="47"/>
      <c r="Q739" s="283"/>
      <c r="R739" s="283"/>
      <c r="S739" s="79" t="str">
        <f t="shared" ca="1" si="58"/>
        <v>EXECUTADA</v>
      </c>
    </row>
    <row r="740" spans="1:19" ht="18" x14ac:dyDescent="0.25">
      <c r="A740" s="282"/>
      <c r="B740" s="47"/>
      <c r="C740" s="48"/>
      <c r="D740" s="284"/>
      <c r="E740" s="47"/>
      <c r="F740" s="50"/>
      <c r="G740" s="51" t="str">
        <f t="shared" si="56"/>
        <v>Sáb</v>
      </c>
      <c r="H740" s="52"/>
      <c r="I740" s="47"/>
      <c r="J740" s="283"/>
      <c r="K740" s="283"/>
      <c r="L740" s="53" t="str">
        <f t="shared" si="57"/>
        <v>SIM</v>
      </c>
      <c r="M740" s="283"/>
      <c r="N740" s="47"/>
      <c r="O740" s="283"/>
      <c r="P740" s="47"/>
      <c r="Q740" s="283"/>
      <c r="R740" s="283"/>
      <c r="S740" s="79" t="str">
        <f t="shared" ca="1" si="58"/>
        <v>EXECUTADA</v>
      </c>
    </row>
    <row r="741" spans="1:19" ht="18" x14ac:dyDescent="0.25">
      <c r="A741" s="282"/>
      <c r="B741" s="47"/>
      <c r="C741" s="48"/>
      <c r="D741" s="284"/>
      <c r="E741" s="47"/>
      <c r="F741" s="50"/>
      <c r="G741" s="51" t="str">
        <f t="shared" si="56"/>
        <v>Sáb</v>
      </c>
      <c r="H741" s="52"/>
      <c r="I741" s="47"/>
      <c r="J741" s="283"/>
      <c r="K741" s="283"/>
      <c r="L741" s="53" t="str">
        <f t="shared" si="57"/>
        <v>SIM</v>
      </c>
      <c r="M741" s="283"/>
      <c r="N741" s="47"/>
      <c r="O741" s="283"/>
      <c r="P741" s="47"/>
      <c r="Q741" s="283"/>
      <c r="R741" s="283"/>
      <c r="S741" s="79" t="str">
        <f t="shared" ca="1" si="58"/>
        <v>EXECUTADA</v>
      </c>
    </row>
    <row r="742" spans="1:19" ht="18" x14ac:dyDescent="0.25">
      <c r="A742" s="282"/>
      <c r="B742" s="47"/>
      <c r="C742" s="48"/>
      <c r="D742" s="284"/>
      <c r="E742" s="47"/>
      <c r="F742" s="50"/>
      <c r="G742" s="51" t="str">
        <f t="shared" si="56"/>
        <v>Sáb</v>
      </c>
      <c r="H742" s="52"/>
      <c r="I742" s="47"/>
      <c r="J742" s="283"/>
      <c r="K742" s="283"/>
      <c r="L742" s="53" t="str">
        <f t="shared" si="57"/>
        <v>SIM</v>
      </c>
      <c r="M742" s="283"/>
      <c r="N742" s="47"/>
      <c r="O742" s="283"/>
      <c r="P742" s="47"/>
      <c r="Q742" s="283"/>
      <c r="R742" s="283"/>
      <c r="S742" s="79" t="str">
        <f t="shared" ca="1" si="58"/>
        <v>EXECUTADA</v>
      </c>
    </row>
    <row r="743" spans="1:19" ht="18" x14ac:dyDescent="0.25">
      <c r="A743" s="282"/>
      <c r="B743" s="47"/>
      <c r="C743" s="48"/>
      <c r="D743" s="284"/>
      <c r="E743" s="47"/>
      <c r="F743" s="50"/>
      <c r="G743" s="51" t="str">
        <f t="shared" si="56"/>
        <v>Sáb</v>
      </c>
      <c r="H743" s="52"/>
      <c r="I743" s="47"/>
      <c r="J743" s="283"/>
      <c r="K743" s="283"/>
      <c r="L743" s="53" t="str">
        <f t="shared" si="57"/>
        <v>SIM</v>
      </c>
      <c r="M743" s="283"/>
      <c r="N743" s="47"/>
      <c r="O743" s="283"/>
      <c r="P743" s="47"/>
      <c r="Q743" s="283"/>
      <c r="R743" s="283"/>
      <c r="S743" s="79" t="str">
        <f t="shared" ca="1" si="58"/>
        <v>EXECUTADA</v>
      </c>
    </row>
    <row r="744" spans="1:19" ht="18" x14ac:dyDescent="0.25">
      <c r="A744" s="282"/>
      <c r="B744" s="47"/>
      <c r="C744" s="48"/>
      <c r="D744" s="284"/>
      <c r="E744" s="47"/>
      <c r="F744" s="50"/>
      <c r="G744" s="51" t="str">
        <f t="shared" si="56"/>
        <v>Sáb</v>
      </c>
      <c r="H744" s="52"/>
      <c r="I744" s="47"/>
      <c r="J744" s="283"/>
      <c r="K744" s="283"/>
      <c r="L744" s="53" t="str">
        <f t="shared" si="57"/>
        <v>SIM</v>
      </c>
      <c r="M744" s="283"/>
      <c r="N744" s="47"/>
      <c r="O744" s="283"/>
      <c r="P744" s="47"/>
      <c r="Q744" s="283"/>
      <c r="R744" s="283"/>
      <c r="S744" s="79" t="str">
        <f t="shared" ca="1" si="58"/>
        <v>EXECUTADA</v>
      </c>
    </row>
    <row r="745" spans="1:19" ht="18" x14ac:dyDescent="0.25">
      <c r="A745" s="282"/>
      <c r="B745" s="47"/>
      <c r="C745" s="48"/>
      <c r="D745" s="284"/>
      <c r="E745" s="47"/>
      <c r="F745" s="50"/>
      <c r="G745" s="51" t="str">
        <f t="shared" si="56"/>
        <v>Sáb</v>
      </c>
      <c r="H745" s="52"/>
      <c r="I745" s="47"/>
      <c r="J745" s="283"/>
      <c r="K745" s="283"/>
      <c r="L745" s="53" t="str">
        <f t="shared" si="57"/>
        <v>SIM</v>
      </c>
      <c r="M745" s="283"/>
      <c r="N745" s="47"/>
      <c r="O745" s="283"/>
      <c r="P745" s="47"/>
      <c r="Q745" s="283"/>
      <c r="R745" s="283"/>
      <c r="S745" s="79" t="str">
        <f t="shared" ca="1" si="58"/>
        <v>EXECUTADA</v>
      </c>
    </row>
    <row r="746" spans="1:19" ht="18" x14ac:dyDescent="0.25">
      <c r="A746" s="282"/>
      <c r="B746" s="47"/>
      <c r="C746" s="48"/>
      <c r="D746" s="284"/>
      <c r="E746" s="47"/>
      <c r="F746" s="50"/>
      <c r="G746" s="51" t="str">
        <f t="shared" ref="G746:G809" si="59">PROPER(TEXT(F746,"DDD"))</f>
        <v>Sáb</v>
      </c>
      <c r="H746" s="52"/>
      <c r="I746" s="47"/>
      <c r="J746" s="283"/>
      <c r="K746" s="283"/>
      <c r="L746" s="53" t="str">
        <f t="shared" si="57"/>
        <v>SIM</v>
      </c>
      <c r="M746" s="283"/>
      <c r="N746" s="47"/>
      <c r="O746" s="283"/>
      <c r="P746" s="47"/>
      <c r="Q746" s="283"/>
      <c r="R746" s="283"/>
      <c r="S746" s="79" t="str">
        <f t="shared" ca="1" si="58"/>
        <v>EXECUTADA</v>
      </c>
    </row>
    <row r="747" spans="1:19" ht="18" x14ac:dyDescent="0.25">
      <c r="A747" s="282"/>
      <c r="B747" s="47"/>
      <c r="C747" s="48"/>
      <c r="D747" s="284"/>
      <c r="E747" s="47"/>
      <c r="F747" s="50"/>
      <c r="G747" s="51" t="str">
        <f t="shared" si="59"/>
        <v>Sáb</v>
      </c>
      <c r="H747" s="52"/>
      <c r="I747" s="47"/>
      <c r="J747" s="283"/>
      <c r="K747" s="283"/>
      <c r="L747" s="53" t="str">
        <f t="shared" si="57"/>
        <v>SIM</v>
      </c>
      <c r="M747" s="283"/>
      <c r="N747" s="47"/>
      <c r="O747" s="283"/>
      <c r="P747" s="47"/>
      <c r="Q747" s="283"/>
      <c r="R747" s="283"/>
      <c r="S747" s="79" t="str">
        <f t="shared" ca="1" si="58"/>
        <v>EXECUTADA</v>
      </c>
    </row>
    <row r="748" spans="1:19" ht="18" x14ac:dyDescent="0.25">
      <c r="A748" s="282"/>
      <c r="B748" s="47"/>
      <c r="C748" s="48"/>
      <c r="D748" s="284"/>
      <c r="E748" s="47"/>
      <c r="F748" s="50"/>
      <c r="G748" s="51" t="str">
        <f t="shared" si="59"/>
        <v>Sáb</v>
      </c>
      <c r="H748" s="52"/>
      <c r="I748" s="47"/>
      <c r="J748" s="283"/>
      <c r="K748" s="283"/>
      <c r="L748" s="53" t="str">
        <f t="shared" si="57"/>
        <v>SIM</v>
      </c>
      <c r="M748" s="283"/>
      <c r="N748" s="47"/>
      <c r="O748" s="283"/>
      <c r="P748" s="47"/>
      <c r="Q748" s="283"/>
      <c r="R748" s="283"/>
      <c r="S748" s="79" t="str">
        <f t="shared" ca="1" si="58"/>
        <v>EXECUTADA</v>
      </c>
    </row>
    <row r="749" spans="1:19" ht="18" x14ac:dyDescent="0.25">
      <c r="A749" s="282"/>
      <c r="B749" s="47"/>
      <c r="C749" s="48"/>
      <c r="D749" s="284"/>
      <c r="E749" s="47"/>
      <c r="F749" s="50"/>
      <c r="G749" s="51" t="str">
        <f t="shared" si="59"/>
        <v>Sáb</v>
      </c>
      <c r="H749" s="52"/>
      <c r="I749" s="47"/>
      <c r="J749" s="283"/>
      <c r="K749" s="283"/>
      <c r="L749" s="53" t="str">
        <f t="shared" ref="L749:L812" si="60">IF(B749="MUD END","NÃO","SIM")</f>
        <v>SIM</v>
      </c>
      <c r="M749" s="283"/>
      <c r="N749" s="47"/>
      <c r="O749" s="283"/>
      <c r="P749" s="47"/>
      <c r="Q749" s="283"/>
      <c r="R749" s="283"/>
      <c r="S749" s="79" t="str">
        <f t="shared" ref="S749:S812" ca="1" si="61">IF(F749&lt;TODAY(),"EXECUTADA",IF(F749=TODAY(),"EM EXECUÇÃO",IF(F749=TODAY()+1,"VALIDAR HOJE",IF(F749&gt;TODAY()+1,"VALIDAR DEPOIS","-"))))</f>
        <v>EXECUTADA</v>
      </c>
    </row>
    <row r="750" spans="1:19" ht="18" x14ac:dyDescent="0.25">
      <c r="A750" s="282"/>
      <c r="B750" s="47"/>
      <c r="C750" s="48"/>
      <c r="D750" s="284"/>
      <c r="E750" s="47"/>
      <c r="F750" s="50"/>
      <c r="G750" s="51" t="str">
        <f t="shared" si="59"/>
        <v>Sáb</v>
      </c>
      <c r="H750" s="52"/>
      <c r="I750" s="47"/>
      <c r="J750" s="283"/>
      <c r="K750" s="283"/>
      <c r="L750" s="53" t="str">
        <f t="shared" si="60"/>
        <v>SIM</v>
      </c>
      <c r="M750" s="283"/>
      <c r="N750" s="47"/>
      <c r="O750" s="283"/>
      <c r="P750" s="47"/>
      <c r="Q750" s="283"/>
      <c r="R750" s="283"/>
      <c r="S750" s="79" t="str">
        <f t="shared" ca="1" si="61"/>
        <v>EXECUTADA</v>
      </c>
    </row>
    <row r="751" spans="1:19" ht="18" x14ac:dyDescent="0.25">
      <c r="A751" s="282"/>
      <c r="B751" s="47"/>
      <c r="C751" s="48"/>
      <c r="D751" s="284"/>
      <c r="E751" s="47"/>
      <c r="F751" s="50"/>
      <c r="G751" s="51" t="str">
        <f t="shared" si="59"/>
        <v>Sáb</v>
      </c>
      <c r="H751" s="52"/>
      <c r="I751" s="47"/>
      <c r="J751" s="283"/>
      <c r="K751" s="283"/>
      <c r="L751" s="53" t="str">
        <f t="shared" si="60"/>
        <v>SIM</v>
      </c>
      <c r="M751" s="283"/>
      <c r="N751" s="47"/>
      <c r="O751" s="283"/>
      <c r="P751" s="47"/>
      <c r="Q751" s="283"/>
      <c r="R751" s="283"/>
      <c r="S751" s="79" t="str">
        <f t="shared" ca="1" si="61"/>
        <v>EXECUTADA</v>
      </c>
    </row>
    <row r="752" spans="1:19" ht="18" x14ac:dyDescent="0.25">
      <c r="A752" s="282"/>
      <c r="B752" s="47"/>
      <c r="C752" s="48"/>
      <c r="D752" s="284"/>
      <c r="E752" s="47"/>
      <c r="F752" s="50"/>
      <c r="G752" s="51" t="str">
        <f t="shared" si="59"/>
        <v>Sáb</v>
      </c>
      <c r="H752" s="52"/>
      <c r="I752" s="47"/>
      <c r="J752" s="283"/>
      <c r="K752" s="283"/>
      <c r="L752" s="53" t="str">
        <f t="shared" si="60"/>
        <v>SIM</v>
      </c>
      <c r="M752" s="283"/>
      <c r="N752" s="47"/>
      <c r="O752" s="283"/>
      <c r="P752" s="47"/>
      <c r="Q752" s="283"/>
      <c r="R752" s="283"/>
      <c r="S752" s="79" t="str">
        <f t="shared" ca="1" si="61"/>
        <v>EXECUTADA</v>
      </c>
    </row>
    <row r="753" spans="1:19" ht="18" x14ac:dyDescent="0.25">
      <c r="A753" s="282"/>
      <c r="B753" s="47"/>
      <c r="C753" s="48"/>
      <c r="D753" s="284"/>
      <c r="E753" s="47"/>
      <c r="F753" s="50"/>
      <c r="G753" s="51" t="str">
        <f t="shared" si="59"/>
        <v>Sáb</v>
      </c>
      <c r="H753" s="52"/>
      <c r="I753" s="47"/>
      <c r="J753" s="283"/>
      <c r="K753" s="283"/>
      <c r="L753" s="53" t="str">
        <f t="shared" si="60"/>
        <v>SIM</v>
      </c>
      <c r="M753" s="283"/>
      <c r="N753" s="47"/>
      <c r="O753" s="283"/>
      <c r="P753" s="47"/>
      <c r="Q753" s="283"/>
      <c r="R753" s="283"/>
      <c r="S753" s="79" t="str">
        <f t="shared" ca="1" si="61"/>
        <v>EXECUTADA</v>
      </c>
    </row>
    <row r="754" spans="1:19" ht="18" x14ac:dyDescent="0.25">
      <c r="A754" s="282"/>
      <c r="B754" s="47"/>
      <c r="C754" s="48"/>
      <c r="D754" s="284"/>
      <c r="E754" s="47"/>
      <c r="F754" s="50"/>
      <c r="G754" s="51" t="str">
        <f t="shared" si="59"/>
        <v>Sáb</v>
      </c>
      <c r="H754" s="52"/>
      <c r="I754" s="47"/>
      <c r="J754" s="283"/>
      <c r="K754" s="283"/>
      <c r="L754" s="53" t="str">
        <f t="shared" si="60"/>
        <v>SIM</v>
      </c>
      <c r="M754" s="283"/>
      <c r="N754" s="47"/>
      <c r="O754" s="283"/>
      <c r="P754" s="47"/>
      <c r="Q754" s="283"/>
      <c r="R754" s="283"/>
      <c r="S754" s="79" t="str">
        <f t="shared" ca="1" si="61"/>
        <v>EXECUTADA</v>
      </c>
    </row>
    <row r="755" spans="1:19" ht="18" x14ac:dyDescent="0.25">
      <c r="A755" s="282"/>
      <c r="B755" s="47"/>
      <c r="C755" s="48"/>
      <c r="D755" s="284"/>
      <c r="E755" s="47"/>
      <c r="F755" s="50"/>
      <c r="G755" s="51" t="str">
        <f t="shared" si="59"/>
        <v>Sáb</v>
      </c>
      <c r="H755" s="52"/>
      <c r="I755" s="47"/>
      <c r="J755" s="283"/>
      <c r="K755" s="283"/>
      <c r="L755" s="53" t="str">
        <f t="shared" si="60"/>
        <v>SIM</v>
      </c>
      <c r="M755" s="283"/>
      <c r="N755" s="47"/>
      <c r="O755" s="283"/>
      <c r="P755" s="47"/>
      <c r="Q755" s="283"/>
      <c r="R755" s="283"/>
      <c r="S755" s="79" t="str">
        <f t="shared" ca="1" si="61"/>
        <v>EXECUTADA</v>
      </c>
    </row>
    <row r="756" spans="1:19" ht="18" x14ac:dyDescent="0.25">
      <c r="A756" s="282"/>
      <c r="B756" s="47"/>
      <c r="C756" s="48"/>
      <c r="D756" s="284"/>
      <c r="E756" s="47"/>
      <c r="F756" s="50"/>
      <c r="G756" s="51" t="str">
        <f t="shared" si="59"/>
        <v>Sáb</v>
      </c>
      <c r="H756" s="52"/>
      <c r="I756" s="47"/>
      <c r="J756" s="283"/>
      <c r="K756" s="283"/>
      <c r="L756" s="53" t="str">
        <f t="shared" si="60"/>
        <v>SIM</v>
      </c>
      <c r="M756" s="283"/>
      <c r="N756" s="47"/>
      <c r="O756" s="283"/>
      <c r="P756" s="47"/>
      <c r="Q756" s="283"/>
      <c r="R756" s="283"/>
      <c r="S756" s="79" t="str">
        <f t="shared" ca="1" si="61"/>
        <v>EXECUTADA</v>
      </c>
    </row>
    <row r="757" spans="1:19" ht="18" x14ac:dyDescent="0.25">
      <c r="A757" s="282"/>
      <c r="B757" s="47"/>
      <c r="C757" s="48"/>
      <c r="D757" s="284"/>
      <c r="E757" s="47"/>
      <c r="F757" s="50"/>
      <c r="G757" s="51" t="str">
        <f t="shared" si="59"/>
        <v>Sáb</v>
      </c>
      <c r="H757" s="52"/>
      <c r="I757" s="47"/>
      <c r="J757" s="283"/>
      <c r="K757" s="283"/>
      <c r="L757" s="53" t="str">
        <f t="shared" si="60"/>
        <v>SIM</v>
      </c>
      <c r="M757" s="283"/>
      <c r="N757" s="47"/>
      <c r="O757" s="283"/>
      <c r="P757" s="47"/>
      <c r="Q757" s="283"/>
      <c r="R757" s="283"/>
      <c r="S757" s="79" t="str">
        <f t="shared" ca="1" si="61"/>
        <v>EXECUTADA</v>
      </c>
    </row>
    <row r="758" spans="1:19" ht="18" x14ac:dyDescent="0.25">
      <c r="A758" s="282"/>
      <c r="B758" s="47"/>
      <c r="C758" s="48"/>
      <c r="D758" s="284"/>
      <c r="E758" s="47"/>
      <c r="F758" s="50"/>
      <c r="G758" s="51" t="str">
        <f t="shared" si="59"/>
        <v>Sáb</v>
      </c>
      <c r="H758" s="52"/>
      <c r="I758" s="47"/>
      <c r="J758" s="283"/>
      <c r="K758" s="283"/>
      <c r="L758" s="53" t="str">
        <f t="shared" si="60"/>
        <v>SIM</v>
      </c>
      <c r="M758" s="283"/>
      <c r="N758" s="47"/>
      <c r="O758" s="283"/>
      <c r="P758" s="47"/>
      <c r="Q758" s="283"/>
      <c r="R758" s="283"/>
      <c r="S758" s="79" t="str">
        <f t="shared" ca="1" si="61"/>
        <v>EXECUTADA</v>
      </c>
    </row>
    <row r="759" spans="1:19" ht="18" x14ac:dyDescent="0.25">
      <c r="A759" s="282"/>
      <c r="B759" s="47"/>
      <c r="C759" s="48"/>
      <c r="D759" s="284"/>
      <c r="E759" s="47"/>
      <c r="F759" s="50"/>
      <c r="G759" s="51" t="str">
        <f t="shared" si="59"/>
        <v>Sáb</v>
      </c>
      <c r="H759" s="52"/>
      <c r="I759" s="47"/>
      <c r="J759" s="283"/>
      <c r="K759" s="283"/>
      <c r="L759" s="53" t="str">
        <f t="shared" si="60"/>
        <v>SIM</v>
      </c>
      <c r="M759" s="283"/>
      <c r="N759" s="47"/>
      <c r="O759" s="283"/>
      <c r="P759" s="47"/>
      <c r="Q759" s="283"/>
      <c r="R759" s="283"/>
      <c r="S759" s="79" t="str">
        <f t="shared" ca="1" si="61"/>
        <v>EXECUTADA</v>
      </c>
    </row>
    <row r="760" spans="1:19" ht="18" x14ac:dyDescent="0.25">
      <c r="A760" s="282"/>
      <c r="B760" s="47"/>
      <c r="C760" s="48"/>
      <c r="D760" s="284"/>
      <c r="E760" s="47"/>
      <c r="F760" s="50"/>
      <c r="G760" s="51" t="str">
        <f t="shared" si="59"/>
        <v>Sáb</v>
      </c>
      <c r="H760" s="52"/>
      <c r="I760" s="47"/>
      <c r="J760" s="283"/>
      <c r="K760" s="283"/>
      <c r="L760" s="53" t="str">
        <f t="shared" si="60"/>
        <v>SIM</v>
      </c>
      <c r="M760" s="283"/>
      <c r="N760" s="47"/>
      <c r="O760" s="283"/>
      <c r="P760" s="47"/>
      <c r="Q760" s="283"/>
      <c r="R760" s="283"/>
      <c r="S760" s="79" t="str">
        <f t="shared" ca="1" si="61"/>
        <v>EXECUTADA</v>
      </c>
    </row>
    <row r="761" spans="1:19" ht="18" x14ac:dyDescent="0.25">
      <c r="A761" s="282"/>
      <c r="B761" s="47"/>
      <c r="C761" s="48"/>
      <c r="D761" s="284"/>
      <c r="E761" s="47"/>
      <c r="F761" s="50"/>
      <c r="G761" s="51" t="str">
        <f t="shared" si="59"/>
        <v>Sáb</v>
      </c>
      <c r="H761" s="52"/>
      <c r="I761" s="47"/>
      <c r="J761" s="283"/>
      <c r="K761" s="283"/>
      <c r="L761" s="53" t="str">
        <f t="shared" si="60"/>
        <v>SIM</v>
      </c>
      <c r="M761" s="283"/>
      <c r="N761" s="47"/>
      <c r="O761" s="283"/>
      <c r="P761" s="47"/>
      <c r="Q761" s="283"/>
      <c r="R761" s="283"/>
      <c r="S761" s="79" t="str">
        <f t="shared" ca="1" si="61"/>
        <v>EXECUTADA</v>
      </c>
    </row>
    <row r="762" spans="1:19" ht="18" x14ac:dyDescent="0.25">
      <c r="A762" s="282"/>
      <c r="B762" s="47"/>
      <c r="C762" s="48"/>
      <c r="D762" s="284"/>
      <c r="E762" s="47"/>
      <c r="F762" s="50"/>
      <c r="G762" s="51" t="str">
        <f t="shared" si="59"/>
        <v>Sáb</v>
      </c>
      <c r="H762" s="52"/>
      <c r="I762" s="47"/>
      <c r="J762" s="283"/>
      <c r="K762" s="283"/>
      <c r="L762" s="53" t="str">
        <f t="shared" si="60"/>
        <v>SIM</v>
      </c>
      <c r="M762" s="283"/>
      <c r="N762" s="47"/>
      <c r="O762" s="283"/>
      <c r="P762" s="47"/>
      <c r="Q762" s="283"/>
      <c r="R762" s="283"/>
      <c r="S762" s="79" t="str">
        <f t="shared" ca="1" si="61"/>
        <v>EXECUTADA</v>
      </c>
    </row>
    <row r="763" spans="1:19" ht="18" x14ac:dyDescent="0.25">
      <c r="A763" s="282"/>
      <c r="B763" s="47"/>
      <c r="C763" s="48"/>
      <c r="D763" s="284"/>
      <c r="E763" s="47"/>
      <c r="F763" s="50"/>
      <c r="G763" s="51" t="str">
        <f t="shared" si="59"/>
        <v>Sáb</v>
      </c>
      <c r="H763" s="52"/>
      <c r="I763" s="47"/>
      <c r="J763" s="283"/>
      <c r="K763" s="283"/>
      <c r="L763" s="53" t="str">
        <f t="shared" si="60"/>
        <v>SIM</v>
      </c>
      <c r="M763" s="283"/>
      <c r="N763" s="47"/>
      <c r="O763" s="283"/>
      <c r="P763" s="47"/>
      <c r="Q763" s="283"/>
      <c r="R763" s="283"/>
      <c r="S763" s="79" t="str">
        <f t="shared" ca="1" si="61"/>
        <v>EXECUTADA</v>
      </c>
    </row>
    <row r="764" spans="1:19" ht="18" x14ac:dyDescent="0.25">
      <c r="A764" s="282"/>
      <c r="B764" s="47"/>
      <c r="C764" s="48"/>
      <c r="D764" s="284"/>
      <c r="E764" s="47"/>
      <c r="F764" s="50"/>
      <c r="G764" s="51" t="str">
        <f t="shared" si="59"/>
        <v>Sáb</v>
      </c>
      <c r="H764" s="52"/>
      <c r="I764" s="47"/>
      <c r="J764" s="283"/>
      <c r="K764" s="283"/>
      <c r="L764" s="53" t="str">
        <f t="shared" si="60"/>
        <v>SIM</v>
      </c>
      <c r="M764" s="283"/>
      <c r="N764" s="47"/>
      <c r="O764" s="283"/>
      <c r="P764" s="47"/>
      <c r="Q764" s="283"/>
      <c r="R764" s="283"/>
      <c r="S764" s="79" t="str">
        <f t="shared" ca="1" si="61"/>
        <v>EXECUTADA</v>
      </c>
    </row>
    <row r="765" spans="1:19" ht="18" x14ac:dyDescent="0.25">
      <c r="A765" s="282"/>
      <c r="B765" s="47"/>
      <c r="C765" s="48"/>
      <c r="D765" s="284"/>
      <c r="E765" s="47"/>
      <c r="F765" s="50"/>
      <c r="G765" s="51" t="str">
        <f t="shared" si="59"/>
        <v>Sáb</v>
      </c>
      <c r="H765" s="52"/>
      <c r="I765" s="47"/>
      <c r="J765" s="283"/>
      <c r="K765" s="283"/>
      <c r="L765" s="53" t="str">
        <f t="shared" si="60"/>
        <v>SIM</v>
      </c>
      <c r="M765" s="283"/>
      <c r="N765" s="47"/>
      <c r="O765" s="283"/>
      <c r="P765" s="47"/>
      <c r="Q765" s="283"/>
      <c r="R765" s="283"/>
      <c r="S765" s="79" t="str">
        <f t="shared" ca="1" si="61"/>
        <v>EXECUTADA</v>
      </c>
    </row>
    <row r="766" spans="1:19" ht="18" x14ac:dyDescent="0.25">
      <c r="A766" s="282"/>
      <c r="B766" s="47"/>
      <c r="C766" s="48"/>
      <c r="D766" s="284"/>
      <c r="E766" s="47"/>
      <c r="F766" s="50"/>
      <c r="G766" s="51" t="str">
        <f t="shared" si="59"/>
        <v>Sáb</v>
      </c>
      <c r="H766" s="52"/>
      <c r="I766" s="47"/>
      <c r="J766" s="283"/>
      <c r="K766" s="283"/>
      <c r="L766" s="53" t="str">
        <f t="shared" si="60"/>
        <v>SIM</v>
      </c>
      <c r="M766" s="283"/>
      <c r="N766" s="47"/>
      <c r="O766" s="283"/>
      <c r="P766" s="47"/>
      <c r="Q766" s="283"/>
      <c r="R766" s="283"/>
      <c r="S766" s="79" t="str">
        <f t="shared" ca="1" si="61"/>
        <v>EXECUTADA</v>
      </c>
    </row>
    <row r="767" spans="1:19" ht="18" x14ac:dyDescent="0.25">
      <c r="A767" s="282"/>
      <c r="B767" s="47"/>
      <c r="C767" s="48"/>
      <c r="D767" s="284"/>
      <c r="E767" s="47"/>
      <c r="F767" s="50"/>
      <c r="G767" s="51" t="str">
        <f t="shared" si="59"/>
        <v>Sáb</v>
      </c>
      <c r="H767" s="52"/>
      <c r="I767" s="47"/>
      <c r="J767" s="283"/>
      <c r="K767" s="283"/>
      <c r="L767" s="53" t="str">
        <f t="shared" si="60"/>
        <v>SIM</v>
      </c>
      <c r="M767" s="283"/>
      <c r="N767" s="47"/>
      <c r="O767" s="283"/>
      <c r="P767" s="47"/>
      <c r="Q767" s="283"/>
      <c r="R767" s="283"/>
      <c r="S767" s="79" t="str">
        <f t="shared" ca="1" si="61"/>
        <v>EXECUTADA</v>
      </c>
    </row>
    <row r="768" spans="1:19" ht="18" x14ac:dyDescent="0.25">
      <c r="A768" s="282"/>
      <c r="B768" s="47"/>
      <c r="C768" s="48"/>
      <c r="D768" s="284"/>
      <c r="E768" s="47"/>
      <c r="F768" s="50"/>
      <c r="G768" s="51" t="str">
        <f t="shared" si="59"/>
        <v>Sáb</v>
      </c>
      <c r="H768" s="52"/>
      <c r="I768" s="47"/>
      <c r="J768" s="283"/>
      <c r="K768" s="283"/>
      <c r="L768" s="53" t="str">
        <f t="shared" si="60"/>
        <v>SIM</v>
      </c>
      <c r="M768" s="283"/>
      <c r="N768" s="47"/>
      <c r="O768" s="283"/>
      <c r="P768" s="47"/>
      <c r="Q768" s="283"/>
      <c r="R768" s="283"/>
      <c r="S768" s="79" t="str">
        <f t="shared" ca="1" si="61"/>
        <v>EXECUTADA</v>
      </c>
    </row>
    <row r="769" spans="1:19" ht="18" x14ac:dyDescent="0.25">
      <c r="A769" s="282"/>
      <c r="B769" s="47"/>
      <c r="C769" s="48"/>
      <c r="D769" s="284"/>
      <c r="E769" s="47"/>
      <c r="F769" s="50"/>
      <c r="G769" s="51" t="str">
        <f t="shared" si="59"/>
        <v>Sáb</v>
      </c>
      <c r="H769" s="52"/>
      <c r="I769" s="47"/>
      <c r="J769" s="283"/>
      <c r="K769" s="283"/>
      <c r="L769" s="53" t="str">
        <f t="shared" si="60"/>
        <v>SIM</v>
      </c>
      <c r="M769" s="283"/>
      <c r="N769" s="47"/>
      <c r="O769" s="283"/>
      <c r="P769" s="47"/>
      <c r="Q769" s="283"/>
      <c r="R769" s="283"/>
      <c r="S769" s="79" t="str">
        <f t="shared" ca="1" si="61"/>
        <v>EXECUTADA</v>
      </c>
    </row>
    <row r="770" spans="1:19" ht="18" x14ac:dyDescent="0.25">
      <c r="A770" s="282"/>
      <c r="B770" s="47"/>
      <c r="C770" s="48"/>
      <c r="D770" s="284"/>
      <c r="E770" s="47"/>
      <c r="F770" s="50"/>
      <c r="G770" s="51" t="str">
        <f t="shared" si="59"/>
        <v>Sáb</v>
      </c>
      <c r="H770" s="52"/>
      <c r="I770" s="47"/>
      <c r="J770" s="283"/>
      <c r="K770" s="283"/>
      <c r="L770" s="53" t="str">
        <f t="shared" si="60"/>
        <v>SIM</v>
      </c>
      <c r="M770" s="283"/>
      <c r="N770" s="47"/>
      <c r="O770" s="283"/>
      <c r="P770" s="47"/>
      <c r="Q770" s="283"/>
      <c r="R770" s="283"/>
      <c r="S770" s="79" t="str">
        <f t="shared" ca="1" si="61"/>
        <v>EXECUTADA</v>
      </c>
    </row>
    <row r="771" spans="1:19" ht="18" x14ac:dyDescent="0.25">
      <c r="A771" s="282"/>
      <c r="B771" s="47"/>
      <c r="C771" s="48"/>
      <c r="D771" s="284"/>
      <c r="E771" s="47"/>
      <c r="F771" s="50"/>
      <c r="G771" s="51" t="str">
        <f t="shared" si="59"/>
        <v>Sáb</v>
      </c>
      <c r="H771" s="52"/>
      <c r="I771" s="47"/>
      <c r="J771" s="283"/>
      <c r="K771" s="283"/>
      <c r="L771" s="53" t="str">
        <f t="shared" si="60"/>
        <v>SIM</v>
      </c>
      <c r="M771" s="283"/>
      <c r="N771" s="47"/>
      <c r="O771" s="283"/>
      <c r="P771" s="47"/>
      <c r="Q771" s="283"/>
      <c r="R771" s="283"/>
      <c r="S771" s="79" t="str">
        <f t="shared" ca="1" si="61"/>
        <v>EXECUTADA</v>
      </c>
    </row>
    <row r="772" spans="1:19" ht="18" x14ac:dyDescent="0.25">
      <c r="A772" s="282"/>
      <c r="B772" s="47"/>
      <c r="C772" s="48"/>
      <c r="D772" s="284"/>
      <c r="E772" s="47"/>
      <c r="F772" s="50"/>
      <c r="G772" s="51" t="str">
        <f t="shared" si="59"/>
        <v>Sáb</v>
      </c>
      <c r="H772" s="52"/>
      <c r="I772" s="47"/>
      <c r="J772" s="283"/>
      <c r="K772" s="283"/>
      <c r="L772" s="53" t="str">
        <f t="shared" si="60"/>
        <v>SIM</v>
      </c>
      <c r="M772" s="283"/>
      <c r="N772" s="47"/>
      <c r="O772" s="283"/>
      <c r="P772" s="47"/>
      <c r="Q772" s="283"/>
      <c r="R772" s="283"/>
      <c r="S772" s="79" t="str">
        <f t="shared" ca="1" si="61"/>
        <v>EXECUTADA</v>
      </c>
    </row>
    <row r="773" spans="1:19" ht="18" x14ac:dyDescent="0.25">
      <c r="A773" s="282"/>
      <c r="B773" s="47"/>
      <c r="C773" s="48"/>
      <c r="D773" s="284"/>
      <c r="E773" s="47"/>
      <c r="F773" s="50"/>
      <c r="G773" s="51" t="str">
        <f t="shared" si="59"/>
        <v>Sáb</v>
      </c>
      <c r="H773" s="52"/>
      <c r="I773" s="47"/>
      <c r="J773" s="283"/>
      <c r="K773" s="283"/>
      <c r="L773" s="53" t="str">
        <f t="shared" si="60"/>
        <v>SIM</v>
      </c>
      <c r="M773" s="283"/>
      <c r="N773" s="47"/>
      <c r="O773" s="283"/>
      <c r="P773" s="47"/>
      <c r="Q773" s="283"/>
      <c r="R773" s="283"/>
      <c r="S773" s="79" t="str">
        <f t="shared" ca="1" si="61"/>
        <v>EXECUTADA</v>
      </c>
    </row>
    <row r="774" spans="1:19" ht="18" x14ac:dyDescent="0.25">
      <c r="A774" s="282"/>
      <c r="B774" s="47"/>
      <c r="C774" s="48"/>
      <c r="D774" s="284"/>
      <c r="E774" s="47"/>
      <c r="F774" s="50"/>
      <c r="G774" s="51" t="str">
        <f t="shared" si="59"/>
        <v>Sáb</v>
      </c>
      <c r="H774" s="52"/>
      <c r="I774" s="47"/>
      <c r="J774" s="283"/>
      <c r="K774" s="283"/>
      <c r="L774" s="53" t="str">
        <f t="shared" si="60"/>
        <v>SIM</v>
      </c>
      <c r="M774" s="283"/>
      <c r="N774" s="47"/>
      <c r="O774" s="283"/>
      <c r="P774" s="47"/>
      <c r="Q774" s="283"/>
      <c r="R774" s="283"/>
      <c r="S774" s="79" t="str">
        <f t="shared" ca="1" si="61"/>
        <v>EXECUTADA</v>
      </c>
    </row>
    <row r="775" spans="1:19" ht="18" x14ac:dyDescent="0.25">
      <c r="A775" s="282"/>
      <c r="B775" s="47"/>
      <c r="C775" s="48"/>
      <c r="D775" s="284"/>
      <c r="E775" s="47"/>
      <c r="F775" s="50"/>
      <c r="G775" s="51" t="str">
        <f t="shared" si="59"/>
        <v>Sáb</v>
      </c>
      <c r="H775" s="52"/>
      <c r="I775" s="47"/>
      <c r="J775" s="283"/>
      <c r="K775" s="283"/>
      <c r="L775" s="53" t="str">
        <f t="shared" si="60"/>
        <v>SIM</v>
      </c>
      <c r="M775" s="283"/>
      <c r="N775" s="47"/>
      <c r="O775" s="283"/>
      <c r="P775" s="47"/>
      <c r="Q775" s="283"/>
      <c r="R775" s="283"/>
      <c r="S775" s="79" t="str">
        <f t="shared" ca="1" si="61"/>
        <v>EXECUTADA</v>
      </c>
    </row>
    <row r="776" spans="1:19" ht="18" x14ac:dyDescent="0.25">
      <c r="A776" s="282"/>
      <c r="B776" s="47"/>
      <c r="C776" s="48"/>
      <c r="D776" s="284"/>
      <c r="E776" s="47"/>
      <c r="F776" s="50"/>
      <c r="G776" s="51" t="str">
        <f t="shared" si="59"/>
        <v>Sáb</v>
      </c>
      <c r="H776" s="52"/>
      <c r="I776" s="47"/>
      <c r="J776" s="283"/>
      <c r="K776" s="283"/>
      <c r="L776" s="53" t="str">
        <f t="shared" si="60"/>
        <v>SIM</v>
      </c>
      <c r="M776" s="283"/>
      <c r="N776" s="47"/>
      <c r="O776" s="283"/>
      <c r="P776" s="47"/>
      <c r="Q776" s="283"/>
      <c r="R776" s="283"/>
      <c r="S776" s="79" t="str">
        <f t="shared" ca="1" si="61"/>
        <v>EXECUTADA</v>
      </c>
    </row>
    <row r="777" spans="1:19" ht="18" x14ac:dyDescent="0.25">
      <c r="A777" s="282"/>
      <c r="B777" s="47"/>
      <c r="C777" s="48"/>
      <c r="D777" s="284"/>
      <c r="E777" s="47"/>
      <c r="F777" s="50"/>
      <c r="G777" s="51" t="str">
        <f t="shared" si="59"/>
        <v>Sáb</v>
      </c>
      <c r="H777" s="52"/>
      <c r="I777" s="47"/>
      <c r="J777" s="283"/>
      <c r="K777" s="283"/>
      <c r="L777" s="53" t="str">
        <f t="shared" si="60"/>
        <v>SIM</v>
      </c>
      <c r="M777" s="283"/>
      <c r="N777" s="47"/>
      <c r="O777" s="283"/>
      <c r="P777" s="47"/>
      <c r="Q777" s="283"/>
      <c r="R777" s="283"/>
      <c r="S777" s="79" t="str">
        <f t="shared" ca="1" si="61"/>
        <v>EXECUTADA</v>
      </c>
    </row>
    <row r="778" spans="1:19" ht="18" x14ac:dyDescent="0.25">
      <c r="A778" s="282"/>
      <c r="B778" s="47"/>
      <c r="C778" s="48"/>
      <c r="D778" s="284"/>
      <c r="E778" s="47"/>
      <c r="F778" s="50"/>
      <c r="G778" s="51" t="str">
        <f t="shared" si="59"/>
        <v>Sáb</v>
      </c>
      <c r="H778" s="52"/>
      <c r="I778" s="47"/>
      <c r="J778" s="283"/>
      <c r="K778" s="283"/>
      <c r="L778" s="53" t="str">
        <f t="shared" si="60"/>
        <v>SIM</v>
      </c>
      <c r="M778" s="283"/>
      <c r="N778" s="47"/>
      <c r="O778" s="283"/>
      <c r="P778" s="47"/>
      <c r="Q778" s="283"/>
      <c r="R778" s="283"/>
      <c r="S778" s="79" t="str">
        <f t="shared" ca="1" si="61"/>
        <v>EXECUTADA</v>
      </c>
    </row>
    <row r="779" spans="1:19" ht="18" x14ac:dyDescent="0.25">
      <c r="A779" s="282"/>
      <c r="B779" s="47"/>
      <c r="C779" s="48"/>
      <c r="D779" s="284"/>
      <c r="E779" s="47"/>
      <c r="F779" s="50"/>
      <c r="G779" s="51" t="str">
        <f t="shared" si="59"/>
        <v>Sáb</v>
      </c>
      <c r="H779" s="52"/>
      <c r="I779" s="47"/>
      <c r="J779" s="283"/>
      <c r="K779" s="283"/>
      <c r="L779" s="53" t="str">
        <f t="shared" si="60"/>
        <v>SIM</v>
      </c>
      <c r="M779" s="283"/>
      <c r="N779" s="47"/>
      <c r="O779" s="283"/>
      <c r="P779" s="47"/>
      <c r="Q779" s="283"/>
      <c r="R779" s="283"/>
      <c r="S779" s="79" t="str">
        <f t="shared" ca="1" si="61"/>
        <v>EXECUTADA</v>
      </c>
    </row>
    <row r="780" spans="1:19" ht="18" x14ac:dyDescent="0.25">
      <c r="A780" s="282"/>
      <c r="B780" s="47"/>
      <c r="C780" s="48"/>
      <c r="D780" s="284"/>
      <c r="E780" s="47"/>
      <c r="F780" s="50"/>
      <c r="G780" s="51" t="str">
        <f t="shared" si="59"/>
        <v>Sáb</v>
      </c>
      <c r="H780" s="52"/>
      <c r="I780" s="47"/>
      <c r="J780" s="283"/>
      <c r="K780" s="283"/>
      <c r="L780" s="53" t="str">
        <f t="shared" si="60"/>
        <v>SIM</v>
      </c>
      <c r="M780" s="283"/>
      <c r="N780" s="47"/>
      <c r="O780" s="283"/>
      <c r="P780" s="47"/>
      <c r="Q780" s="283"/>
      <c r="R780" s="283"/>
      <c r="S780" s="79" t="str">
        <f t="shared" ca="1" si="61"/>
        <v>EXECUTADA</v>
      </c>
    </row>
    <row r="781" spans="1:19" ht="18" x14ac:dyDescent="0.25">
      <c r="A781" s="282"/>
      <c r="B781" s="47"/>
      <c r="C781" s="48"/>
      <c r="D781" s="284"/>
      <c r="E781" s="47"/>
      <c r="F781" s="50"/>
      <c r="G781" s="51" t="str">
        <f t="shared" si="59"/>
        <v>Sáb</v>
      </c>
      <c r="H781" s="52"/>
      <c r="I781" s="47"/>
      <c r="J781" s="283"/>
      <c r="K781" s="283"/>
      <c r="L781" s="53" t="str">
        <f t="shared" si="60"/>
        <v>SIM</v>
      </c>
      <c r="M781" s="283"/>
      <c r="N781" s="47"/>
      <c r="O781" s="283"/>
      <c r="P781" s="47"/>
      <c r="Q781" s="283"/>
      <c r="R781" s="283"/>
      <c r="S781" s="79" t="str">
        <f t="shared" ca="1" si="61"/>
        <v>EXECUTADA</v>
      </c>
    </row>
    <row r="782" spans="1:19" ht="18" x14ac:dyDescent="0.25">
      <c r="A782" s="282"/>
      <c r="B782" s="47"/>
      <c r="C782" s="48"/>
      <c r="D782" s="284"/>
      <c r="E782" s="47"/>
      <c r="F782" s="50"/>
      <c r="G782" s="51" t="str">
        <f t="shared" si="59"/>
        <v>Sáb</v>
      </c>
      <c r="H782" s="52"/>
      <c r="I782" s="47"/>
      <c r="J782" s="283"/>
      <c r="K782" s="283"/>
      <c r="L782" s="53" t="str">
        <f t="shared" si="60"/>
        <v>SIM</v>
      </c>
      <c r="M782" s="283"/>
      <c r="N782" s="47"/>
      <c r="O782" s="283"/>
      <c r="P782" s="47"/>
      <c r="Q782" s="283"/>
      <c r="R782" s="283"/>
      <c r="S782" s="79" t="str">
        <f t="shared" ca="1" si="61"/>
        <v>EXECUTADA</v>
      </c>
    </row>
    <row r="783" spans="1:19" ht="18" x14ac:dyDescent="0.25">
      <c r="A783" s="282"/>
      <c r="B783" s="47"/>
      <c r="C783" s="48"/>
      <c r="D783" s="284"/>
      <c r="E783" s="47"/>
      <c r="F783" s="50"/>
      <c r="G783" s="51" t="str">
        <f t="shared" si="59"/>
        <v>Sáb</v>
      </c>
      <c r="H783" s="52"/>
      <c r="I783" s="47"/>
      <c r="J783" s="283"/>
      <c r="K783" s="283"/>
      <c r="L783" s="53" t="str">
        <f t="shared" si="60"/>
        <v>SIM</v>
      </c>
      <c r="M783" s="283"/>
      <c r="N783" s="47"/>
      <c r="O783" s="283"/>
      <c r="P783" s="47"/>
      <c r="Q783" s="283"/>
      <c r="R783" s="283"/>
      <c r="S783" s="79" t="str">
        <f t="shared" ca="1" si="61"/>
        <v>EXECUTADA</v>
      </c>
    </row>
    <row r="784" spans="1:19" ht="18" x14ac:dyDescent="0.25">
      <c r="A784" s="282"/>
      <c r="B784" s="47"/>
      <c r="C784" s="48"/>
      <c r="D784" s="284"/>
      <c r="E784" s="47"/>
      <c r="F784" s="50"/>
      <c r="G784" s="51" t="str">
        <f t="shared" si="59"/>
        <v>Sáb</v>
      </c>
      <c r="H784" s="52"/>
      <c r="I784" s="47"/>
      <c r="J784" s="283"/>
      <c r="K784" s="283"/>
      <c r="L784" s="53" t="str">
        <f t="shared" si="60"/>
        <v>SIM</v>
      </c>
      <c r="M784" s="283"/>
      <c r="N784" s="47"/>
      <c r="O784" s="283"/>
      <c r="P784" s="47"/>
      <c r="Q784" s="283"/>
      <c r="R784" s="283"/>
      <c r="S784" s="79" t="str">
        <f t="shared" ca="1" si="61"/>
        <v>EXECUTADA</v>
      </c>
    </row>
    <row r="785" spans="1:19" ht="18" x14ac:dyDescent="0.25">
      <c r="A785" s="282"/>
      <c r="B785" s="47"/>
      <c r="C785" s="48"/>
      <c r="D785" s="284"/>
      <c r="E785" s="47"/>
      <c r="F785" s="50"/>
      <c r="G785" s="51" t="str">
        <f t="shared" si="59"/>
        <v>Sáb</v>
      </c>
      <c r="H785" s="52"/>
      <c r="I785" s="47"/>
      <c r="J785" s="283"/>
      <c r="K785" s="283"/>
      <c r="L785" s="53" t="str">
        <f t="shared" si="60"/>
        <v>SIM</v>
      </c>
      <c r="M785" s="283"/>
      <c r="N785" s="47"/>
      <c r="O785" s="283"/>
      <c r="P785" s="47"/>
      <c r="Q785" s="283"/>
      <c r="R785" s="283"/>
      <c r="S785" s="79" t="str">
        <f t="shared" ca="1" si="61"/>
        <v>EXECUTADA</v>
      </c>
    </row>
    <row r="786" spans="1:19" ht="18" x14ac:dyDescent="0.25">
      <c r="A786" s="282"/>
      <c r="B786" s="47"/>
      <c r="C786" s="48"/>
      <c r="D786" s="284"/>
      <c r="E786" s="47"/>
      <c r="F786" s="50"/>
      <c r="G786" s="51" t="str">
        <f t="shared" si="59"/>
        <v>Sáb</v>
      </c>
      <c r="H786" s="52"/>
      <c r="I786" s="47"/>
      <c r="J786" s="283"/>
      <c r="K786" s="283"/>
      <c r="L786" s="53" t="str">
        <f t="shared" si="60"/>
        <v>SIM</v>
      </c>
      <c r="M786" s="283"/>
      <c r="N786" s="47"/>
      <c r="O786" s="283"/>
      <c r="P786" s="47"/>
      <c r="Q786" s="283"/>
      <c r="R786" s="283"/>
      <c r="S786" s="79" t="str">
        <f t="shared" ca="1" si="61"/>
        <v>EXECUTADA</v>
      </c>
    </row>
    <row r="787" spans="1:19" ht="18" x14ac:dyDescent="0.25">
      <c r="A787" s="282"/>
      <c r="B787" s="47"/>
      <c r="C787" s="48"/>
      <c r="D787" s="284"/>
      <c r="E787" s="47"/>
      <c r="F787" s="50"/>
      <c r="G787" s="51" t="str">
        <f t="shared" si="59"/>
        <v>Sáb</v>
      </c>
      <c r="H787" s="52"/>
      <c r="I787" s="47"/>
      <c r="J787" s="283"/>
      <c r="K787" s="283"/>
      <c r="L787" s="53" t="str">
        <f t="shared" si="60"/>
        <v>SIM</v>
      </c>
      <c r="M787" s="283"/>
      <c r="N787" s="47"/>
      <c r="O787" s="283"/>
      <c r="P787" s="47"/>
      <c r="Q787" s="283"/>
      <c r="R787" s="283"/>
      <c r="S787" s="79" t="str">
        <f t="shared" ca="1" si="61"/>
        <v>EXECUTADA</v>
      </c>
    </row>
    <row r="788" spans="1:19" ht="18" x14ac:dyDescent="0.25">
      <c r="A788" s="282"/>
      <c r="B788" s="47"/>
      <c r="C788" s="48"/>
      <c r="D788" s="284"/>
      <c r="E788" s="47"/>
      <c r="F788" s="50"/>
      <c r="G788" s="51" t="str">
        <f t="shared" si="59"/>
        <v>Sáb</v>
      </c>
      <c r="H788" s="52"/>
      <c r="I788" s="47"/>
      <c r="J788" s="283"/>
      <c r="K788" s="283"/>
      <c r="L788" s="53" t="str">
        <f t="shared" si="60"/>
        <v>SIM</v>
      </c>
      <c r="M788" s="283"/>
      <c r="N788" s="47"/>
      <c r="O788" s="283"/>
      <c r="P788" s="47"/>
      <c r="Q788" s="283"/>
      <c r="R788" s="283"/>
      <c r="S788" s="79" t="str">
        <f t="shared" ca="1" si="61"/>
        <v>EXECUTADA</v>
      </c>
    </row>
    <row r="789" spans="1:19" ht="18" x14ac:dyDescent="0.25">
      <c r="A789" s="282"/>
      <c r="B789" s="47"/>
      <c r="C789" s="48"/>
      <c r="D789" s="284"/>
      <c r="E789" s="47"/>
      <c r="F789" s="50"/>
      <c r="G789" s="51" t="str">
        <f t="shared" si="59"/>
        <v>Sáb</v>
      </c>
      <c r="H789" s="52"/>
      <c r="I789" s="47"/>
      <c r="J789" s="283"/>
      <c r="K789" s="283"/>
      <c r="L789" s="53" t="str">
        <f t="shared" si="60"/>
        <v>SIM</v>
      </c>
      <c r="M789" s="283"/>
      <c r="N789" s="47"/>
      <c r="O789" s="283"/>
      <c r="P789" s="47"/>
      <c r="Q789" s="283"/>
      <c r="R789" s="283"/>
      <c r="S789" s="79" t="str">
        <f t="shared" ca="1" si="61"/>
        <v>EXECUTADA</v>
      </c>
    </row>
    <row r="790" spans="1:19" ht="18" x14ac:dyDescent="0.25">
      <c r="A790" s="282"/>
      <c r="B790" s="47"/>
      <c r="C790" s="48"/>
      <c r="D790" s="284"/>
      <c r="E790" s="47"/>
      <c r="F790" s="50"/>
      <c r="G790" s="51" t="str">
        <f t="shared" si="59"/>
        <v>Sáb</v>
      </c>
      <c r="H790" s="52"/>
      <c r="I790" s="47"/>
      <c r="J790" s="283"/>
      <c r="K790" s="283"/>
      <c r="L790" s="53" t="str">
        <f t="shared" si="60"/>
        <v>SIM</v>
      </c>
      <c r="M790" s="283"/>
      <c r="N790" s="47"/>
      <c r="O790" s="283"/>
      <c r="P790" s="47"/>
      <c r="Q790" s="283"/>
      <c r="R790" s="283"/>
      <c r="S790" s="79" t="str">
        <f t="shared" ca="1" si="61"/>
        <v>EXECUTADA</v>
      </c>
    </row>
    <row r="791" spans="1:19" ht="18" x14ac:dyDescent="0.25">
      <c r="A791" s="282"/>
      <c r="B791" s="47"/>
      <c r="C791" s="48"/>
      <c r="D791" s="284"/>
      <c r="E791" s="47"/>
      <c r="F791" s="50"/>
      <c r="G791" s="51" t="str">
        <f t="shared" si="59"/>
        <v>Sáb</v>
      </c>
      <c r="H791" s="52"/>
      <c r="I791" s="47"/>
      <c r="J791" s="283"/>
      <c r="K791" s="283"/>
      <c r="L791" s="53" t="str">
        <f t="shared" si="60"/>
        <v>SIM</v>
      </c>
      <c r="M791" s="283"/>
      <c r="N791" s="47"/>
      <c r="O791" s="283"/>
      <c r="P791" s="47"/>
      <c r="Q791" s="283"/>
      <c r="R791" s="283"/>
      <c r="S791" s="79" t="str">
        <f t="shared" ca="1" si="61"/>
        <v>EXECUTADA</v>
      </c>
    </row>
    <row r="792" spans="1:19" ht="18" x14ac:dyDescent="0.25">
      <c r="A792" s="282"/>
      <c r="B792" s="47"/>
      <c r="C792" s="48"/>
      <c r="D792" s="284"/>
      <c r="E792" s="47"/>
      <c r="F792" s="50"/>
      <c r="G792" s="51" t="str">
        <f t="shared" si="59"/>
        <v>Sáb</v>
      </c>
      <c r="H792" s="52"/>
      <c r="I792" s="47"/>
      <c r="J792" s="283"/>
      <c r="K792" s="283"/>
      <c r="L792" s="53" t="str">
        <f t="shared" si="60"/>
        <v>SIM</v>
      </c>
      <c r="M792" s="283"/>
      <c r="N792" s="47"/>
      <c r="O792" s="283"/>
      <c r="P792" s="47"/>
      <c r="Q792" s="283"/>
      <c r="R792" s="283"/>
      <c r="S792" s="79" t="str">
        <f t="shared" ca="1" si="61"/>
        <v>EXECUTADA</v>
      </c>
    </row>
    <row r="793" spans="1:19" ht="18" x14ac:dyDescent="0.25">
      <c r="A793" s="282"/>
      <c r="B793" s="47"/>
      <c r="C793" s="48"/>
      <c r="D793" s="284"/>
      <c r="E793" s="47"/>
      <c r="F793" s="50"/>
      <c r="G793" s="51" t="str">
        <f t="shared" si="59"/>
        <v>Sáb</v>
      </c>
      <c r="H793" s="52"/>
      <c r="I793" s="47"/>
      <c r="J793" s="283"/>
      <c r="K793" s="283"/>
      <c r="L793" s="53" t="str">
        <f t="shared" si="60"/>
        <v>SIM</v>
      </c>
      <c r="M793" s="283"/>
      <c r="N793" s="47"/>
      <c r="O793" s="283"/>
      <c r="P793" s="47"/>
      <c r="Q793" s="283"/>
      <c r="R793" s="283"/>
      <c r="S793" s="79" t="str">
        <f t="shared" ca="1" si="61"/>
        <v>EXECUTADA</v>
      </c>
    </row>
    <row r="794" spans="1:19" ht="18" x14ac:dyDescent="0.25">
      <c r="A794" s="282"/>
      <c r="B794" s="47"/>
      <c r="C794" s="48"/>
      <c r="D794" s="284"/>
      <c r="E794" s="47"/>
      <c r="F794" s="50"/>
      <c r="G794" s="51" t="str">
        <f t="shared" si="59"/>
        <v>Sáb</v>
      </c>
      <c r="H794" s="52"/>
      <c r="I794" s="47"/>
      <c r="J794" s="283"/>
      <c r="K794" s="283"/>
      <c r="L794" s="53" t="str">
        <f t="shared" si="60"/>
        <v>SIM</v>
      </c>
      <c r="M794" s="283"/>
      <c r="N794" s="47"/>
      <c r="O794" s="283"/>
      <c r="P794" s="47"/>
      <c r="Q794" s="283"/>
      <c r="R794" s="283"/>
      <c r="S794" s="79" t="str">
        <f t="shared" ca="1" si="61"/>
        <v>EXECUTADA</v>
      </c>
    </row>
    <row r="795" spans="1:19" ht="18" x14ac:dyDescent="0.25">
      <c r="A795" s="282"/>
      <c r="B795" s="47"/>
      <c r="C795" s="48"/>
      <c r="D795" s="284"/>
      <c r="E795" s="47"/>
      <c r="F795" s="50"/>
      <c r="G795" s="51" t="str">
        <f t="shared" si="59"/>
        <v>Sáb</v>
      </c>
      <c r="H795" s="52"/>
      <c r="I795" s="47"/>
      <c r="J795" s="283"/>
      <c r="K795" s="283"/>
      <c r="L795" s="53" t="str">
        <f t="shared" si="60"/>
        <v>SIM</v>
      </c>
      <c r="M795" s="283"/>
      <c r="N795" s="47"/>
      <c r="O795" s="283"/>
      <c r="P795" s="47"/>
      <c r="Q795" s="283"/>
      <c r="R795" s="283"/>
      <c r="S795" s="79" t="str">
        <f t="shared" ca="1" si="61"/>
        <v>EXECUTADA</v>
      </c>
    </row>
    <row r="796" spans="1:19" ht="18" x14ac:dyDescent="0.25">
      <c r="A796" s="282"/>
      <c r="B796" s="47"/>
      <c r="C796" s="48"/>
      <c r="D796" s="284"/>
      <c r="E796" s="47"/>
      <c r="F796" s="50"/>
      <c r="G796" s="51" t="str">
        <f t="shared" si="59"/>
        <v>Sáb</v>
      </c>
      <c r="H796" s="52"/>
      <c r="I796" s="47"/>
      <c r="J796" s="283"/>
      <c r="K796" s="283"/>
      <c r="L796" s="53" t="str">
        <f t="shared" si="60"/>
        <v>SIM</v>
      </c>
      <c r="M796" s="283"/>
      <c r="N796" s="47"/>
      <c r="O796" s="283"/>
      <c r="P796" s="47"/>
      <c r="Q796" s="283"/>
      <c r="R796" s="283"/>
      <c r="S796" s="79" t="str">
        <f t="shared" ca="1" si="61"/>
        <v>EXECUTADA</v>
      </c>
    </row>
    <row r="797" spans="1:19" ht="18" x14ac:dyDescent="0.25">
      <c r="A797" s="282"/>
      <c r="B797" s="47"/>
      <c r="C797" s="48"/>
      <c r="D797" s="284"/>
      <c r="E797" s="47"/>
      <c r="F797" s="50"/>
      <c r="G797" s="51" t="str">
        <f t="shared" si="59"/>
        <v>Sáb</v>
      </c>
      <c r="H797" s="52"/>
      <c r="I797" s="47"/>
      <c r="J797" s="283"/>
      <c r="K797" s="283"/>
      <c r="L797" s="53" t="str">
        <f t="shared" si="60"/>
        <v>SIM</v>
      </c>
      <c r="M797" s="283"/>
      <c r="N797" s="47"/>
      <c r="O797" s="283"/>
      <c r="P797" s="47"/>
      <c r="Q797" s="283"/>
      <c r="R797" s="283"/>
      <c r="S797" s="79" t="str">
        <f t="shared" ca="1" si="61"/>
        <v>EXECUTADA</v>
      </c>
    </row>
    <row r="798" spans="1:19" ht="18" x14ac:dyDescent="0.25">
      <c r="A798" s="282"/>
      <c r="B798" s="47"/>
      <c r="C798" s="48"/>
      <c r="D798" s="284"/>
      <c r="E798" s="47"/>
      <c r="F798" s="50"/>
      <c r="G798" s="51" t="str">
        <f t="shared" si="59"/>
        <v>Sáb</v>
      </c>
      <c r="H798" s="52"/>
      <c r="I798" s="47"/>
      <c r="J798" s="283"/>
      <c r="K798" s="283"/>
      <c r="L798" s="53" t="str">
        <f t="shared" si="60"/>
        <v>SIM</v>
      </c>
      <c r="M798" s="283"/>
      <c r="N798" s="47"/>
      <c r="O798" s="283"/>
      <c r="P798" s="47"/>
      <c r="Q798" s="283"/>
      <c r="R798" s="283"/>
      <c r="S798" s="79" t="str">
        <f t="shared" ca="1" si="61"/>
        <v>EXECUTADA</v>
      </c>
    </row>
    <row r="799" spans="1:19" ht="18" x14ac:dyDescent="0.25">
      <c r="A799" s="282"/>
      <c r="B799" s="47"/>
      <c r="C799" s="48"/>
      <c r="D799" s="284"/>
      <c r="E799" s="47"/>
      <c r="F799" s="50"/>
      <c r="G799" s="51" t="str">
        <f t="shared" si="59"/>
        <v>Sáb</v>
      </c>
      <c r="H799" s="52"/>
      <c r="I799" s="47"/>
      <c r="J799" s="283"/>
      <c r="K799" s="283"/>
      <c r="L799" s="53" t="str">
        <f t="shared" si="60"/>
        <v>SIM</v>
      </c>
      <c r="M799" s="283"/>
      <c r="N799" s="47"/>
      <c r="O799" s="283"/>
      <c r="P799" s="47"/>
      <c r="Q799" s="283"/>
      <c r="R799" s="283"/>
      <c r="S799" s="79" t="str">
        <f t="shared" ca="1" si="61"/>
        <v>EXECUTADA</v>
      </c>
    </row>
    <row r="800" spans="1:19" ht="18" x14ac:dyDescent="0.25">
      <c r="A800" s="282"/>
      <c r="B800" s="47"/>
      <c r="C800" s="48"/>
      <c r="D800" s="284"/>
      <c r="E800" s="47"/>
      <c r="F800" s="50"/>
      <c r="G800" s="51" t="str">
        <f t="shared" si="59"/>
        <v>Sáb</v>
      </c>
      <c r="H800" s="52"/>
      <c r="I800" s="47"/>
      <c r="J800" s="283"/>
      <c r="K800" s="283"/>
      <c r="L800" s="53" t="str">
        <f t="shared" si="60"/>
        <v>SIM</v>
      </c>
      <c r="M800" s="283"/>
      <c r="N800" s="47"/>
      <c r="O800" s="283"/>
      <c r="P800" s="47"/>
      <c r="Q800" s="283"/>
      <c r="R800" s="283"/>
      <c r="S800" s="79" t="str">
        <f t="shared" ca="1" si="61"/>
        <v>EXECUTADA</v>
      </c>
    </row>
    <row r="801" spans="1:19" ht="18" x14ac:dyDescent="0.25">
      <c r="A801" s="282"/>
      <c r="B801" s="47"/>
      <c r="C801" s="48"/>
      <c r="D801" s="284"/>
      <c r="E801" s="47"/>
      <c r="F801" s="50"/>
      <c r="G801" s="51" t="str">
        <f t="shared" si="59"/>
        <v>Sáb</v>
      </c>
      <c r="H801" s="52"/>
      <c r="I801" s="47"/>
      <c r="J801" s="283"/>
      <c r="K801" s="283"/>
      <c r="L801" s="53" t="str">
        <f t="shared" si="60"/>
        <v>SIM</v>
      </c>
      <c r="M801" s="283"/>
      <c r="N801" s="47"/>
      <c r="O801" s="283"/>
      <c r="P801" s="47"/>
      <c r="Q801" s="283"/>
      <c r="R801" s="283"/>
      <c r="S801" s="79" t="str">
        <f t="shared" ca="1" si="61"/>
        <v>EXECUTADA</v>
      </c>
    </row>
    <row r="802" spans="1:19" ht="18" x14ac:dyDescent="0.25">
      <c r="A802" s="282"/>
      <c r="B802" s="47"/>
      <c r="C802" s="48"/>
      <c r="D802" s="284"/>
      <c r="E802" s="47"/>
      <c r="F802" s="50"/>
      <c r="G802" s="51" t="str">
        <f t="shared" si="59"/>
        <v>Sáb</v>
      </c>
      <c r="H802" s="52"/>
      <c r="I802" s="47"/>
      <c r="J802" s="283"/>
      <c r="K802" s="283"/>
      <c r="L802" s="53" t="str">
        <f t="shared" si="60"/>
        <v>SIM</v>
      </c>
      <c r="M802" s="283"/>
      <c r="N802" s="47"/>
      <c r="O802" s="283"/>
      <c r="P802" s="47"/>
      <c r="Q802" s="283"/>
      <c r="R802" s="283"/>
      <c r="S802" s="79" t="str">
        <f t="shared" ca="1" si="61"/>
        <v>EXECUTADA</v>
      </c>
    </row>
    <row r="803" spans="1:19" ht="18" x14ac:dyDescent="0.25">
      <c r="A803" s="282"/>
      <c r="B803" s="47"/>
      <c r="C803" s="48"/>
      <c r="D803" s="284"/>
      <c r="E803" s="47"/>
      <c r="F803" s="50"/>
      <c r="G803" s="51" t="str">
        <f t="shared" si="59"/>
        <v>Sáb</v>
      </c>
      <c r="H803" s="52"/>
      <c r="I803" s="47"/>
      <c r="J803" s="283"/>
      <c r="K803" s="283"/>
      <c r="L803" s="53" t="str">
        <f t="shared" si="60"/>
        <v>SIM</v>
      </c>
      <c r="M803" s="283"/>
      <c r="N803" s="47"/>
      <c r="O803" s="283"/>
      <c r="P803" s="47"/>
      <c r="Q803" s="283"/>
      <c r="R803" s="283"/>
      <c r="S803" s="79" t="str">
        <f t="shared" ca="1" si="61"/>
        <v>EXECUTADA</v>
      </c>
    </row>
    <row r="804" spans="1:19" ht="18" x14ac:dyDescent="0.25">
      <c r="A804" s="282"/>
      <c r="B804" s="47"/>
      <c r="C804" s="48"/>
      <c r="D804" s="284"/>
      <c r="E804" s="47"/>
      <c r="F804" s="50"/>
      <c r="G804" s="51" t="str">
        <f t="shared" si="59"/>
        <v>Sáb</v>
      </c>
      <c r="H804" s="52"/>
      <c r="I804" s="47"/>
      <c r="J804" s="283"/>
      <c r="K804" s="283"/>
      <c r="L804" s="53" t="str">
        <f t="shared" si="60"/>
        <v>SIM</v>
      </c>
      <c r="M804" s="283"/>
      <c r="N804" s="47"/>
      <c r="O804" s="283"/>
      <c r="P804" s="47"/>
      <c r="Q804" s="283"/>
      <c r="R804" s="283"/>
      <c r="S804" s="79" t="str">
        <f t="shared" ca="1" si="61"/>
        <v>EXECUTADA</v>
      </c>
    </row>
    <row r="805" spans="1:19" ht="18" x14ac:dyDescent="0.25">
      <c r="A805" s="282"/>
      <c r="B805" s="47"/>
      <c r="C805" s="48"/>
      <c r="D805" s="284"/>
      <c r="E805" s="47"/>
      <c r="F805" s="50"/>
      <c r="G805" s="51" t="str">
        <f t="shared" si="59"/>
        <v>Sáb</v>
      </c>
      <c r="H805" s="52"/>
      <c r="I805" s="47"/>
      <c r="J805" s="283"/>
      <c r="K805" s="283"/>
      <c r="L805" s="53" t="str">
        <f t="shared" si="60"/>
        <v>SIM</v>
      </c>
      <c r="M805" s="283"/>
      <c r="N805" s="47"/>
      <c r="O805" s="283"/>
      <c r="P805" s="47"/>
      <c r="Q805" s="283"/>
      <c r="R805" s="283"/>
      <c r="S805" s="79" t="str">
        <f t="shared" ca="1" si="61"/>
        <v>EXECUTADA</v>
      </c>
    </row>
    <row r="806" spans="1:19" ht="18" x14ac:dyDescent="0.25">
      <c r="A806" s="282"/>
      <c r="B806" s="47"/>
      <c r="C806" s="48"/>
      <c r="D806" s="284"/>
      <c r="E806" s="47"/>
      <c r="F806" s="50"/>
      <c r="G806" s="51" t="str">
        <f t="shared" si="59"/>
        <v>Sáb</v>
      </c>
      <c r="H806" s="52"/>
      <c r="I806" s="47"/>
      <c r="J806" s="283"/>
      <c r="K806" s="283"/>
      <c r="L806" s="53" t="str">
        <f t="shared" si="60"/>
        <v>SIM</v>
      </c>
      <c r="M806" s="283"/>
      <c r="N806" s="47"/>
      <c r="O806" s="283"/>
      <c r="P806" s="47"/>
      <c r="Q806" s="283"/>
      <c r="R806" s="283"/>
      <c r="S806" s="79" t="str">
        <f t="shared" ca="1" si="61"/>
        <v>EXECUTADA</v>
      </c>
    </row>
    <row r="807" spans="1:19" ht="18" x14ac:dyDescent="0.25">
      <c r="A807" s="282"/>
      <c r="B807" s="47"/>
      <c r="C807" s="48"/>
      <c r="D807" s="284"/>
      <c r="E807" s="47"/>
      <c r="F807" s="50"/>
      <c r="G807" s="51" t="str">
        <f t="shared" si="59"/>
        <v>Sáb</v>
      </c>
      <c r="H807" s="52"/>
      <c r="I807" s="47"/>
      <c r="J807" s="283"/>
      <c r="K807" s="283"/>
      <c r="L807" s="53" t="str">
        <f t="shared" si="60"/>
        <v>SIM</v>
      </c>
      <c r="M807" s="283"/>
      <c r="N807" s="47"/>
      <c r="O807" s="283"/>
      <c r="P807" s="47"/>
      <c r="Q807" s="283"/>
      <c r="R807" s="283"/>
      <c r="S807" s="79" t="str">
        <f t="shared" ca="1" si="61"/>
        <v>EXECUTADA</v>
      </c>
    </row>
    <row r="808" spans="1:19" ht="18" x14ac:dyDescent="0.25">
      <c r="A808" s="282"/>
      <c r="B808" s="47"/>
      <c r="C808" s="48"/>
      <c r="D808" s="284"/>
      <c r="E808" s="47"/>
      <c r="F808" s="50"/>
      <c r="G808" s="51" t="str">
        <f t="shared" si="59"/>
        <v>Sáb</v>
      </c>
      <c r="H808" s="52"/>
      <c r="I808" s="47"/>
      <c r="J808" s="283"/>
      <c r="K808" s="283"/>
      <c r="L808" s="53" t="str">
        <f t="shared" si="60"/>
        <v>SIM</v>
      </c>
      <c r="M808" s="283"/>
      <c r="N808" s="47"/>
      <c r="O808" s="283"/>
      <c r="P808" s="47"/>
      <c r="Q808" s="283"/>
      <c r="R808" s="283"/>
      <c r="S808" s="79" t="str">
        <f t="shared" ca="1" si="61"/>
        <v>EXECUTADA</v>
      </c>
    </row>
    <row r="809" spans="1:19" ht="18" x14ac:dyDescent="0.25">
      <c r="A809" s="282"/>
      <c r="B809" s="47"/>
      <c r="C809" s="48"/>
      <c r="D809" s="284"/>
      <c r="E809" s="47"/>
      <c r="F809" s="50"/>
      <c r="G809" s="51" t="str">
        <f t="shared" si="59"/>
        <v>Sáb</v>
      </c>
      <c r="H809" s="52"/>
      <c r="I809" s="47"/>
      <c r="J809" s="283"/>
      <c r="K809" s="283"/>
      <c r="L809" s="53" t="str">
        <f t="shared" si="60"/>
        <v>SIM</v>
      </c>
      <c r="M809" s="283"/>
      <c r="N809" s="47"/>
      <c r="O809" s="283"/>
      <c r="P809" s="47"/>
      <c r="Q809" s="283"/>
      <c r="R809" s="283"/>
      <c r="S809" s="79" t="str">
        <f t="shared" ca="1" si="61"/>
        <v>EXECUTADA</v>
      </c>
    </row>
    <row r="810" spans="1:19" ht="18" x14ac:dyDescent="0.25">
      <c r="A810" s="282"/>
      <c r="B810" s="47"/>
      <c r="C810" s="48"/>
      <c r="D810" s="284"/>
      <c r="E810" s="47"/>
      <c r="F810" s="50"/>
      <c r="G810" s="51" t="str">
        <f t="shared" ref="G810:G873" si="62">PROPER(TEXT(F810,"DDD"))</f>
        <v>Sáb</v>
      </c>
      <c r="H810" s="52"/>
      <c r="I810" s="47"/>
      <c r="J810" s="283"/>
      <c r="K810" s="283"/>
      <c r="L810" s="53" t="str">
        <f t="shared" si="60"/>
        <v>SIM</v>
      </c>
      <c r="M810" s="283"/>
      <c r="N810" s="47"/>
      <c r="O810" s="283"/>
      <c r="P810" s="47"/>
      <c r="Q810" s="283"/>
      <c r="R810" s="283"/>
      <c r="S810" s="79" t="str">
        <f t="shared" ca="1" si="61"/>
        <v>EXECUTADA</v>
      </c>
    </row>
    <row r="811" spans="1:19" ht="18" x14ac:dyDescent="0.25">
      <c r="A811" s="282"/>
      <c r="B811" s="47"/>
      <c r="C811" s="48"/>
      <c r="D811" s="284"/>
      <c r="E811" s="47"/>
      <c r="F811" s="50"/>
      <c r="G811" s="51" t="str">
        <f t="shared" si="62"/>
        <v>Sáb</v>
      </c>
      <c r="H811" s="52"/>
      <c r="I811" s="47"/>
      <c r="J811" s="283"/>
      <c r="K811" s="283"/>
      <c r="L811" s="53" t="str">
        <f t="shared" si="60"/>
        <v>SIM</v>
      </c>
      <c r="M811" s="283"/>
      <c r="N811" s="47"/>
      <c r="O811" s="283"/>
      <c r="P811" s="47"/>
      <c r="Q811" s="283"/>
      <c r="R811" s="283"/>
      <c r="S811" s="79" t="str">
        <f t="shared" ca="1" si="61"/>
        <v>EXECUTADA</v>
      </c>
    </row>
    <row r="812" spans="1:19" ht="18" x14ac:dyDescent="0.25">
      <c r="A812" s="282"/>
      <c r="B812" s="47"/>
      <c r="C812" s="48"/>
      <c r="D812" s="284"/>
      <c r="E812" s="47"/>
      <c r="F812" s="50"/>
      <c r="G812" s="51" t="str">
        <f t="shared" si="62"/>
        <v>Sáb</v>
      </c>
      <c r="H812" s="52"/>
      <c r="I812" s="47"/>
      <c r="J812" s="283"/>
      <c r="K812" s="283"/>
      <c r="L812" s="53" t="str">
        <f t="shared" si="60"/>
        <v>SIM</v>
      </c>
      <c r="M812" s="283"/>
      <c r="N812" s="47"/>
      <c r="O812" s="283"/>
      <c r="P812" s="47"/>
      <c r="Q812" s="283"/>
      <c r="R812" s="283"/>
      <c r="S812" s="79" t="str">
        <f t="shared" ca="1" si="61"/>
        <v>EXECUTADA</v>
      </c>
    </row>
    <row r="813" spans="1:19" ht="18" x14ac:dyDescent="0.25">
      <c r="A813" s="282"/>
      <c r="B813" s="47"/>
      <c r="C813" s="48"/>
      <c r="D813" s="284"/>
      <c r="E813" s="47"/>
      <c r="F813" s="50"/>
      <c r="G813" s="51" t="str">
        <f t="shared" si="62"/>
        <v>Sáb</v>
      </c>
      <c r="H813" s="52"/>
      <c r="I813" s="47"/>
      <c r="J813" s="283"/>
      <c r="K813" s="283"/>
      <c r="L813" s="53" t="str">
        <f t="shared" ref="L813:L876" si="63">IF(B813="MUD END","NÃO","SIM")</f>
        <v>SIM</v>
      </c>
      <c r="M813" s="283"/>
      <c r="N813" s="47"/>
      <c r="O813" s="283"/>
      <c r="P813" s="47"/>
      <c r="Q813" s="283"/>
      <c r="R813" s="283"/>
      <c r="S813" s="79" t="str">
        <f t="shared" ref="S813:S876" ca="1" si="64">IF(F813&lt;TODAY(),"EXECUTADA",IF(F813=TODAY(),"EM EXECUÇÃO",IF(F813=TODAY()+1,"VALIDAR HOJE",IF(F813&gt;TODAY()+1,"VALIDAR DEPOIS","-"))))</f>
        <v>EXECUTADA</v>
      </c>
    </row>
    <row r="814" spans="1:19" ht="18" x14ac:dyDescent="0.25">
      <c r="A814" s="282"/>
      <c r="B814" s="47"/>
      <c r="C814" s="48"/>
      <c r="D814" s="284"/>
      <c r="E814" s="47"/>
      <c r="F814" s="50"/>
      <c r="G814" s="51" t="str">
        <f t="shared" si="62"/>
        <v>Sáb</v>
      </c>
      <c r="H814" s="52"/>
      <c r="I814" s="47"/>
      <c r="J814" s="283"/>
      <c r="K814" s="283"/>
      <c r="L814" s="53" t="str">
        <f t="shared" si="63"/>
        <v>SIM</v>
      </c>
      <c r="M814" s="283"/>
      <c r="N814" s="47"/>
      <c r="O814" s="283"/>
      <c r="P814" s="47"/>
      <c r="Q814" s="283"/>
      <c r="R814" s="283"/>
      <c r="S814" s="79" t="str">
        <f t="shared" ca="1" si="64"/>
        <v>EXECUTADA</v>
      </c>
    </row>
    <row r="815" spans="1:19" ht="18" x14ac:dyDescent="0.25">
      <c r="A815" s="282"/>
      <c r="B815" s="47"/>
      <c r="C815" s="48"/>
      <c r="D815" s="284"/>
      <c r="E815" s="47"/>
      <c r="F815" s="50"/>
      <c r="G815" s="51" t="str">
        <f t="shared" si="62"/>
        <v>Sáb</v>
      </c>
      <c r="H815" s="52"/>
      <c r="I815" s="47"/>
      <c r="J815" s="283"/>
      <c r="K815" s="283"/>
      <c r="L815" s="53" t="str">
        <f t="shared" si="63"/>
        <v>SIM</v>
      </c>
      <c r="M815" s="283"/>
      <c r="N815" s="47"/>
      <c r="O815" s="283"/>
      <c r="P815" s="47"/>
      <c r="Q815" s="283"/>
      <c r="R815" s="283"/>
      <c r="S815" s="79" t="str">
        <f t="shared" ca="1" si="64"/>
        <v>EXECUTADA</v>
      </c>
    </row>
    <row r="816" spans="1:19" ht="18" x14ac:dyDescent="0.25">
      <c r="A816" s="282"/>
      <c r="B816" s="47"/>
      <c r="C816" s="48"/>
      <c r="D816" s="284"/>
      <c r="E816" s="47"/>
      <c r="F816" s="50"/>
      <c r="G816" s="51" t="str">
        <f t="shared" si="62"/>
        <v>Sáb</v>
      </c>
      <c r="H816" s="52"/>
      <c r="I816" s="47"/>
      <c r="J816" s="283"/>
      <c r="K816" s="283"/>
      <c r="L816" s="53" t="str">
        <f t="shared" si="63"/>
        <v>SIM</v>
      </c>
      <c r="M816" s="283"/>
      <c r="N816" s="47"/>
      <c r="O816" s="283"/>
      <c r="P816" s="47"/>
      <c r="Q816" s="283"/>
      <c r="R816" s="283"/>
      <c r="S816" s="79" t="str">
        <f t="shared" ca="1" si="64"/>
        <v>EXECUTADA</v>
      </c>
    </row>
    <row r="817" spans="1:19" ht="18" x14ac:dyDescent="0.25">
      <c r="A817" s="282"/>
      <c r="B817" s="47"/>
      <c r="C817" s="48"/>
      <c r="D817" s="284"/>
      <c r="E817" s="47"/>
      <c r="F817" s="50"/>
      <c r="G817" s="51" t="str">
        <f t="shared" si="62"/>
        <v>Sáb</v>
      </c>
      <c r="H817" s="52"/>
      <c r="I817" s="47"/>
      <c r="J817" s="283"/>
      <c r="K817" s="283"/>
      <c r="L817" s="53" t="str">
        <f t="shared" si="63"/>
        <v>SIM</v>
      </c>
      <c r="M817" s="283"/>
      <c r="N817" s="47"/>
      <c r="O817" s="283"/>
      <c r="P817" s="47"/>
      <c r="Q817" s="283"/>
      <c r="R817" s="283"/>
      <c r="S817" s="79" t="str">
        <f t="shared" ca="1" si="64"/>
        <v>EXECUTADA</v>
      </c>
    </row>
    <row r="818" spans="1:19" ht="18" x14ac:dyDescent="0.25">
      <c r="A818" s="282"/>
      <c r="B818" s="47"/>
      <c r="C818" s="48"/>
      <c r="D818" s="284"/>
      <c r="E818" s="47"/>
      <c r="F818" s="50"/>
      <c r="G818" s="51" t="str">
        <f t="shared" si="62"/>
        <v>Sáb</v>
      </c>
      <c r="H818" s="52"/>
      <c r="I818" s="47"/>
      <c r="J818" s="283"/>
      <c r="K818" s="283"/>
      <c r="L818" s="53" t="str">
        <f t="shared" si="63"/>
        <v>SIM</v>
      </c>
      <c r="M818" s="283"/>
      <c r="N818" s="47"/>
      <c r="O818" s="283"/>
      <c r="P818" s="47"/>
      <c r="Q818" s="283"/>
      <c r="R818" s="283"/>
      <c r="S818" s="79" t="str">
        <f t="shared" ca="1" si="64"/>
        <v>EXECUTADA</v>
      </c>
    </row>
    <row r="819" spans="1:19" ht="18" x14ac:dyDescent="0.25">
      <c r="A819" s="282"/>
      <c r="B819" s="47"/>
      <c r="C819" s="48"/>
      <c r="D819" s="284"/>
      <c r="E819" s="47"/>
      <c r="F819" s="50"/>
      <c r="G819" s="51" t="str">
        <f t="shared" si="62"/>
        <v>Sáb</v>
      </c>
      <c r="H819" s="52"/>
      <c r="I819" s="47"/>
      <c r="J819" s="283"/>
      <c r="K819" s="283"/>
      <c r="L819" s="53" t="str">
        <f t="shared" si="63"/>
        <v>SIM</v>
      </c>
      <c r="M819" s="283"/>
      <c r="N819" s="47"/>
      <c r="O819" s="283"/>
      <c r="P819" s="47"/>
      <c r="Q819" s="283"/>
      <c r="R819" s="283"/>
      <c r="S819" s="79" t="str">
        <f t="shared" ca="1" si="64"/>
        <v>EXECUTADA</v>
      </c>
    </row>
    <row r="820" spans="1:19" ht="18" x14ac:dyDescent="0.25">
      <c r="A820" s="282"/>
      <c r="B820" s="47"/>
      <c r="C820" s="48"/>
      <c r="D820" s="284"/>
      <c r="E820" s="47"/>
      <c r="F820" s="50"/>
      <c r="G820" s="51" t="str">
        <f t="shared" si="62"/>
        <v>Sáb</v>
      </c>
      <c r="H820" s="52"/>
      <c r="I820" s="47"/>
      <c r="J820" s="283"/>
      <c r="K820" s="283"/>
      <c r="L820" s="53" t="str">
        <f t="shared" si="63"/>
        <v>SIM</v>
      </c>
      <c r="M820" s="283"/>
      <c r="N820" s="47"/>
      <c r="O820" s="283"/>
      <c r="P820" s="47"/>
      <c r="Q820" s="283"/>
      <c r="R820" s="283"/>
      <c r="S820" s="79" t="str">
        <f t="shared" ca="1" si="64"/>
        <v>EXECUTADA</v>
      </c>
    </row>
    <row r="821" spans="1:19" ht="18" x14ac:dyDescent="0.25">
      <c r="A821" s="282"/>
      <c r="B821" s="47"/>
      <c r="C821" s="48"/>
      <c r="D821" s="284"/>
      <c r="E821" s="47"/>
      <c r="F821" s="50"/>
      <c r="G821" s="51" t="str">
        <f t="shared" si="62"/>
        <v>Sáb</v>
      </c>
      <c r="H821" s="52"/>
      <c r="I821" s="47"/>
      <c r="J821" s="283"/>
      <c r="K821" s="283"/>
      <c r="L821" s="53" t="str">
        <f t="shared" si="63"/>
        <v>SIM</v>
      </c>
      <c r="M821" s="283"/>
      <c r="N821" s="47"/>
      <c r="O821" s="283"/>
      <c r="P821" s="47"/>
      <c r="Q821" s="283"/>
      <c r="R821" s="283"/>
      <c r="S821" s="79" t="str">
        <f t="shared" ca="1" si="64"/>
        <v>EXECUTADA</v>
      </c>
    </row>
    <row r="822" spans="1:19" ht="18" x14ac:dyDescent="0.25">
      <c r="A822" s="282"/>
      <c r="B822" s="47"/>
      <c r="C822" s="48"/>
      <c r="D822" s="284"/>
      <c r="E822" s="47"/>
      <c r="F822" s="50"/>
      <c r="G822" s="51" t="str">
        <f t="shared" si="62"/>
        <v>Sáb</v>
      </c>
      <c r="H822" s="52"/>
      <c r="I822" s="47"/>
      <c r="J822" s="283"/>
      <c r="K822" s="283"/>
      <c r="L822" s="53" t="str">
        <f t="shared" si="63"/>
        <v>SIM</v>
      </c>
      <c r="M822" s="283"/>
      <c r="N822" s="47"/>
      <c r="O822" s="283"/>
      <c r="P822" s="47"/>
      <c r="Q822" s="283"/>
      <c r="R822" s="283"/>
      <c r="S822" s="79" t="str">
        <f t="shared" ca="1" si="64"/>
        <v>EXECUTADA</v>
      </c>
    </row>
    <row r="823" spans="1:19" ht="18" x14ac:dyDescent="0.25">
      <c r="A823" s="282"/>
      <c r="B823" s="47"/>
      <c r="C823" s="48"/>
      <c r="D823" s="284"/>
      <c r="E823" s="47"/>
      <c r="F823" s="50"/>
      <c r="G823" s="51" t="str">
        <f t="shared" si="62"/>
        <v>Sáb</v>
      </c>
      <c r="H823" s="52"/>
      <c r="I823" s="47"/>
      <c r="J823" s="283"/>
      <c r="K823" s="283"/>
      <c r="L823" s="53" t="str">
        <f t="shared" si="63"/>
        <v>SIM</v>
      </c>
      <c r="M823" s="283"/>
      <c r="N823" s="47"/>
      <c r="O823" s="283"/>
      <c r="P823" s="47"/>
      <c r="Q823" s="283"/>
      <c r="R823" s="283"/>
      <c r="S823" s="79" t="str">
        <f t="shared" ca="1" si="64"/>
        <v>EXECUTADA</v>
      </c>
    </row>
    <row r="824" spans="1:19" ht="18" x14ac:dyDescent="0.25">
      <c r="A824" s="282"/>
      <c r="B824" s="47"/>
      <c r="C824" s="48"/>
      <c r="D824" s="284"/>
      <c r="E824" s="47"/>
      <c r="F824" s="50"/>
      <c r="G824" s="51" t="str">
        <f t="shared" si="62"/>
        <v>Sáb</v>
      </c>
      <c r="H824" s="52"/>
      <c r="I824" s="47"/>
      <c r="J824" s="283"/>
      <c r="K824" s="283"/>
      <c r="L824" s="53" t="str">
        <f t="shared" si="63"/>
        <v>SIM</v>
      </c>
      <c r="M824" s="283"/>
      <c r="N824" s="47"/>
      <c r="O824" s="283"/>
      <c r="P824" s="47"/>
      <c r="Q824" s="283"/>
      <c r="R824" s="283"/>
      <c r="S824" s="79" t="str">
        <f t="shared" ca="1" si="64"/>
        <v>EXECUTADA</v>
      </c>
    </row>
    <row r="825" spans="1:19" ht="18" x14ac:dyDescent="0.25">
      <c r="A825" s="282"/>
      <c r="B825" s="47"/>
      <c r="C825" s="48"/>
      <c r="D825" s="284"/>
      <c r="E825" s="47"/>
      <c r="F825" s="50"/>
      <c r="G825" s="51" t="str">
        <f t="shared" si="62"/>
        <v>Sáb</v>
      </c>
      <c r="H825" s="52"/>
      <c r="I825" s="47"/>
      <c r="J825" s="283"/>
      <c r="K825" s="283"/>
      <c r="L825" s="53" t="str">
        <f t="shared" si="63"/>
        <v>SIM</v>
      </c>
      <c r="M825" s="283"/>
      <c r="N825" s="47"/>
      <c r="O825" s="283"/>
      <c r="P825" s="47"/>
      <c r="Q825" s="283"/>
      <c r="R825" s="283"/>
      <c r="S825" s="79" t="str">
        <f t="shared" ca="1" si="64"/>
        <v>EXECUTADA</v>
      </c>
    </row>
    <row r="826" spans="1:19" ht="18" x14ac:dyDescent="0.25">
      <c r="A826" s="282"/>
      <c r="B826" s="47"/>
      <c r="C826" s="48"/>
      <c r="D826" s="284"/>
      <c r="E826" s="47"/>
      <c r="F826" s="50"/>
      <c r="G826" s="51" t="str">
        <f t="shared" si="62"/>
        <v>Sáb</v>
      </c>
      <c r="H826" s="52"/>
      <c r="I826" s="47"/>
      <c r="J826" s="283"/>
      <c r="K826" s="283"/>
      <c r="L826" s="53" t="str">
        <f t="shared" si="63"/>
        <v>SIM</v>
      </c>
      <c r="M826" s="283"/>
      <c r="N826" s="47"/>
      <c r="O826" s="283"/>
      <c r="P826" s="47"/>
      <c r="Q826" s="283"/>
      <c r="R826" s="283"/>
      <c r="S826" s="79" t="str">
        <f t="shared" ca="1" si="64"/>
        <v>EXECUTADA</v>
      </c>
    </row>
    <row r="827" spans="1:19" ht="18" x14ac:dyDescent="0.25">
      <c r="A827" s="282"/>
      <c r="B827" s="47"/>
      <c r="C827" s="48"/>
      <c r="D827" s="284"/>
      <c r="E827" s="47"/>
      <c r="F827" s="50"/>
      <c r="G827" s="51" t="str">
        <f t="shared" si="62"/>
        <v>Sáb</v>
      </c>
      <c r="H827" s="52"/>
      <c r="I827" s="47"/>
      <c r="J827" s="283"/>
      <c r="K827" s="283"/>
      <c r="L827" s="53" t="str">
        <f t="shared" si="63"/>
        <v>SIM</v>
      </c>
      <c r="M827" s="283"/>
      <c r="N827" s="47"/>
      <c r="O827" s="283"/>
      <c r="P827" s="47"/>
      <c r="Q827" s="283"/>
      <c r="R827" s="283"/>
      <c r="S827" s="79" t="str">
        <f t="shared" ca="1" si="64"/>
        <v>EXECUTADA</v>
      </c>
    </row>
    <row r="828" spans="1:19" ht="18" x14ac:dyDescent="0.25">
      <c r="A828" s="282"/>
      <c r="B828" s="47"/>
      <c r="C828" s="48"/>
      <c r="D828" s="284"/>
      <c r="E828" s="47"/>
      <c r="F828" s="50"/>
      <c r="G828" s="51" t="str">
        <f t="shared" si="62"/>
        <v>Sáb</v>
      </c>
      <c r="H828" s="52"/>
      <c r="I828" s="47"/>
      <c r="J828" s="283"/>
      <c r="K828" s="283"/>
      <c r="L828" s="53" t="str">
        <f t="shared" si="63"/>
        <v>SIM</v>
      </c>
      <c r="M828" s="283"/>
      <c r="N828" s="47"/>
      <c r="O828" s="283"/>
      <c r="P828" s="47"/>
      <c r="Q828" s="283"/>
      <c r="R828" s="283"/>
      <c r="S828" s="79" t="str">
        <f t="shared" ca="1" si="64"/>
        <v>EXECUTADA</v>
      </c>
    </row>
    <row r="829" spans="1:19" ht="18" x14ac:dyDescent="0.25">
      <c r="A829" s="282"/>
      <c r="B829" s="47"/>
      <c r="C829" s="48"/>
      <c r="D829" s="284"/>
      <c r="E829" s="47"/>
      <c r="F829" s="50"/>
      <c r="G829" s="51" t="str">
        <f t="shared" si="62"/>
        <v>Sáb</v>
      </c>
      <c r="H829" s="52"/>
      <c r="I829" s="47"/>
      <c r="J829" s="283"/>
      <c r="K829" s="283"/>
      <c r="L829" s="53" t="str">
        <f t="shared" si="63"/>
        <v>SIM</v>
      </c>
      <c r="M829" s="283"/>
      <c r="N829" s="47"/>
      <c r="O829" s="283"/>
      <c r="P829" s="47"/>
      <c r="Q829" s="283"/>
      <c r="R829" s="283"/>
      <c r="S829" s="79" t="str">
        <f t="shared" ca="1" si="64"/>
        <v>EXECUTADA</v>
      </c>
    </row>
    <row r="830" spans="1:19" ht="18" x14ac:dyDescent="0.25">
      <c r="A830" s="282"/>
      <c r="B830" s="47"/>
      <c r="C830" s="48"/>
      <c r="D830" s="284"/>
      <c r="E830" s="47"/>
      <c r="F830" s="50"/>
      <c r="G830" s="51" t="str">
        <f t="shared" si="62"/>
        <v>Sáb</v>
      </c>
      <c r="H830" s="52"/>
      <c r="I830" s="47"/>
      <c r="J830" s="283"/>
      <c r="K830" s="283"/>
      <c r="L830" s="53" t="str">
        <f t="shared" si="63"/>
        <v>SIM</v>
      </c>
      <c r="M830" s="283"/>
      <c r="N830" s="47"/>
      <c r="O830" s="283"/>
      <c r="P830" s="47"/>
      <c r="Q830" s="283"/>
      <c r="R830" s="283"/>
      <c r="S830" s="79" t="str">
        <f t="shared" ca="1" si="64"/>
        <v>EXECUTADA</v>
      </c>
    </row>
    <row r="831" spans="1:19" ht="18" x14ac:dyDescent="0.25">
      <c r="A831" s="282"/>
      <c r="B831" s="47"/>
      <c r="C831" s="48"/>
      <c r="D831" s="284"/>
      <c r="E831" s="47"/>
      <c r="F831" s="50"/>
      <c r="G831" s="51" t="str">
        <f t="shared" si="62"/>
        <v>Sáb</v>
      </c>
      <c r="H831" s="52"/>
      <c r="I831" s="47"/>
      <c r="J831" s="283"/>
      <c r="K831" s="283"/>
      <c r="L831" s="53" t="str">
        <f t="shared" si="63"/>
        <v>SIM</v>
      </c>
      <c r="M831" s="283"/>
      <c r="N831" s="47"/>
      <c r="O831" s="283"/>
      <c r="P831" s="47"/>
      <c r="Q831" s="283"/>
      <c r="R831" s="283"/>
      <c r="S831" s="79" t="str">
        <f t="shared" ca="1" si="64"/>
        <v>EXECUTADA</v>
      </c>
    </row>
    <row r="832" spans="1:19" ht="18" x14ac:dyDescent="0.25">
      <c r="A832" s="282"/>
      <c r="B832" s="47"/>
      <c r="C832" s="48"/>
      <c r="D832" s="284"/>
      <c r="E832" s="47"/>
      <c r="F832" s="50"/>
      <c r="G832" s="51" t="str">
        <f t="shared" si="62"/>
        <v>Sáb</v>
      </c>
      <c r="H832" s="52"/>
      <c r="I832" s="47"/>
      <c r="J832" s="283"/>
      <c r="K832" s="283"/>
      <c r="L832" s="53" t="str">
        <f t="shared" si="63"/>
        <v>SIM</v>
      </c>
      <c r="M832" s="283"/>
      <c r="N832" s="47"/>
      <c r="O832" s="283"/>
      <c r="P832" s="47"/>
      <c r="Q832" s="283"/>
      <c r="R832" s="283"/>
      <c r="S832" s="79" t="str">
        <f t="shared" ca="1" si="64"/>
        <v>EXECUTADA</v>
      </c>
    </row>
    <row r="833" spans="1:19" ht="18" x14ac:dyDescent="0.25">
      <c r="A833" s="282"/>
      <c r="B833" s="47"/>
      <c r="C833" s="48"/>
      <c r="D833" s="284"/>
      <c r="E833" s="47"/>
      <c r="F833" s="50"/>
      <c r="G833" s="51" t="str">
        <f t="shared" si="62"/>
        <v>Sáb</v>
      </c>
      <c r="H833" s="52"/>
      <c r="I833" s="47"/>
      <c r="J833" s="283"/>
      <c r="K833" s="283"/>
      <c r="L833" s="53" t="str">
        <f t="shared" si="63"/>
        <v>SIM</v>
      </c>
      <c r="M833" s="283"/>
      <c r="N833" s="47"/>
      <c r="O833" s="283"/>
      <c r="P833" s="47"/>
      <c r="Q833" s="283"/>
      <c r="R833" s="283"/>
      <c r="S833" s="79" t="str">
        <f t="shared" ca="1" si="64"/>
        <v>EXECUTADA</v>
      </c>
    </row>
    <row r="834" spans="1:19" ht="18" x14ac:dyDescent="0.25">
      <c r="A834" s="282"/>
      <c r="B834" s="47"/>
      <c r="C834" s="48"/>
      <c r="D834" s="284"/>
      <c r="E834" s="47"/>
      <c r="F834" s="50"/>
      <c r="G834" s="51" t="str">
        <f t="shared" si="62"/>
        <v>Sáb</v>
      </c>
      <c r="H834" s="52"/>
      <c r="I834" s="47"/>
      <c r="J834" s="283"/>
      <c r="K834" s="283"/>
      <c r="L834" s="53" t="str">
        <f t="shared" si="63"/>
        <v>SIM</v>
      </c>
      <c r="M834" s="283"/>
      <c r="N834" s="47"/>
      <c r="O834" s="283"/>
      <c r="P834" s="47"/>
      <c r="Q834" s="283"/>
      <c r="R834" s="283"/>
      <c r="S834" s="79" t="str">
        <f t="shared" ca="1" si="64"/>
        <v>EXECUTADA</v>
      </c>
    </row>
    <row r="835" spans="1:19" ht="18" x14ac:dyDescent="0.25">
      <c r="A835" s="282"/>
      <c r="B835" s="47"/>
      <c r="C835" s="48"/>
      <c r="D835" s="284"/>
      <c r="E835" s="47"/>
      <c r="F835" s="50"/>
      <c r="G835" s="51" t="str">
        <f t="shared" si="62"/>
        <v>Sáb</v>
      </c>
      <c r="H835" s="52"/>
      <c r="I835" s="47"/>
      <c r="J835" s="283"/>
      <c r="K835" s="283"/>
      <c r="L835" s="53" t="str">
        <f t="shared" si="63"/>
        <v>SIM</v>
      </c>
      <c r="M835" s="283"/>
      <c r="N835" s="47"/>
      <c r="O835" s="283"/>
      <c r="P835" s="47"/>
      <c r="Q835" s="283"/>
      <c r="R835" s="283"/>
      <c r="S835" s="79" t="str">
        <f t="shared" ca="1" si="64"/>
        <v>EXECUTADA</v>
      </c>
    </row>
    <row r="836" spans="1:19" ht="18" x14ac:dyDescent="0.25">
      <c r="A836" s="282"/>
      <c r="B836" s="47"/>
      <c r="C836" s="48"/>
      <c r="D836" s="284"/>
      <c r="E836" s="47"/>
      <c r="F836" s="50"/>
      <c r="G836" s="51" t="str">
        <f t="shared" si="62"/>
        <v>Sáb</v>
      </c>
      <c r="H836" s="52"/>
      <c r="I836" s="47"/>
      <c r="J836" s="283"/>
      <c r="K836" s="283"/>
      <c r="L836" s="53" t="str">
        <f t="shared" si="63"/>
        <v>SIM</v>
      </c>
      <c r="M836" s="283"/>
      <c r="N836" s="47"/>
      <c r="O836" s="283"/>
      <c r="P836" s="47"/>
      <c r="Q836" s="283"/>
      <c r="R836" s="283"/>
      <c r="S836" s="79" t="str">
        <f t="shared" ca="1" si="64"/>
        <v>EXECUTADA</v>
      </c>
    </row>
    <row r="837" spans="1:19" ht="18" x14ac:dyDescent="0.25">
      <c r="A837" s="282"/>
      <c r="B837" s="47"/>
      <c r="C837" s="48"/>
      <c r="D837" s="284"/>
      <c r="E837" s="47"/>
      <c r="F837" s="50"/>
      <c r="G837" s="51" t="str">
        <f t="shared" si="62"/>
        <v>Sáb</v>
      </c>
      <c r="H837" s="52"/>
      <c r="I837" s="47"/>
      <c r="J837" s="283"/>
      <c r="K837" s="283"/>
      <c r="L837" s="53" t="str">
        <f t="shared" si="63"/>
        <v>SIM</v>
      </c>
      <c r="M837" s="283"/>
      <c r="N837" s="47"/>
      <c r="O837" s="283"/>
      <c r="P837" s="47"/>
      <c r="Q837" s="283"/>
      <c r="R837" s="283"/>
      <c r="S837" s="79" t="str">
        <f t="shared" ca="1" si="64"/>
        <v>EXECUTADA</v>
      </c>
    </row>
    <row r="838" spans="1:19" ht="18" x14ac:dyDescent="0.25">
      <c r="A838" s="282"/>
      <c r="B838" s="47"/>
      <c r="C838" s="48"/>
      <c r="D838" s="284"/>
      <c r="E838" s="47"/>
      <c r="F838" s="50"/>
      <c r="G838" s="51" t="str">
        <f t="shared" si="62"/>
        <v>Sáb</v>
      </c>
      <c r="H838" s="52"/>
      <c r="I838" s="47"/>
      <c r="J838" s="283"/>
      <c r="K838" s="283"/>
      <c r="L838" s="53" t="str">
        <f t="shared" si="63"/>
        <v>SIM</v>
      </c>
      <c r="M838" s="283"/>
      <c r="N838" s="47"/>
      <c r="O838" s="283"/>
      <c r="P838" s="47"/>
      <c r="Q838" s="283"/>
      <c r="R838" s="283"/>
      <c r="S838" s="79" t="str">
        <f t="shared" ca="1" si="64"/>
        <v>EXECUTADA</v>
      </c>
    </row>
    <row r="839" spans="1:19" ht="18" x14ac:dyDescent="0.25">
      <c r="A839" s="282"/>
      <c r="B839" s="47"/>
      <c r="C839" s="48"/>
      <c r="D839" s="284"/>
      <c r="E839" s="47"/>
      <c r="F839" s="50"/>
      <c r="G839" s="51" t="str">
        <f t="shared" si="62"/>
        <v>Sáb</v>
      </c>
      <c r="H839" s="52"/>
      <c r="I839" s="47"/>
      <c r="J839" s="283"/>
      <c r="K839" s="283"/>
      <c r="L839" s="53" t="str">
        <f t="shared" si="63"/>
        <v>SIM</v>
      </c>
      <c r="M839" s="283"/>
      <c r="N839" s="47"/>
      <c r="O839" s="283"/>
      <c r="P839" s="47"/>
      <c r="Q839" s="283"/>
      <c r="R839" s="283"/>
      <c r="S839" s="79" t="str">
        <f t="shared" ca="1" si="64"/>
        <v>EXECUTADA</v>
      </c>
    </row>
    <row r="840" spans="1:19" ht="18" x14ac:dyDescent="0.25">
      <c r="A840" s="282"/>
      <c r="B840" s="47"/>
      <c r="C840" s="48"/>
      <c r="D840" s="284"/>
      <c r="E840" s="47"/>
      <c r="F840" s="50"/>
      <c r="G840" s="51" t="str">
        <f t="shared" si="62"/>
        <v>Sáb</v>
      </c>
      <c r="H840" s="52"/>
      <c r="I840" s="47"/>
      <c r="J840" s="283"/>
      <c r="K840" s="283"/>
      <c r="L840" s="53" t="str">
        <f t="shared" si="63"/>
        <v>SIM</v>
      </c>
      <c r="M840" s="283"/>
      <c r="N840" s="47"/>
      <c r="O840" s="283"/>
      <c r="P840" s="47"/>
      <c r="Q840" s="283"/>
      <c r="R840" s="283"/>
      <c r="S840" s="79" t="str">
        <f t="shared" ca="1" si="64"/>
        <v>EXECUTADA</v>
      </c>
    </row>
    <row r="841" spans="1:19" ht="18" x14ac:dyDescent="0.25">
      <c r="A841" s="282"/>
      <c r="B841" s="47"/>
      <c r="C841" s="48"/>
      <c r="D841" s="284"/>
      <c r="E841" s="47"/>
      <c r="F841" s="50"/>
      <c r="G841" s="51" t="str">
        <f t="shared" si="62"/>
        <v>Sáb</v>
      </c>
      <c r="H841" s="52"/>
      <c r="I841" s="47"/>
      <c r="J841" s="283"/>
      <c r="K841" s="283"/>
      <c r="L841" s="53" t="str">
        <f t="shared" si="63"/>
        <v>SIM</v>
      </c>
      <c r="M841" s="283"/>
      <c r="N841" s="47"/>
      <c r="O841" s="283"/>
      <c r="P841" s="47"/>
      <c r="Q841" s="283"/>
      <c r="R841" s="283"/>
      <c r="S841" s="79" t="str">
        <f t="shared" ca="1" si="64"/>
        <v>EXECUTADA</v>
      </c>
    </row>
    <row r="842" spans="1:19" ht="18" x14ac:dyDescent="0.25">
      <c r="A842" s="282"/>
      <c r="B842" s="47"/>
      <c r="C842" s="48"/>
      <c r="D842" s="284"/>
      <c r="E842" s="47"/>
      <c r="F842" s="50"/>
      <c r="G842" s="51" t="str">
        <f t="shared" si="62"/>
        <v>Sáb</v>
      </c>
      <c r="H842" s="52"/>
      <c r="I842" s="47"/>
      <c r="J842" s="283"/>
      <c r="K842" s="283"/>
      <c r="L842" s="53" t="str">
        <f t="shared" si="63"/>
        <v>SIM</v>
      </c>
      <c r="M842" s="283"/>
      <c r="N842" s="47"/>
      <c r="O842" s="283"/>
      <c r="P842" s="47"/>
      <c r="Q842" s="283"/>
      <c r="R842" s="283"/>
      <c r="S842" s="79" t="str">
        <f t="shared" ca="1" si="64"/>
        <v>EXECUTADA</v>
      </c>
    </row>
    <row r="843" spans="1:19" ht="18" x14ac:dyDescent="0.25">
      <c r="A843" s="282"/>
      <c r="B843" s="47"/>
      <c r="C843" s="48"/>
      <c r="D843" s="284"/>
      <c r="E843" s="47"/>
      <c r="F843" s="50"/>
      <c r="G843" s="51" t="str">
        <f t="shared" si="62"/>
        <v>Sáb</v>
      </c>
      <c r="H843" s="52"/>
      <c r="I843" s="47"/>
      <c r="J843" s="283"/>
      <c r="K843" s="283"/>
      <c r="L843" s="53" t="str">
        <f t="shared" si="63"/>
        <v>SIM</v>
      </c>
      <c r="M843" s="283"/>
      <c r="N843" s="47"/>
      <c r="O843" s="283"/>
      <c r="P843" s="47"/>
      <c r="Q843" s="283"/>
      <c r="R843" s="283"/>
      <c r="S843" s="79" t="str">
        <f t="shared" ca="1" si="64"/>
        <v>EXECUTADA</v>
      </c>
    </row>
    <row r="844" spans="1:19" ht="18" x14ac:dyDescent="0.25">
      <c r="A844" s="282"/>
      <c r="B844" s="47"/>
      <c r="C844" s="48"/>
      <c r="D844" s="284"/>
      <c r="E844" s="47"/>
      <c r="F844" s="50"/>
      <c r="G844" s="51" t="str">
        <f t="shared" si="62"/>
        <v>Sáb</v>
      </c>
      <c r="H844" s="52"/>
      <c r="I844" s="47"/>
      <c r="J844" s="283"/>
      <c r="K844" s="283"/>
      <c r="L844" s="53" t="str">
        <f t="shared" si="63"/>
        <v>SIM</v>
      </c>
      <c r="M844" s="283"/>
      <c r="N844" s="47"/>
      <c r="O844" s="283"/>
      <c r="P844" s="47"/>
      <c r="Q844" s="283"/>
      <c r="R844" s="283"/>
      <c r="S844" s="79" t="str">
        <f t="shared" ca="1" si="64"/>
        <v>EXECUTADA</v>
      </c>
    </row>
    <row r="845" spans="1:19" ht="18" x14ac:dyDescent="0.25">
      <c r="A845" s="282"/>
      <c r="B845" s="47"/>
      <c r="C845" s="48"/>
      <c r="D845" s="284"/>
      <c r="E845" s="47"/>
      <c r="F845" s="50"/>
      <c r="G845" s="51" t="str">
        <f t="shared" si="62"/>
        <v>Sáb</v>
      </c>
      <c r="H845" s="52"/>
      <c r="I845" s="47"/>
      <c r="J845" s="283"/>
      <c r="K845" s="283"/>
      <c r="L845" s="53" t="str">
        <f t="shared" si="63"/>
        <v>SIM</v>
      </c>
      <c r="M845" s="283"/>
      <c r="N845" s="47"/>
      <c r="O845" s="283"/>
      <c r="P845" s="47"/>
      <c r="Q845" s="283"/>
      <c r="R845" s="283"/>
      <c r="S845" s="79" t="str">
        <f t="shared" ca="1" si="64"/>
        <v>EXECUTADA</v>
      </c>
    </row>
    <row r="846" spans="1:19" ht="18" x14ac:dyDescent="0.25">
      <c r="A846" s="282"/>
      <c r="B846" s="47"/>
      <c r="C846" s="48"/>
      <c r="D846" s="284"/>
      <c r="E846" s="47"/>
      <c r="F846" s="50"/>
      <c r="G846" s="51" t="str">
        <f t="shared" si="62"/>
        <v>Sáb</v>
      </c>
      <c r="H846" s="52"/>
      <c r="I846" s="47"/>
      <c r="J846" s="283"/>
      <c r="K846" s="283"/>
      <c r="L846" s="53" t="str">
        <f t="shared" si="63"/>
        <v>SIM</v>
      </c>
      <c r="M846" s="283"/>
      <c r="N846" s="47"/>
      <c r="O846" s="283"/>
      <c r="P846" s="47"/>
      <c r="Q846" s="283"/>
      <c r="R846" s="283"/>
      <c r="S846" s="79" t="str">
        <f t="shared" ca="1" si="64"/>
        <v>EXECUTADA</v>
      </c>
    </row>
    <row r="847" spans="1:19" ht="18" x14ac:dyDescent="0.25">
      <c r="A847" s="282"/>
      <c r="B847" s="47"/>
      <c r="C847" s="48"/>
      <c r="D847" s="284"/>
      <c r="E847" s="47"/>
      <c r="F847" s="50"/>
      <c r="G847" s="51" t="str">
        <f t="shared" si="62"/>
        <v>Sáb</v>
      </c>
      <c r="H847" s="52"/>
      <c r="I847" s="47"/>
      <c r="J847" s="283"/>
      <c r="K847" s="283"/>
      <c r="L847" s="53" t="str">
        <f t="shared" si="63"/>
        <v>SIM</v>
      </c>
      <c r="M847" s="283"/>
      <c r="N847" s="47"/>
      <c r="O847" s="283"/>
      <c r="P847" s="47"/>
      <c r="Q847" s="283"/>
      <c r="R847" s="283"/>
      <c r="S847" s="79" t="str">
        <f t="shared" ca="1" si="64"/>
        <v>EXECUTADA</v>
      </c>
    </row>
    <row r="848" spans="1:19" ht="18" x14ac:dyDescent="0.25">
      <c r="A848" s="282"/>
      <c r="B848" s="47"/>
      <c r="C848" s="48"/>
      <c r="D848" s="284"/>
      <c r="E848" s="47"/>
      <c r="F848" s="50"/>
      <c r="G848" s="51" t="str">
        <f t="shared" si="62"/>
        <v>Sáb</v>
      </c>
      <c r="H848" s="52"/>
      <c r="I848" s="47"/>
      <c r="J848" s="283"/>
      <c r="K848" s="283"/>
      <c r="L848" s="53" t="str">
        <f t="shared" si="63"/>
        <v>SIM</v>
      </c>
      <c r="M848" s="283"/>
      <c r="N848" s="47"/>
      <c r="O848" s="283"/>
      <c r="P848" s="47"/>
      <c r="Q848" s="283"/>
      <c r="R848" s="283"/>
      <c r="S848" s="79" t="str">
        <f t="shared" ca="1" si="64"/>
        <v>EXECUTADA</v>
      </c>
    </row>
    <row r="849" spans="1:19" ht="18" x14ac:dyDescent="0.25">
      <c r="A849" s="282"/>
      <c r="B849" s="47"/>
      <c r="C849" s="48"/>
      <c r="D849" s="284"/>
      <c r="E849" s="47"/>
      <c r="F849" s="50"/>
      <c r="G849" s="51" t="str">
        <f t="shared" si="62"/>
        <v>Sáb</v>
      </c>
      <c r="H849" s="52"/>
      <c r="I849" s="47"/>
      <c r="J849" s="283"/>
      <c r="K849" s="283"/>
      <c r="L849" s="53" t="str">
        <f t="shared" si="63"/>
        <v>SIM</v>
      </c>
      <c r="M849" s="283"/>
      <c r="N849" s="47"/>
      <c r="O849" s="283"/>
      <c r="P849" s="47"/>
      <c r="Q849" s="283"/>
      <c r="R849" s="283"/>
      <c r="S849" s="79" t="str">
        <f t="shared" ca="1" si="64"/>
        <v>EXECUTADA</v>
      </c>
    </row>
    <row r="850" spans="1:19" ht="18" x14ac:dyDescent="0.25">
      <c r="A850" s="282"/>
      <c r="B850" s="47"/>
      <c r="C850" s="48"/>
      <c r="D850" s="284"/>
      <c r="E850" s="47"/>
      <c r="F850" s="50"/>
      <c r="G850" s="51" t="str">
        <f t="shared" si="62"/>
        <v>Sáb</v>
      </c>
      <c r="H850" s="52"/>
      <c r="I850" s="47"/>
      <c r="J850" s="283"/>
      <c r="K850" s="283"/>
      <c r="L850" s="53" t="str">
        <f t="shared" si="63"/>
        <v>SIM</v>
      </c>
      <c r="M850" s="283"/>
      <c r="N850" s="47"/>
      <c r="O850" s="283"/>
      <c r="P850" s="47"/>
      <c r="Q850" s="283"/>
      <c r="R850" s="283"/>
      <c r="S850" s="79" t="str">
        <f t="shared" ca="1" si="64"/>
        <v>EXECUTADA</v>
      </c>
    </row>
    <row r="851" spans="1:19" ht="18" x14ac:dyDescent="0.25">
      <c r="A851" s="282"/>
      <c r="B851" s="47"/>
      <c r="C851" s="48"/>
      <c r="D851" s="284"/>
      <c r="E851" s="47"/>
      <c r="F851" s="50"/>
      <c r="G851" s="51" t="str">
        <f t="shared" si="62"/>
        <v>Sáb</v>
      </c>
      <c r="H851" s="52"/>
      <c r="I851" s="47"/>
      <c r="J851" s="283"/>
      <c r="K851" s="283"/>
      <c r="L851" s="53" t="str">
        <f t="shared" si="63"/>
        <v>SIM</v>
      </c>
      <c r="M851" s="283"/>
      <c r="N851" s="47"/>
      <c r="O851" s="283"/>
      <c r="P851" s="47"/>
      <c r="Q851" s="283"/>
      <c r="R851" s="283"/>
      <c r="S851" s="79" t="str">
        <f t="shared" ca="1" si="64"/>
        <v>EXECUTADA</v>
      </c>
    </row>
    <row r="852" spans="1:19" ht="18" x14ac:dyDescent="0.25">
      <c r="A852" s="282"/>
      <c r="B852" s="47"/>
      <c r="C852" s="48"/>
      <c r="D852" s="284"/>
      <c r="E852" s="47"/>
      <c r="F852" s="50"/>
      <c r="G852" s="51" t="str">
        <f t="shared" si="62"/>
        <v>Sáb</v>
      </c>
      <c r="H852" s="52"/>
      <c r="I852" s="47"/>
      <c r="J852" s="283"/>
      <c r="K852" s="283"/>
      <c r="L852" s="53" t="str">
        <f t="shared" si="63"/>
        <v>SIM</v>
      </c>
      <c r="M852" s="283"/>
      <c r="N852" s="47"/>
      <c r="O852" s="283"/>
      <c r="P852" s="47"/>
      <c r="Q852" s="283"/>
      <c r="R852" s="283"/>
      <c r="S852" s="79" t="str">
        <f t="shared" ca="1" si="64"/>
        <v>EXECUTADA</v>
      </c>
    </row>
    <row r="853" spans="1:19" ht="18" x14ac:dyDescent="0.25">
      <c r="A853" s="282"/>
      <c r="B853" s="47"/>
      <c r="C853" s="48"/>
      <c r="D853" s="284"/>
      <c r="E853" s="47"/>
      <c r="F853" s="50"/>
      <c r="G853" s="51" t="str">
        <f t="shared" si="62"/>
        <v>Sáb</v>
      </c>
      <c r="H853" s="52"/>
      <c r="I853" s="47"/>
      <c r="J853" s="283"/>
      <c r="K853" s="283"/>
      <c r="L853" s="53" t="str">
        <f t="shared" si="63"/>
        <v>SIM</v>
      </c>
      <c r="M853" s="283"/>
      <c r="N853" s="47"/>
      <c r="O853" s="283"/>
      <c r="P853" s="47"/>
      <c r="Q853" s="283"/>
      <c r="R853" s="283"/>
      <c r="S853" s="79" t="str">
        <f t="shared" ca="1" si="64"/>
        <v>EXECUTADA</v>
      </c>
    </row>
    <row r="854" spans="1:19" ht="18" x14ac:dyDescent="0.25">
      <c r="A854" s="282"/>
      <c r="B854" s="47"/>
      <c r="C854" s="48"/>
      <c r="D854" s="284"/>
      <c r="E854" s="47"/>
      <c r="F854" s="50"/>
      <c r="G854" s="51" t="str">
        <f t="shared" si="62"/>
        <v>Sáb</v>
      </c>
      <c r="H854" s="52"/>
      <c r="I854" s="47"/>
      <c r="J854" s="283"/>
      <c r="K854" s="283"/>
      <c r="L854" s="53" t="str">
        <f t="shared" si="63"/>
        <v>SIM</v>
      </c>
      <c r="M854" s="283"/>
      <c r="N854" s="47"/>
      <c r="O854" s="283"/>
      <c r="P854" s="47"/>
      <c r="Q854" s="283"/>
      <c r="R854" s="283"/>
      <c r="S854" s="79" t="str">
        <f t="shared" ca="1" si="64"/>
        <v>EXECUTADA</v>
      </c>
    </row>
    <row r="855" spans="1:19" ht="18" x14ac:dyDescent="0.25">
      <c r="A855" s="282"/>
      <c r="B855" s="47"/>
      <c r="C855" s="48"/>
      <c r="D855" s="284"/>
      <c r="E855" s="47"/>
      <c r="F855" s="50"/>
      <c r="G855" s="51" t="str">
        <f t="shared" si="62"/>
        <v>Sáb</v>
      </c>
      <c r="H855" s="52"/>
      <c r="I855" s="47"/>
      <c r="J855" s="283"/>
      <c r="K855" s="283"/>
      <c r="L855" s="53" t="str">
        <f t="shared" si="63"/>
        <v>SIM</v>
      </c>
      <c r="M855" s="283"/>
      <c r="N855" s="47"/>
      <c r="O855" s="283"/>
      <c r="P855" s="47"/>
      <c r="Q855" s="283"/>
      <c r="R855" s="283"/>
      <c r="S855" s="79" t="str">
        <f t="shared" ca="1" si="64"/>
        <v>EXECUTADA</v>
      </c>
    </row>
    <row r="856" spans="1:19" ht="18" x14ac:dyDescent="0.25">
      <c r="A856" s="282"/>
      <c r="B856" s="47"/>
      <c r="C856" s="48"/>
      <c r="D856" s="284"/>
      <c r="E856" s="47"/>
      <c r="F856" s="50"/>
      <c r="G856" s="51" t="str">
        <f t="shared" si="62"/>
        <v>Sáb</v>
      </c>
      <c r="H856" s="52"/>
      <c r="I856" s="47"/>
      <c r="J856" s="283"/>
      <c r="K856" s="283"/>
      <c r="L856" s="53" t="str">
        <f t="shared" si="63"/>
        <v>SIM</v>
      </c>
      <c r="M856" s="283"/>
      <c r="N856" s="47"/>
      <c r="O856" s="283"/>
      <c r="P856" s="47"/>
      <c r="Q856" s="283"/>
      <c r="R856" s="283"/>
      <c r="S856" s="79" t="str">
        <f t="shared" ca="1" si="64"/>
        <v>EXECUTADA</v>
      </c>
    </row>
    <row r="857" spans="1:19" ht="18" x14ac:dyDescent="0.25">
      <c r="A857" s="282"/>
      <c r="B857" s="47"/>
      <c r="C857" s="48"/>
      <c r="D857" s="284"/>
      <c r="E857" s="47"/>
      <c r="F857" s="50"/>
      <c r="G857" s="51" t="str">
        <f t="shared" si="62"/>
        <v>Sáb</v>
      </c>
      <c r="H857" s="52"/>
      <c r="I857" s="47"/>
      <c r="J857" s="283"/>
      <c r="K857" s="283"/>
      <c r="L857" s="53" t="str">
        <f t="shared" si="63"/>
        <v>SIM</v>
      </c>
      <c r="M857" s="283"/>
      <c r="N857" s="47"/>
      <c r="O857" s="283"/>
      <c r="P857" s="47"/>
      <c r="Q857" s="283"/>
      <c r="R857" s="283"/>
      <c r="S857" s="79" t="str">
        <f t="shared" ca="1" si="64"/>
        <v>EXECUTADA</v>
      </c>
    </row>
    <row r="858" spans="1:19" ht="18" x14ac:dyDescent="0.25">
      <c r="A858" s="282"/>
      <c r="B858" s="47"/>
      <c r="C858" s="48"/>
      <c r="D858" s="284"/>
      <c r="E858" s="47"/>
      <c r="F858" s="50"/>
      <c r="G858" s="51" t="str">
        <f t="shared" si="62"/>
        <v>Sáb</v>
      </c>
      <c r="H858" s="52"/>
      <c r="I858" s="47"/>
      <c r="J858" s="283"/>
      <c r="K858" s="283"/>
      <c r="L858" s="53" t="str">
        <f t="shared" si="63"/>
        <v>SIM</v>
      </c>
      <c r="M858" s="283"/>
      <c r="N858" s="47"/>
      <c r="O858" s="283"/>
      <c r="P858" s="47"/>
      <c r="Q858" s="283"/>
      <c r="R858" s="283"/>
      <c r="S858" s="79" t="str">
        <f t="shared" ca="1" si="64"/>
        <v>EXECUTADA</v>
      </c>
    </row>
    <row r="859" spans="1:19" ht="18" x14ac:dyDescent="0.25">
      <c r="A859" s="282"/>
      <c r="B859" s="47"/>
      <c r="C859" s="48"/>
      <c r="D859" s="284"/>
      <c r="E859" s="47"/>
      <c r="F859" s="50"/>
      <c r="G859" s="51" t="str">
        <f t="shared" si="62"/>
        <v>Sáb</v>
      </c>
      <c r="H859" s="52"/>
      <c r="I859" s="47"/>
      <c r="J859" s="283"/>
      <c r="K859" s="283"/>
      <c r="L859" s="53" t="str">
        <f t="shared" si="63"/>
        <v>SIM</v>
      </c>
      <c r="M859" s="283"/>
      <c r="N859" s="47"/>
      <c r="O859" s="283"/>
      <c r="P859" s="47"/>
      <c r="Q859" s="283"/>
      <c r="R859" s="283"/>
      <c r="S859" s="79" t="str">
        <f t="shared" ca="1" si="64"/>
        <v>EXECUTADA</v>
      </c>
    </row>
    <row r="860" spans="1:19" ht="18" x14ac:dyDescent="0.25">
      <c r="A860" s="282"/>
      <c r="B860" s="47"/>
      <c r="C860" s="48"/>
      <c r="D860" s="284"/>
      <c r="E860" s="47"/>
      <c r="F860" s="50"/>
      <c r="G860" s="51" t="str">
        <f t="shared" si="62"/>
        <v>Sáb</v>
      </c>
      <c r="H860" s="52"/>
      <c r="I860" s="47"/>
      <c r="J860" s="283"/>
      <c r="K860" s="283"/>
      <c r="L860" s="53" t="str">
        <f t="shared" si="63"/>
        <v>SIM</v>
      </c>
      <c r="M860" s="283"/>
      <c r="N860" s="47"/>
      <c r="O860" s="283"/>
      <c r="P860" s="47"/>
      <c r="Q860" s="283"/>
      <c r="R860" s="283"/>
      <c r="S860" s="79" t="str">
        <f t="shared" ca="1" si="64"/>
        <v>EXECUTADA</v>
      </c>
    </row>
    <row r="861" spans="1:19" ht="18" x14ac:dyDescent="0.25">
      <c r="A861" s="282"/>
      <c r="B861" s="47"/>
      <c r="C861" s="48"/>
      <c r="D861" s="284"/>
      <c r="E861" s="47"/>
      <c r="F861" s="50"/>
      <c r="G861" s="51" t="str">
        <f t="shared" si="62"/>
        <v>Sáb</v>
      </c>
      <c r="H861" s="52"/>
      <c r="I861" s="47"/>
      <c r="J861" s="283"/>
      <c r="K861" s="283"/>
      <c r="L861" s="53" t="str">
        <f t="shared" si="63"/>
        <v>SIM</v>
      </c>
      <c r="M861" s="283"/>
      <c r="N861" s="47"/>
      <c r="O861" s="283"/>
      <c r="P861" s="47"/>
      <c r="Q861" s="283"/>
      <c r="R861" s="283"/>
      <c r="S861" s="79" t="str">
        <f t="shared" ca="1" si="64"/>
        <v>EXECUTADA</v>
      </c>
    </row>
    <row r="862" spans="1:19" ht="18" x14ac:dyDescent="0.25">
      <c r="A862" s="282"/>
      <c r="B862" s="47"/>
      <c r="C862" s="48"/>
      <c r="D862" s="284"/>
      <c r="E862" s="47"/>
      <c r="F862" s="50"/>
      <c r="G862" s="51" t="str">
        <f t="shared" si="62"/>
        <v>Sáb</v>
      </c>
      <c r="H862" s="52"/>
      <c r="I862" s="47"/>
      <c r="J862" s="283"/>
      <c r="K862" s="283"/>
      <c r="L862" s="53" t="str">
        <f t="shared" si="63"/>
        <v>SIM</v>
      </c>
      <c r="M862" s="283"/>
      <c r="N862" s="47"/>
      <c r="O862" s="283"/>
      <c r="P862" s="47"/>
      <c r="Q862" s="283"/>
      <c r="R862" s="283"/>
      <c r="S862" s="79" t="str">
        <f t="shared" ca="1" si="64"/>
        <v>EXECUTADA</v>
      </c>
    </row>
    <row r="863" spans="1:19" ht="18" x14ac:dyDescent="0.25">
      <c r="A863" s="282"/>
      <c r="B863" s="47"/>
      <c r="C863" s="48"/>
      <c r="D863" s="284"/>
      <c r="E863" s="47"/>
      <c r="F863" s="50"/>
      <c r="G863" s="51" t="str">
        <f t="shared" si="62"/>
        <v>Sáb</v>
      </c>
      <c r="H863" s="52"/>
      <c r="I863" s="47"/>
      <c r="J863" s="283"/>
      <c r="K863" s="283"/>
      <c r="L863" s="53" t="str">
        <f t="shared" si="63"/>
        <v>SIM</v>
      </c>
      <c r="M863" s="283"/>
      <c r="N863" s="47"/>
      <c r="O863" s="283"/>
      <c r="P863" s="47"/>
      <c r="Q863" s="283"/>
      <c r="R863" s="283"/>
      <c r="S863" s="79" t="str">
        <f t="shared" ca="1" si="64"/>
        <v>EXECUTADA</v>
      </c>
    </row>
    <row r="864" spans="1:19" ht="18" x14ac:dyDescent="0.25">
      <c r="A864" s="282"/>
      <c r="B864" s="47"/>
      <c r="C864" s="48"/>
      <c r="D864" s="284"/>
      <c r="E864" s="47"/>
      <c r="F864" s="50"/>
      <c r="G864" s="51" t="str">
        <f t="shared" si="62"/>
        <v>Sáb</v>
      </c>
      <c r="H864" s="52"/>
      <c r="I864" s="47"/>
      <c r="J864" s="283"/>
      <c r="K864" s="283"/>
      <c r="L864" s="53" t="str">
        <f t="shared" si="63"/>
        <v>SIM</v>
      </c>
      <c r="M864" s="283"/>
      <c r="N864" s="47"/>
      <c r="O864" s="283"/>
      <c r="P864" s="47"/>
      <c r="Q864" s="283"/>
      <c r="R864" s="283"/>
      <c r="S864" s="79" t="str">
        <f t="shared" ca="1" si="64"/>
        <v>EXECUTADA</v>
      </c>
    </row>
    <row r="865" spans="1:19" ht="18" x14ac:dyDescent="0.25">
      <c r="A865" s="282"/>
      <c r="B865" s="47"/>
      <c r="C865" s="48"/>
      <c r="D865" s="284"/>
      <c r="E865" s="47"/>
      <c r="F865" s="50"/>
      <c r="G865" s="51" t="str">
        <f t="shared" si="62"/>
        <v>Sáb</v>
      </c>
      <c r="H865" s="52"/>
      <c r="I865" s="47"/>
      <c r="J865" s="283"/>
      <c r="K865" s="283"/>
      <c r="L865" s="53" t="str">
        <f t="shared" si="63"/>
        <v>SIM</v>
      </c>
      <c r="M865" s="283"/>
      <c r="N865" s="47"/>
      <c r="O865" s="283"/>
      <c r="P865" s="47"/>
      <c r="Q865" s="283"/>
      <c r="R865" s="283"/>
      <c r="S865" s="79" t="str">
        <f t="shared" ca="1" si="64"/>
        <v>EXECUTADA</v>
      </c>
    </row>
    <row r="866" spans="1:19" ht="18" x14ac:dyDescent="0.25">
      <c r="A866" s="282"/>
      <c r="B866" s="47"/>
      <c r="C866" s="48"/>
      <c r="D866" s="284"/>
      <c r="E866" s="47"/>
      <c r="F866" s="50"/>
      <c r="G866" s="51" t="str">
        <f t="shared" si="62"/>
        <v>Sáb</v>
      </c>
      <c r="H866" s="52"/>
      <c r="I866" s="47"/>
      <c r="J866" s="283"/>
      <c r="K866" s="283"/>
      <c r="L866" s="53" t="str">
        <f t="shared" si="63"/>
        <v>SIM</v>
      </c>
      <c r="M866" s="283"/>
      <c r="N866" s="47"/>
      <c r="O866" s="283"/>
      <c r="P866" s="47"/>
      <c r="Q866" s="283"/>
      <c r="R866" s="283"/>
      <c r="S866" s="79" t="str">
        <f t="shared" ca="1" si="64"/>
        <v>EXECUTADA</v>
      </c>
    </row>
    <row r="867" spans="1:19" ht="18" x14ac:dyDescent="0.25">
      <c r="A867" s="282"/>
      <c r="B867" s="47"/>
      <c r="C867" s="48"/>
      <c r="D867" s="284"/>
      <c r="E867" s="47"/>
      <c r="F867" s="50"/>
      <c r="G867" s="51" t="str">
        <f t="shared" si="62"/>
        <v>Sáb</v>
      </c>
      <c r="H867" s="52"/>
      <c r="I867" s="47"/>
      <c r="J867" s="283"/>
      <c r="K867" s="283"/>
      <c r="L867" s="53" t="str">
        <f t="shared" si="63"/>
        <v>SIM</v>
      </c>
      <c r="M867" s="283"/>
      <c r="N867" s="47"/>
      <c r="O867" s="283"/>
      <c r="P867" s="47"/>
      <c r="Q867" s="283"/>
      <c r="R867" s="283"/>
      <c r="S867" s="79" t="str">
        <f t="shared" ca="1" si="64"/>
        <v>EXECUTADA</v>
      </c>
    </row>
    <row r="868" spans="1:19" ht="18" x14ac:dyDescent="0.25">
      <c r="A868" s="282"/>
      <c r="B868" s="47"/>
      <c r="C868" s="48"/>
      <c r="D868" s="284"/>
      <c r="E868" s="47"/>
      <c r="F868" s="50"/>
      <c r="G868" s="51" t="str">
        <f t="shared" si="62"/>
        <v>Sáb</v>
      </c>
      <c r="H868" s="52"/>
      <c r="I868" s="47"/>
      <c r="J868" s="283"/>
      <c r="K868" s="283"/>
      <c r="L868" s="53" t="str">
        <f t="shared" si="63"/>
        <v>SIM</v>
      </c>
      <c r="M868" s="283"/>
      <c r="N868" s="47"/>
      <c r="O868" s="283"/>
      <c r="P868" s="47"/>
      <c r="Q868" s="283"/>
      <c r="R868" s="283"/>
      <c r="S868" s="79" t="str">
        <f t="shared" ca="1" si="64"/>
        <v>EXECUTADA</v>
      </c>
    </row>
    <row r="869" spans="1:19" ht="18" x14ac:dyDescent="0.25">
      <c r="A869" s="282"/>
      <c r="B869" s="47"/>
      <c r="C869" s="48"/>
      <c r="D869" s="284"/>
      <c r="E869" s="47"/>
      <c r="F869" s="50"/>
      <c r="G869" s="51" t="str">
        <f t="shared" si="62"/>
        <v>Sáb</v>
      </c>
      <c r="H869" s="52"/>
      <c r="I869" s="47"/>
      <c r="J869" s="283"/>
      <c r="K869" s="283"/>
      <c r="L869" s="53" t="str">
        <f t="shared" si="63"/>
        <v>SIM</v>
      </c>
      <c r="M869" s="283"/>
      <c r="N869" s="47"/>
      <c r="O869" s="283"/>
      <c r="P869" s="47"/>
      <c r="Q869" s="283"/>
      <c r="R869" s="283"/>
      <c r="S869" s="79" t="str">
        <f t="shared" ca="1" si="64"/>
        <v>EXECUTADA</v>
      </c>
    </row>
    <row r="870" spans="1:19" ht="18" x14ac:dyDescent="0.25">
      <c r="A870" s="282"/>
      <c r="B870" s="47"/>
      <c r="C870" s="48"/>
      <c r="D870" s="284"/>
      <c r="E870" s="47"/>
      <c r="F870" s="50"/>
      <c r="G870" s="51" t="str">
        <f t="shared" si="62"/>
        <v>Sáb</v>
      </c>
      <c r="H870" s="52"/>
      <c r="I870" s="47"/>
      <c r="J870" s="283"/>
      <c r="K870" s="283"/>
      <c r="L870" s="53" t="str">
        <f t="shared" si="63"/>
        <v>SIM</v>
      </c>
      <c r="M870" s="283"/>
      <c r="N870" s="47"/>
      <c r="O870" s="283"/>
      <c r="P870" s="47"/>
      <c r="Q870" s="283"/>
      <c r="R870" s="283"/>
      <c r="S870" s="79" t="str">
        <f t="shared" ca="1" si="64"/>
        <v>EXECUTADA</v>
      </c>
    </row>
    <row r="871" spans="1:19" ht="18" x14ac:dyDescent="0.25">
      <c r="A871" s="282"/>
      <c r="B871" s="47"/>
      <c r="C871" s="48"/>
      <c r="D871" s="284"/>
      <c r="E871" s="47"/>
      <c r="F871" s="50"/>
      <c r="G871" s="51" t="str">
        <f t="shared" si="62"/>
        <v>Sáb</v>
      </c>
      <c r="H871" s="52"/>
      <c r="I871" s="47"/>
      <c r="J871" s="283"/>
      <c r="K871" s="283"/>
      <c r="L871" s="53" t="str">
        <f t="shared" si="63"/>
        <v>SIM</v>
      </c>
      <c r="M871" s="283"/>
      <c r="N871" s="47"/>
      <c r="O871" s="283"/>
      <c r="P871" s="47"/>
      <c r="Q871" s="283"/>
      <c r="R871" s="283"/>
      <c r="S871" s="79" t="str">
        <f t="shared" ca="1" si="64"/>
        <v>EXECUTADA</v>
      </c>
    </row>
    <row r="872" spans="1:19" ht="18" x14ac:dyDescent="0.25">
      <c r="A872" s="282"/>
      <c r="B872" s="47"/>
      <c r="C872" s="48"/>
      <c r="D872" s="284"/>
      <c r="E872" s="47"/>
      <c r="F872" s="50"/>
      <c r="G872" s="51" t="str">
        <f t="shared" si="62"/>
        <v>Sáb</v>
      </c>
      <c r="H872" s="52"/>
      <c r="I872" s="47"/>
      <c r="J872" s="283"/>
      <c r="K872" s="283"/>
      <c r="L872" s="53" t="str">
        <f t="shared" si="63"/>
        <v>SIM</v>
      </c>
      <c r="M872" s="283"/>
      <c r="N872" s="47"/>
      <c r="O872" s="283"/>
      <c r="P872" s="47"/>
      <c r="Q872" s="283"/>
      <c r="R872" s="283"/>
      <c r="S872" s="79" t="str">
        <f t="shared" ca="1" si="64"/>
        <v>EXECUTADA</v>
      </c>
    </row>
    <row r="873" spans="1:19" ht="18" x14ac:dyDescent="0.25">
      <c r="A873" s="282"/>
      <c r="B873" s="47"/>
      <c r="C873" s="48"/>
      <c r="D873" s="284"/>
      <c r="E873" s="47"/>
      <c r="F873" s="50"/>
      <c r="G873" s="51" t="str">
        <f t="shared" si="62"/>
        <v>Sáb</v>
      </c>
      <c r="H873" s="52"/>
      <c r="I873" s="47"/>
      <c r="J873" s="283"/>
      <c r="K873" s="283"/>
      <c r="L873" s="53" t="str">
        <f t="shared" si="63"/>
        <v>SIM</v>
      </c>
      <c r="M873" s="283"/>
      <c r="N873" s="47"/>
      <c r="O873" s="283"/>
      <c r="P873" s="47"/>
      <c r="Q873" s="283"/>
      <c r="R873" s="283"/>
      <c r="S873" s="79" t="str">
        <f t="shared" ca="1" si="64"/>
        <v>EXECUTADA</v>
      </c>
    </row>
    <row r="874" spans="1:19" ht="18" x14ac:dyDescent="0.25">
      <c r="A874" s="282"/>
      <c r="B874" s="47"/>
      <c r="C874" s="48"/>
      <c r="D874" s="284"/>
      <c r="E874" s="47"/>
      <c r="F874" s="50"/>
      <c r="G874" s="51" t="str">
        <f t="shared" ref="G874:G937" si="65">PROPER(TEXT(F874,"DDD"))</f>
        <v>Sáb</v>
      </c>
      <c r="H874" s="52"/>
      <c r="I874" s="47"/>
      <c r="J874" s="283"/>
      <c r="K874" s="283"/>
      <c r="L874" s="53" t="str">
        <f t="shared" si="63"/>
        <v>SIM</v>
      </c>
      <c r="M874" s="283"/>
      <c r="N874" s="47"/>
      <c r="O874" s="283"/>
      <c r="P874" s="47"/>
      <c r="Q874" s="283"/>
      <c r="R874" s="283"/>
      <c r="S874" s="79" t="str">
        <f t="shared" ca="1" si="64"/>
        <v>EXECUTADA</v>
      </c>
    </row>
    <row r="875" spans="1:19" ht="18" x14ac:dyDescent="0.25">
      <c r="A875" s="282"/>
      <c r="B875" s="47"/>
      <c r="C875" s="48"/>
      <c r="D875" s="284"/>
      <c r="E875" s="47"/>
      <c r="F875" s="50"/>
      <c r="G875" s="51" t="str">
        <f t="shared" si="65"/>
        <v>Sáb</v>
      </c>
      <c r="H875" s="52"/>
      <c r="I875" s="47"/>
      <c r="J875" s="283"/>
      <c r="K875" s="283"/>
      <c r="L875" s="53" t="str">
        <f t="shared" si="63"/>
        <v>SIM</v>
      </c>
      <c r="M875" s="283"/>
      <c r="N875" s="47"/>
      <c r="O875" s="283"/>
      <c r="P875" s="47"/>
      <c r="Q875" s="283"/>
      <c r="R875" s="283"/>
      <c r="S875" s="79" t="str">
        <f t="shared" ca="1" si="64"/>
        <v>EXECUTADA</v>
      </c>
    </row>
    <row r="876" spans="1:19" ht="18" x14ac:dyDescent="0.25">
      <c r="A876" s="282"/>
      <c r="B876" s="47"/>
      <c r="C876" s="48"/>
      <c r="D876" s="284"/>
      <c r="E876" s="47"/>
      <c r="F876" s="50"/>
      <c r="G876" s="51" t="str">
        <f t="shared" si="65"/>
        <v>Sáb</v>
      </c>
      <c r="H876" s="52"/>
      <c r="I876" s="47"/>
      <c r="J876" s="283"/>
      <c r="K876" s="283"/>
      <c r="L876" s="53" t="str">
        <f t="shared" si="63"/>
        <v>SIM</v>
      </c>
      <c r="M876" s="283"/>
      <c r="N876" s="47"/>
      <c r="O876" s="283"/>
      <c r="P876" s="47"/>
      <c r="Q876" s="283"/>
      <c r="R876" s="283"/>
      <c r="S876" s="79" t="str">
        <f t="shared" ca="1" si="64"/>
        <v>EXECUTADA</v>
      </c>
    </row>
    <row r="877" spans="1:19" ht="18" x14ac:dyDescent="0.25">
      <c r="A877" s="282"/>
      <c r="B877" s="47"/>
      <c r="C877" s="48"/>
      <c r="D877" s="284"/>
      <c r="E877" s="47"/>
      <c r="F877" s="50"/>
      <c r="G877" s="51" t="str">
        <f t="shared" si="65"/>
        <v>Sáb</v>
      </c>
      <c r="H877" s="52"/>
      <c r="I877" s="47"/>
      <c r="J877" s="283"/>
      <c r="K877" s="283"/>
      <c r="L877" s="53" t="str">
        <f t="shared" ref="L877:L940" si="66">IF(B877="MUD END","NÃO","SIM")</f>
        <v>SIM</v>
      </c>
      <c r="M877" s="283"/>
      <c r="N877" s="47"/>
      <c r="O877" s="283"/>
      <c r="P877" s="47"/>
      <c r="Q877" s="283"/>
      <c r="R877" s="283"/>
      <c r="S877" s="79" t="str">
        <f t="shared" ref="S877:S940" ca="1" si="67">IF(F877&lt;TODAY(),"EXECUTADA",IF(F877=TODAY(),"EM EXECUÇÃO",IF(F877=TODAY()+1,"VALIDAR HOJE",IF(F877&gt;TODAY()+1,"VALIDAR DEPOIS","-"))))</f>
        <v>EXECUTADA</v>
      </c>
    </row>
    <row r="878" spans="1:19" ht="18" x14ac:dyDescent="0.25">
      <c r="A878" s="282"/>
      <c r="B878" s="47"/>
      <c r="C878" s="48"/>
      <c r="D878" s="284"/>
      <c r="E878" s="47"/>
      <c r="F878" s="50"/>
      <c r="G878" s="51" t="str">
        <f t="shared" si="65"/>
        <v>Sáb</v>
      </c>
      <c r="H878" s="52"/>
      <c r="I878" s="47"/>
      <c r="J878" s="283"/>
      <c r="K878" s="283"/>
      <c r="L878" s="53" t="str">
        <f t="shared" si="66"/>
        <v>SIM</v>
      </c>
      <c r="M878" s="283"/>
      <c r="N878" s="47"/>
      <c r="O878" s="283"/>
      <c r="P878" s="47"/>
      <c r="Q878" s="283"/>
      <c r="R878" s="283"/>
      <c r="S878" s="79" t="str">
        <f t="shared" ca="1" si="67"/>
        <v>EXECUTADA</v>
      </c>
    </row>
    <row r="879" spans="1:19" ht="18" x14ac:dyDescent="0.25">
      <c r="A879" s="282"/>
      <c r="B879" s="47"/>
      <c r="C879" s="48"/>
      <c r="D879" s="284"/>
      <c r="E879" s="47"/>
      <c r="F879" s="50"/>
      <c r="G879" s="51" t="str">
        <f t="shared" si="65"/>
        <v>Sáb</v>
      </c>
      <c r="H879" s="52"/>
      <c r="I879" s="47"/>
      <c r="J879" s="283"/>
      <c r="K879" s="283"/>
      <c r="L879" s="53" t="str">
        <f t="shared" si="66"/>
        <v>SIM</v>
      </c>
      <c r="M879" s="283"/>
      <c r="N879" s="47"/>
      <c r="O879" s="283"/>
      <c r="P879" s="47"/>
      <c r="Q879" s="283"/>
      <c r="R879" s="283"/>
      <c r="S879" s="79" t="str">
        <f t="shared" ca="1" si="67"/>
        <v>EXECUTADA</v>
      </c>
    </row>
    <row r="880" spans="1:19" ht="18" x14ac:dyDescent="0.25">
      <c r="A880" s="282"/>
      <c r="B880" s="47"/>
      <c r="C880" s="48"/>
      <c r="D880" s="284"/>
      <c r="E880" s="47"/>
      <c r="F880" s="50"/>
      <c r="G880" s="51" t="str">
        <f t="shared" si="65"/>
        <v>Sáb</v>
      </c>
      <c r="H880" s="52"/>
      <c r="I880" s="47"/>
      <c r="J880" s="283"/>
      <c r="K880" s="283"/>
      <c r="L880" s="53" t="str">
        <f t="shared" si="66"/>
        <v>SIM</v>
      </c>
      <c r="M880" s="283"/>
      <c r="N880" s="47"/>
      <c r="O880" s="283"/>
      <c r="P880" s="47"/>
      <c r="Q880" s="283"/>
      <c r="R880" s="283"/>
      <c r="S880" s="79" t="str">
        <f t="shared" ca="1" si="67"/>
        <v>EXECUTADA</v>
      </c>
    </row>
    <row r="881" spans="1:19" ht="18" x14ac:dyDescent="0.25">
      <c r="A881" s="282"/>
      <c r="B881" s="47"/>
      <c r="C881" s="48"/>
      <c r="D881" s="284"/>
      <c r="E881" s="47"/>
      <c r="F881" s="50"/>
      <c r="G881" s="51" t="str">
        <f t="shared" si="65"/>
        <v>Sáb</v>
      </c>
      <c r="H881" s="52"/>
      <c r="I881" s="47"/>
      <c r="J881" s="283"/>
      <c r="K881" s="283"/>
      <c r="L881" s="53" t="str">
        <f t="shared" si="66"/>
        <v>SIM</v>
      </c>
      <c r="M881" s="283"/>
      <c r="N881" s="47"/>
      <c r="O881" s="283"/>
      <c r="P881" s="47"/>
      <c r="Q881" s="283"/>
      <c r="R881" s="283"/>
      <c r="S881" s="79" t="str">
        <f t="shared" ca="1" si="67"/>
        <v>EXECUTADA</v>
      </c>
    </row>
    <row r="882" spans="1:19" ht="18" x14ac:dyDescent="0.25">
      <c r="A882" s="282"/>
      <c r="B882" s="47"/>
      <c r="C882" s="48"/>
      <c r="D882" s="284"/>
      <c r="E882" s="47"/>
      <c r="F882" s="50"/>
      <c r="G882" s="51" t="str">
        <f t="shared" si="65"/>
        <v>Sáb</v>
      </c>
      <c r="H882" s="52"/>
      <c r="I882" s="47"/>
      <c r="J882" s="283"/>
      <c r="K882" s="283"/>
      <c r="L882" s="53" t="str">
        <f t="shared" si="66"/>
        <v>SIM</v>
      </c>
      <c r="M882" s="283"/>
      <c r="N882" s="47"/>
      <c r="O882" s="283"/>
      <c r="P882" s="47"/>
      <c r="Q882" s="283"/>
      <c r="R882" s="283"/>
      <c r="S882" s="79" t="str">
        <f t="shared" ca="1" si="67"/>
        <v>EXECUTADA</v>
      </c>
    </row>
    <row r="883" spans="1:19" ht="18" x14ac:dyDescent="0.25">
      <c r="A883" s="282"/>
      <c r="B883" s="47"/>
      <c r="C883" s="48"/>
      <c r="D883" s="284"/>
      <c r="E883" s="47"/>
      <c r="F883" s="50"/>
      <c r="G883" s="51" t="str">
        <f t="shared" si="65"/>
        <v>Sáb</v>
      </c>
      <c r="H883" s="52"/>
      <c r="I883" s="47"/>
      <c r="J883" s="283"/>
      <c r="K883" s="283"/>
      <c r="L883" s="53" t="str">
        <f t="shared" si="66"/>
        <v>SIM</v>
      </c>
      <c r="M883" s="283"/>
      <c r="N883" s="47"/>
      <c r="O883" s="283"/>
      <c r="P883" s="47"/>
      <c r="Q883" s="283"/>
      <c r="R883" s="283"/>
      <c r="S883" s="79" t="str">
        <f t="shared" ca="1" si="67"/>
        <v>EXECUTADA</v>
      </c>
    </row>
    <row r="884" spans="1:19" ht="18" x14ac:dyDescent="0.25">
      <c r="A884" s="282"/>
      <c r="B884" s="47"/>
      <c r="C884" s="48"/>
      <c r="D884" s="284"/>
      <c r="E884" s="47"/>
      <c r="F884" s="50"/>
      <c r="G884" s="51" t="str">
        <f t="shared" si="65"/>
        <v>Sáb</v>
      </c>
      <c r="H884" s="52"/>
      <c r="I884" s="47"/>
      <c r="J884" s="283"/>
      <c r="K884" s="283"/>
      <c r="L884" s="53" t="str">
        <f t="shared" si="66"/>
        <v>SIM</v>
      </c>
      <c r="M884" s="283"/>
      <c r="N884" s="47"/>
      <c r="O884" s="283"/>
      <c r="P884" s="47"/>
      <c r="Q884" s="283"/>
      <c r="R884" s="283"/>
      <c r="S884" s="79" t="str">
        <f t="shared" ca="1" si="67"/>
        <v>EXECUTADA</v>
      </c>
    </row>
    <row r="885" spans="1:19" ht="18" x14ac:dyDescent="0.25">
      <c r="A885" s="282"/>
      <c r="B885" s="47"/>
      <c r="C885" s="48"/>
      <c r="D885" s="284"/>
      <c r="E885" s="47"/>
      <c r="F885" s="50"/>
      <c r="G885" s="51" t="str">
        <f t="shared" si="65"/>
        <v>Sáb</v>
      </c>
      <c r="H885" s="52"/>
      <c r="I885" s="47"/>
      <c r="J885" s="283"/>
      <c r="K885" s="283"/>
      <c r="L885" s="53" t="str">
        <f t="shared" si="66"/>
        <v>SIM</v>
      </c>
      <c r="M885" s="283"/>
      <c r="N885" s="47"/>
      <c r="O885" s="283"/>
      <c r="P885" s="47"/>
      <c r="Q885" s="283"/>
      <c r="R885" s="283"/>
      <c r="S885" s="79" t="str">
        <f t="shared" ca="1" si="67"/>
        <v>EXECUTADA</v>
      </c>
    </row>
    <row r="886" spans="1:19" ht="18" x14ac:dyDescent="0.25">
      <c r="A886" s="282"/>
      <c r="B886" s="47"/>
      <c r="C886" s="48"/>
      <c r="D886" s="284"/>
      <c r="E886" s="47"/>
      <c r="F886" s="50"/>
      <c r="G886" s="51" t="str">
        <f t="shared" si="65"/>
        <v>Sáb</v>
      </c>
      <c r="H886" s="52"/>
      <c r="I886" s="47"/>
      <c r="J886" s="283"/>
      <c r="K886" s="283"/>
      <c r="L886" s="53" t="str">
        <f t="shared" si="66"/>
        <v>SIM</v>
      </c>
      <c r="M886" s="283"/>
      <c r="N886" s="47"/>
      <c r="O886" s="283"/>
      <c r="P886" s="47"/>
      <c r="Q886" s="283"/>
      <c r="R886" s="283"/>
      <c r="S886" s="79" t="str">
        <f t="shared" ca="1" si="67"/>
        <v>EXECUTADA</v>
      </c>
    </row>
    <row r="887" spans="1:19" ht="18" x14ac:dyDescent="0.25">
      <c r="A887" s="282"/>
      <c r="B887" s="47"/>
      <c r="C887" s="48"/>
      <c r="D887" s="284"/>
      <c r="E887" s="47"/>
      <c r="F887" s="50"/>
      <c r="G887" s="51" t="str">
        <f t="shared" si="65"/>
        <v>Sáb</v>
      </c>
      <c r="H887" s="52"/>
      <c r="I887" s="47"/>
      <c r="J887" s="283"/>
      <c r="K887" s="283"/>
      <c r="L887" s="53" t="str">
        <f t="shared" si="66"/>
        <v>SIM</v>
      </c>
      <c r="M887" s="283"/>
      <c r="N887" s="47"/>
      <c r="O887" s="283"/>
      <c r="P887" s="47"/>
      <c r="Q887" s="283"/>
      <c r="R887" s="283"/>
      <c r="S887" s="79" t="str">
        <f t="shared" ca="1" si="67"/>
        <v>EXECUTADA</v>
      </c>
    </row>
    <row r="888" spans="1:19" ht="18" x14ac:dyDescent="0.25">
      <c r="A888" s="282"/>
      <c r="B888" s="47"/>
      <c r="C888" s="48"/>
      <c r="D888" s="284"/>
      <c r="E888" s="47"/>
      <c r="F888" s="50"/>
      <c r="G888" s="51" t="str">
        <f t="shared" si="65"/>
        <v>Sáb</v>
      </c>
      <c r="H888" s="52"/>
      <c r="I888" s="47"/>
      <c r="J888" s="283"/>
      <c r="K888" s="283"/>
      <c r="L888" s="53" t="str">
        <f t="shared" si="66"/>
        <v>SIM</v>
      </c>
      <c r="M888" s="283"/>
      <c r="N888" s="47"/>
      <c r="O888" s="283"/>
      <c r="P888" s="47"/>
      <c r="Q888" s="283"/>
      <c r="R888" s="283"/>
      <c r="S888" s="79" t="str">
        <f t="shared" ca="1" si="67"/>
        <v>EXECUTADA</v>
      </c>
    </row>
    <row r="889" spans="1:19" ht="18" x14ac:dyDescent="0.25">
      <c r="A889" s="282"/>
      <c r="B889" s="47"/>
      <c r="C889" s="48"/>
      <c r="D889" s="284"/>
      <c r="E889" s="47"/>
      <c r="F889" s="50"/>
      <c r="G889" s="51" t="str">
        <f t="shared" si="65"/>
        <v>Sáb</v>
      </c>
      <c r="H889" s="52"/>
      <c r="I889" s="47"/>
      <c r="J889" s="283"/>
      <c r="K889" s="283"/>
      <c r="L889" s="53" t="str">
        <f t="shared" si="66"/>
        <v>SIM</v>
      </c>
      <c r="M889" s="283"/>
      <c r="N889" s="47"/>
      <c r="O889" s="283"/>
      <c r="P889" s="47"/>
      <c r="Q889" s="283"/>
      <c r="R889" s="283"/>
      <c r="S889" s="79" t="str">
        <f t="shared" ca="1" si="67"/>
        <v>EXECUTADA</v>
      </c>
    </row>
    <row r="890" spans="1:19" ht="18" x14ac:dyDescent="0.25">
      <c r="A890" s="282"/>
      <c r="B890" s="47"/>
      <c r="C890" s="48"/>
      <c r="D890" s="284"/>
      <c r="E890" s="47"/>
      <c r="F890" s="50"/>
      <c r="G890" s="51" t="str">
        <f t="shared" si="65"/>
        <v>Sáb</v>
      </c>
      <c r="H890" s="52"/>
      <c r="I890" s="47"/>
      <c r="J890" s="283"/>
      <c r="K890" s="283"/>
      <c r="L890" s="53" t="str">
        <f t="shared" si="66"/>
        <v>SIM</v>
      </c>
      <c r="M890" s="283"/>
      <c r="N890" s="47"/>
      <c r="O890" s="283"/>
      <c r="P890" s="47"/>
      <c r="Q890" s="283"/>
      <c r="R890" s="283"/>
      <c r="S890" s="79" t="str">
        <f t="shared" ca="1" si="67"/>
        <v>EXECUTADA</v>
      </c>
    </row>
    <row r="891" spans="1:19" ht="18" x14ac:dyDescent="0.25">
      <c r="A891" s="282"/>
      <c r="B891" s="47"/>
      <c r="C891" s="48"/>
      <c r="D891" s="284"/>
      <c r="E891" s="47"/>
      <c r="F891" s="50"/>
      <c r="G891" s="51" t="str">
        <f t="shared" si="65"/>
        <v>Sáb</v>
      </c>
      <c r="H891" s="52"/>
      <c r="I891" s="47"/>
      <c r="J891" s="283"/>
      <c r="K891" s="283"/>
      <c r="L891" s="53" t="str">
        <f t="shared" si="66"/>
        <v>SIM</v>
      </c>
      <c r="M891" s="283"/>
      <c r="N891" s="47"/>
      <c r="O891" s="283"/>
      <c r="P891" s="47"/>
      <c r="Q891" s="283"/>
      <c r="R891" s="283"/>
      <c r="S891" s="79" t="str">
        <f t="shared" ca="1" si="67"/>
        <v>EXECUTADA</v>
      </c>
    </row>
    <row r="892" spans="1:19" ht="18" x14ac:dyDescent="0.25">
      <c r="A892" s="282"/>
      <c r="B892" s="47"/>
      <c r="C892" s="48"/>
      <c r="D892" s="284"/>
      <c r="E892" s="47"/>
      <c r="F892" s="50"/>
      <c r="G892" s="51" t="str">
        <f t="shared" si="65"/>
        <v>Sáb</v>
      </c>
      <c r="H892" s="52"/>
      <c r="I892" s="47"/>
      <c r="J892" s="283"/>
      <c r="K892" s="283"/>
      <c r="L892" s="53" t="str">
        <f t="shared" si="66"/>
        <v>SIM</v>
      </c>
      <c r="M892" s="283"/>
      <c r="N892" s="47"/>
      <c r="O892" s="283"/>
      <c r="P892" s="47"/>
      <c r="Q892" s="283"/>
      <c r="R892" s="283"/>
      <c r="S892" s="79" t="str">
        <f t="shared" ca="1" si="67"/>
        <v>EXECUTADA</v>
      </c>
    </row>
    <row r="893" spans="1:19" ht="18" x14ac:dyDescent="0.25">
      <c r="A893" s="282"/>
      <c r="B893" s="47"/>
      <c r="C893" s="48"/>
      <c r="D893" s="284"/>
      <c r="E893" s="47"/>
      <c r="F893" s="50"/>
      <c r="G893" s="51" t="str">
        <f t="shared" si="65"/>
        <v>Sáb</v>
      </c>
      <c r="H893" s="52"/>
      <c r="I893" s="47"/>
      <c r="J893" s="283"/>
      <c r="K893" s="283"/>
      <c r="L893" s="53" t="str">
        <f t="shared" si="66"/>
        <v>SIM</v>
      </c>
      <c r="M893" s="283"/>
      <c r="N893" s="47"/>
      <c r="O893" s="283"/>
      <c r="P893" s="47"/>
      <c r="Q893" s="283"/>
      <c r="R893" s="283"/>
      <c r="S893" s="79" t="str">
        <f t="shared" ca="1" si="67"/>
        <v>EXECUTADA</v>
      </c>
    </row>
    <row r="894" spans="1:19" ht="18" x14ac:dyDescent="0.25">
      <c r="A894" s="282"/>
      <c r="B894" s="47"/>
      <c r="C894" s="48"/>
      <c r="D894" s="284"/>
      <c r="E894" s="47"/>
      <c r="F894" s="50"/>
      <c r="G894" s="51" t="str">
        <f t="shared" si="65"/>
        <v>Sáb</v>
      </c>
      <c r="H894" s="52"/>
      <c r="I894" s="47"/>
      <c r="J894" s="283"/>
      <c r="K894" s="283"/>
      <c r="L894" s="53" t="str">
        <f t="shared" si="66"/>
        <v>SIM</v>
      </c>
      <c r="M894" s="283"/>
      <c r="N894" s="47"/>
      <c r="O894" s="283"/>
      <c r="P894" s="47"/>
      <c r="Q894" s="283"/>
      <c r="R894" s="283"/>
      <c r="S894" s="79" t="str">
        <f t="shared" ca="1" si="67"/>
        <v>EXECUTADA</v>
      </c>
    </row>
    <row r="895" spans="1:19" ht="18" x14ac:dyDescent="0.25">
      <c r="A895" s="282"/>
      <c r="B895" s="47"/>
      <c r="C895" s="48"/>
      <c r="D895" s="284"/>
      <c r="E895" s="47"/>
      <c r="F895" s="50"/>
      <c r="G895" s="51" t="str">
        <f t="shared" si="65"/>
        <v>Sáb</v>
      </c>
      <c r="H895" s="52"/>
      <c r="I895" s="47"/>
      <c r="J895" s="283"/>
      <c r="K895" s="283"/>
      <c r="L895" s="53" t="str">
        <f t="shared" si="66"/>
        <v>SIM</v>
      </c>
      <c r="M895" s="283"/>
      <c r="N895" s="47"/>
      <c r="O895" s="283"/>
      <c r="P895" s="47"/>
      <c r="Q895" s="283"/>
      <c r="R895" s="283"/>
      <c r="S895" s="79" t="str">
        <f t="shared" ca="1" si="67"/>
        <v>EXECUTADA</v>
      </c>
    </row>
    <row r="896" spans="1:19" ht="18" x14ac:dyDescent="0.25">
      <c r="A896" s="282"/>
      <c r="B896" s="47"/>
      <c r="C896" s="48"/>
      <c r="D896" s="284"/>
      <c r="E896" s="47"/>
      <c r="F896" s="50"/>
      <c r="G896" s="51" t="str">
        <f t="shared" si="65"/>
        <v>Sáb</v>
      </c>
      <c r="H896" s="52"/>
      <c r="I896" s="47"/>
      <c r="J896" s="283"/>
      <c r="K896" s="283"/>
      <c r="L896" s="53" t="str">
        <f t="shared" si="66"/>
        <v>SIM</v>
      </c>
      <c r="M896" s="283"/>
      <c r="N896" s="47"/>
      <c r="O896" s="283"/>
      <c r="P896" s="47"/>
      <c r="Q896" s="283"/>
      <c r="R896" s="283"/>
      <c r="S896" s="79" t="str">
        <f t="shared" ca="1" si="67"/>
        <v>EXECUTADA</v>
      </c>
    </row>
    <row r="897" spans="1:19" ht="18" x14ac:dyDescent="0.25">
      <c r="A897" s="282"/>
      <c r="B897" s="47"/>
      <c r="C897" s="48"/>
      <c r="D897" s="284"/>
      <c r="E897" s="47"/>
      <c r="F897" s="50"/>
      <c r="G897" s="51" t="str">
        <f t="shared" si="65"/>
        <v>Sáb</v>
      </c>
      <c r="H897" s="52"/>
      <c r="I897" s="47"/>
      <c r="J897" s="283"/>
      <c r="K897" s="283"/>
      <c r="L897" s="53" t="str">
        <f t="shared" si="66"/>
        <v>SIM</v>
      </c>
      <c r="M897" s="283"/>
      <c r="N897" s="47"/>
      <c r="O897" s="283"/>
      <c r="P897" s="47"/>
      <c r="Q897" s="283"/>
      <c r="R897" s="283"/>
      <c r="S897" s="79" t="str">
        <f t="shared" ca="1" si="67"/>
        <v>EXECUTADA</v>
      </c>
    </row>
    <row r="898" spans="1:19" ht="18" x14ac:dyDescent="0.25">
      <c r="A898" s="282"/>
      <c r="B898" s="47"/>
      <c r="C898" s="48"/>
      <c r="D898" s="284"/>
      <c r="E898" s="47"/>
      <c r="F898" s="50"/>
      <c r="G898" s="51" t="str">
        <f t="shared" si="65"/>
        <v>Sáb</v>
      </c>
      <c r="H898" s="52"/>
      <c r="I898" s="47"/>
      <c r="J898" s="283"/>
      <c r="K898" s="283"/>
      <c r="L898" s="53" t="str">
        <f t="shared" si="66"/>
        <v>SIM</v>
      </c>
      <c r="M898" s="283"/>
      <c r="N898" s="47"/>
      <c r="O898" s="283"/>
      <c r="P898" s="47"/>
      <c r="Q898" s="283"/>
      <c r="R898" s="283"/>
      <c r="S898" s="79" t="str">
        <f t="shared" ca="1" si="67"/>
        <v>EXECUTADA</v>
      </c>
    </row>
    <row r="899" spans="1:19" ht="18" x14ac:dyDescent="0.25">
      <c r="A899" s="282"/>
      <c r="B899" s="47"/>
      <c r="C899" s="48"/>
      <c r="D899" s="284"/>
      <c r="E899" s="47"/>
      <c r="F899" s="50"/>
      <c r="G899" s="51" t="str">
        <f t="shared" si="65"/>
        <v>Sáb</v>
      </c>
      <c r="H899" s="52"/>
      <c r="I899" s="47"/>
      <c r="J899" s="283"/>
      <c r="K899" s="283"/>
      <c r="L899" s="53" t="str">
        <f t="shared" si="66"/>
        <v>SIM</v>
      </c>
      <c r="M899" s="283"/>
      <c r="N899" s="47"/>
      <c r="O899" s="283"/>
      <c r="P899" s="47"/>
      <c r="Q899" s="283"/>
      <c r="R899" s="283"/>
      <c r="S899" s="79" t="str">
        <f t="shared" ca="1" si="67"/>
        <v>EXECUTADA</v>
      </c>
    </row>
    <row r="900" spans="1:19" ht="18" x14ac:dyDescent="0.25">
      <c r="A900" s="282"/>
      <c r="B900" s="47"/>
      <c r="C900" s="48"/>
      <c r="D900" s="284"/>
      <c r="E900" s="47"/>
      <c r="F900" s="50"/>
      <c r="G900" s="51" t="str">
        <f t="shared" si="65"/>
        <v>Sáb</v>
      </c>
      <c r="H900" s="52"/>
      <c r="I900" s="47"/>
      <c r="J900" s="283"/>
      <c r="K900" s="283"/>
      <c r="L900" s="53" t="str">
        <f t="shared" si="66"/>
        <v>SIM</v>
      </c>
      <c r="M900" s="283"/>
      <c r="N900" s="47"/>
      <c r="O900" s="283"/>
      <c r="P900" s="47"/>
      <c r="Q900" s="283"/>
      <c r="R900" s="283"/>
      <c r="S900" s="79" t="str">
        <f t="shared" ca="1" si="67"/>
        <v>EXECUTADA</v>
      </c>
    </row>
    <row r="901" spans="1:19" ht="18" x14ac:dyDescent="0.25">
      <c r="A901" s="282"/>
      <c r="B901" s="47"/>
      <c r="C901" s="48"/>
      <c r="D901" s="284"/>
      <c r="E901" s="47"/>
      <c r="F901" s="50"/>
      <c r="G901" s="51" t="str">
        <f t="shared" si="65"/>
        <v>Sáb</v>
      </c>
      <c r="H901" s="52"/>
      <c r="I901" s="47"/>
      <c r="J901" s="283"/>
      <c r="K901" s="283"/>
      <c r="L901" s="53" t="str">
        <f t="shared" si="66"/>
        <v>SIM</v>
      </c>
      <c r="M901" s="283"/>
      <c r="N901" s="47"/>
      <c r="O901" s="283"/>
      <c r="P901" s="47"/>
      <c r="Q901" s="283"/>
      <c r="R901" s="283"/>
      <c r="S901" s="79" t="str">
        <f t="shared" ca="1" si="67"/>
        <v>EXECUTADA</v>
      </c>
    </row>
    <row r="902" spans="1:19" ht="18" x14ac:dyDescent="0.25">
      <c r="A902" s="282"/>
      <c r="B902" s="47"/>
      <c r="C902" s="48"/>
      <c r="D902" s="284"/>
      <c r="E902" s="47"/>
      <c r="F902" s="50"/>
      <c r="G902" s="51" t="str">
        <f t="shared" si="65"/>
        <v>Sáb</v>
      </c>
      <c r="H902" s="52"/>
      <c r="I902" s="47"/>
      <c r="J902" s="283"/>
      <c r="K902" s="283"/>
      <c r="L902" s="53" t="str">
        <f t="shared" si="66"/>
        <v>SIM</v>
      </c>
      <c r="M902" s="283"/>
      <c r="N902" s="47"/>
      <c r="O902" s="283"/>
      <c r="P902" s="47"/>
      <c r="Q902" s="283"/>
      <c r="R902" s="283"/>
      <c r="S902" s="79" t="str">
        <f t="shared" ca="1" si="67"/>
        <v>EXECUTADA</v>
      </c>
    </row>
    <row r="903" spans="1:19" ht="18" x14ac:dyDescent="0.25">
      <c r="A903" s="282"/>
      <c r="B903" s="47"/>
      <c r="C903" s="48"/>
      <c r="D903" s="284"/>
      <c r="E903" s="47"/>
      <c r="F903" s="50"/>
      <c r="G903" s="51" t="str">
        <f t="shared" si="65"/>
        <v>Sáb</v>
      </c>
      <c r="H903" s="52"/>
      <c r="I903" s="47"/>
      <c r="J903" s="283"/>
      <c r="K903" s="283"/>
      <c r="L903" s="53" t="str">
        <f t="shared" si="66"/>
        <v>SIM</v>
      </c>
      <c r="M903" s="283"/>
      <c r="N903" s="47"/>
      <c r="O903" s="283"/>
      <c r="P903" s="47"/>
      <c r="Q903" s="283"/>
      <c r="R903" s="283"/>
      <c r="S903" s="79" t="str">
        <f t="shared" ca="1" si="67"/>
        <v>EXECUTADA</v>
      </c>
    </row>
    <row r="904" spans="1:19" ht="18" x14ac:dyDescent="0.25">
      <c r="A904" s="282"/>
      <c r="B904" s="47"/>
      <c r="C904" s="48"/>
      <c r="D904" s="284"/>
      <c r="E904" s="47"/>
      <c r="F904" s="50"/>
      <c r="G904" s="51" t="str">
        <f t="shared" si="65"/>
        <v>Sáb</v>
      </c>
      <c r="H904" s="52"/>
      <c r="I904" s="47"/>
      <c r="J904" s="283"/>
      <c r="K904" s="283"/>
      <c r="L904" s="53" t="str">
        <f t="shared" si="66"/>
        <v>SIM</v>
      </c>
      <c r="M904" s="283"/>
      <c r="N904" s="47"/>
      <c r="O904" s="283"/>
      <c r="P904" s="47"/>
      <c r="Q904" s="283"/>
      <c r="R904" s="283"/>
      <c r="S904" s="79" t="str">
        <f t="shared" ca="1" si="67"/>
        <v>EXECUTADA</v>
      </c>
    </row>
    <row r="905" spans="1:19" ht="18" x14ac:dyDescent="0.25">
      <c r="A905" s="282"/>
      <c r="B905" s="47"/>
      <c r="C905" s="48"/>
      <c r="D905" s="284"/>
      <c r="E905" s="47"/>
      <c r="F905" s="50"/>
      <c r="G905" s="51" t="str">
        <f t="shared" si="65"/>
        <v>Sáb</v>
      </c>
      <c r="H905" s="52"/>
      <c r="I905" s="47"/>
      <c r="J905" s="283"/>
      <c r="K905" s="283"/>
      <c r="L905" s="53" t="str">
        <f t="shared" si="66"/>
        <v>SIM</v>
      </c>
      <c r="M905" s="283"/>
      <c r="N905" s="47"/>
      <c r="O905" s="283"/>
      <c r="P905" s="47"/>
      <c r="Q905" s="283"/>
      <c r="R905" s="283"/>
      <c r="S905" s="79" t="str">
        <f t="shared" ca="1" si="67"/>
        <v>EXECUTADA</v>
      </c>
    </row>
    <row r="906" spans="1:19" ht="18" x14ac:dyDescent="0.25">
      <c r="A906" s="282"/>
      <c r="B906" s="47"/>
      <c r="C906" s="48"/>
      <c r="D906" s="284"/>
      <c r="E906" s="47"/>
      <c r="F906" s="50"/>
      <c r="G906" s="51" t="str">
        <f t="shared" si="65"/>
        <v>Sáb</v>
      </c>
      <c r="H906" s="52"/>
      <c r="I906" s="47"/>
      <c r="J906" s="283"/>
      <c r="K906" s="283"/>
      <c r="L906" s="53" t="str">
        <f t="shared" si="66"/>
        <v>SIM</v>
      </c>
      <c r="M906" s="283"/>
      <c r="N906" s="47"/>
      <c r="O906" s="283"/>
      <c r="P906" s="47"/>
      <c r="Q906" s="283"/>
      <c r="R906" s="283"/>
      <c r="S906" s="79" t="str">
        <f t="shared" ca="1" si="67"/>
        <v>EXECUTADA</v>
      </c>
    </row>
    <row r="907" spans="1:19" ht="18" x14ac:dyDescent="0.25">
      <c r="A907" s="282"/>
      <c r="B907" s="47"/>
      <c r="C907" s="48"/>
      <c r="D907" s="284"/>
      <c r="E907" s="47"/>
      <c r="F907" s="50"/>
      <c r="G907" s="51" t="str">
        <f t="shared" si="65"/>
        <v>Sáb</v>
      </c>
      <c r="H907" s="52"/>
      <c r="I907" s="47"/>
      <c r="J907" s="283"/>
      <c r="K907" s="283"/>
      <c r="L907" s="53" t="str">
        <f t="shared" si="66"/>
        <v>SIM</v>
      </c>
      <c r="M907" s="283"/>
      <c r="N907" s="47"/>
      <c r="O907" s="283"/>
      <c r="P907" s="47"/>
      <c r="Q907" s="283"/>
      <c r="R907" s="283"/>
      <c r="S907" s="79" t="str">
        <f t="shared" ca="1" si="67"/>
        <v>EXECUTADA</v>
      </c>
    </row>
    <row r="908" spans="1:19" ht="18" x14ac:dyDescent="0.25">
      <c r="A908" s="282"/>
      <c r="B908" s="47"/>
      <c r="C908" s="48"/>
      <c r="D908" s="284"/>
      <c r="E908" s="47"/>
      <c r="F908" s="50"/>
      <c r="G908" s="51" t="str">
        <f t="shared" si="65"/>
        <v>Sáb</v>
      </c>
      <c r="H908" s="52"/>
      <c r="I908" s="47"/>
      <c r="J908" s="283"/>
      <c r="K908" s="283"/>
      <c r="L908" s="53" t="str">
        <f t="shared" si="66"/>
        <v>SIM</v>
      </c>
      <c r="M908" s="283"/>
      <c r="N908" s="47"/>
      <c r="O908" s="283"/>
      <c r="P908" s="47"/>
      <c r="Q908" s="283"/>
      <c r="R908" s="283"/>
      <c r="S908" s="79" t="str">
        <f t="shared" ca="1" si="67"/>
        <v>EXECUTADA</v>
      </c>
    </row>
    <row r="909" spans="1:19" ht="18" x14ac:dyDescent="0.25">
      <c r="A909" s="282"/>
      <c r="B909" s="47"/>
      <c r="C909" s="48"/>
      <c r="D909" s="284"/>
      <c r="E909" s="47"/>
      <c r="F909" s="50"/>
      <c r="G909" s="51" t="str">
        <f t="shared" si="65"/>
        <v>Sáb</v>
      </c>
      <c r="H909" s="52"/>
      <c r="I909" s="47"/>
      <c r="J909" s="283"/>
      <c r="K909" s="283"/>
      <c r="L909" s="53" t="str">
        <f t="shared" si="66"/>
        <v>SIM</v>
      </c>
      <c r="M909" s="283"/>
      <c r="N909" s="47"/>
      <c r="O909" s="283"/>
      <c r="P909" s="47"/>
      <c r="Q909" s="283"/>
      <c r="R909" s="283"/>
      <c r="S909" s="79" t="str">
        <f t="shared" ca="1" si="67"/>
        <v>EXECUTADA</v>
      </c>
    </row>
    <row r="910" spans="1:19" ht="18" x14ac:dyDescent="0.25">
      <c r="A910" s="282"/>
      <c r="B910" s="47"/>
      <c r="C910" s="48"/>
      <c r="D910" s="284"/>
      <c r="E910" s="47"/>
      <c r="F910" s="50"/>
      <c r="G910" s="51" t="str">
        <f t="shared" si="65"/>
        <v>Sáb</v>
      </c>
      <c r="H910" s="52"/>
      <c r="I910" s="47"/>
      <c r="J910" s="283"/>
      <c r="K910" s="283"/>
      <c r="L910" s="53" t="str">
        <f t="shared" si="66"/>
        <v>SIM</v>
      </c>
      <c r="M910" s="283"/>
      <c r="N910" s="47"/>
      <c r="O910" s="283"/>
      <c r="P910" s="47"/>
      <c r="Q910" s="283"/>
      <c r="R910" s="283"/>
      <c r="S910" s="79" t="str">
        <f t="shared" ca="1" si="67"/>
        <v>EXECUTADA</v>
      </c>
    </row>
    <row r="911" spans="1:19" ht="18" x14ac:dyDescent="0.25">
      <c r="A911" s="282"/>
      <c r="B911" s="47"/>
      <c r="C911" s="48"/>
      <c r="D911" s="284"/>
      <c r="E911" s="47"/>
      <c r="F911" s="50"/>
      <c r="G911" s="51" t="str">
        <f t="shared" si="65"/>
        <v>Sáb</v>
      </c>
      <c r="H911" s="52"/>
      <c r="I911" s="47"/>
      <c r="J911" s="283"/>
      <c r="K911" s="283"/>
      <c r="L911" s="53" t="str">
        <f t="shared" si="66"/>
        <v>SIM</v>
      </c>
      <c r="M911" s="283"/>
      <c r="N911" s="47"/>
      <c r="O911" s="283"/>
      <c r="P911" s="47"/>
      <c r="Q911" s="283"/>
      <c r="R911" s="283"/>
      <c r="S911" s="79" t="str">
        <f t="shared" ca="1" si="67"/>
        <v>EXECUTADA</v>
      </c>
    </row>
    <row r="912" spans="1:19" ht="18" x14ac:dyDescent="0.25">
      <c r="A912" s="282"/>
      <c r="B912" s="47"/>
      <c r="C912" s="48"/>
      <c r="D912" s="284"/>
      <c r="E912" s="47"/>
      <c r="F912" s="50"/>
      <c r="G912" s="51" t="str">
        <f t="shared" si="65"/>
        <v>Sáb</v>
      </c>
      <c r="H912" s="52"/>
      <c r="I912" s="47"/>
      <c r="J912" s="283"/>
      <c r="K912" s="283"/>
      <c r="L912" s="53" t="str">
        <f t="shared" si="66"/>
        <v>SIM</v>
      </c>
      <c r="M912" s="283"/>
      <c r="N912" s="47"/>
      <c r="O912" s="283"/>
      <c r="P912" s="47"/>
      <c r="Q912" s="283"/>
      <c r="R912" s="283"/>
      <c r="S912" s="79" t="str">
        <f t="shared" ca="1" si="67"/>
        <v>EXECUTADA</v>
      </c>
    </row>
    <row r="913" spans="1:19" ht="18" x14ac:dyDescent="0.25">
      <c r="A913" s="282"/>
      <c r="B913" s="47"/>
      <c r="C913" s="48"/>
      <c r="D913" s="284"/>
      <c r="E913" s="47"/>
      <c r="F913" s="50"/>
      <c r="G913" s="51" t="str">
        <f t="shared" si="65"/>
        <v>Sáb</v>
      </c>
      <c r="H913" s="52"/>
      <c r="I913" s="47"/>
      <c r="J913" s="283"/>
      <c r="K913" s="283"/>
      <c r="L913" s="53" t="str">
        <f t="shared" si="66"/>
        <v>SIM</v>
      </c>
      <c r="M913" s="283"/>
      <c r="N913" s="47"/>
      <c r="O913" s="283"/>
      <c r="P913" s="47"/>
      <c r="Q913" s="283"/>
      <c r="R913" s="283"/>
      <c r="S913" s="79" t="str">
        <f t="shared" ca="1" si="67"/>
        <v>EXECUTADA</v>
      </c>
    </row>
    <row r="914" spans="1:19" ht="18" x14ac:dyDescent="0.25">
      <c r="A914" s="282"/>
      <c r="B914" s="47"/>
      <c r="C914" s="48"/>
      <c r="D914" s="284"/>
      <c r="E914" s="47"/>
      <c r="F914" s="50"/>
      <c r="G914" s="51" t="str">
        <f t="shared" si="65"/>
        <v>Sáb</v>
      </c>
      <c r="H914" s="52"/>
      <c r="I914" s="47"/>
      <c r="J914" s="283"/>
      <c r="K914" s="283"/>
      <c r="L914" s="53" t="str">
        <f t="shared" si="66"/>
        <v>SIM</v>
      </c>
      <c r="M914" s="283"/>
      <c r="N914" s="47"/>
      <c r="O914" s="283"/>
      <c r="P914" s="47"/>
      <c r="Q914" s="283"/>
      <c r="R914" s="283"/>
      <c r="S914" s="79" t="str">
        <f t="shared" ca="1" si="67"/>
        <v>EXECUTADA</v>
      </c>
    </row>
    <row r="915" spans="1:19" ht="18" x14ac:dyDescent="0.25">
      <c r="A915" s="282"/>
      <c r="B915" s="47"/>
      <c r="C915" s="48"/>
      <c r="D915" s="284"/>
      <c r="E915" s="47"/>
      <c r="F915" s="50"/>
      <c r="G915" s="51" t="str">
        <f t="shared" si="65"/>
        <v>Sáb</v>
      </c>
      <c r="H915" s="52"/>
      <c r="I915" s="47"/>
      <c r="J915" s="283"/>
      <c r="K915" s="283"/>
      <c r="L915" s="53" t="str">
        <f t="shared" si="66"/>
        <v>SIM</v>
      </c>
      <c r="M915" s="283"/>
      <c r="N915" s="47"/>
      <c r="O915" s="283"/>
      <c r="P915" s="47"/>
      <c r="Q915" s="283"/>
      <c r="R915" s="283"/>
      <c r="S915" s="79" t="str">
        <f t="shared" ca="1" si="67"/>
        <v>EXECUTADA</v>
      </c>
    </row>
    <row r="916" spans="1:19" ht="18" x14ac:dyDescent="0.25">
      <c r="A916" s="282"/>
      <c r="B916" s="47"/>
      <c r="C916" s="48"/>
      <c r="D916" s="284"/>
      <c r="E916" s="47"/>
      <c r="F916" s="50"/>
      <c r="G916" s="51" t="str">
        <f t="shared" si="65"/>
        <v>Sáb</v>
      </c>
      <c r="H916" s="52"/>
      <c r="I916" s="47"/>
      <c r="J916" s="283"/>
      <c r="K916" s="283"/>
      <c r="L916" s="53" t="str">
        <f t="shared" si="66"/>
        <v>SIM</v>
      </c>
      <c r="M916" s="283"/>
      <c r="N916" s="47"/>
      <c r="O916" s="283"/>
      <c r="P916" s="47"/>
      <c r="Q916" s="283"/>
      <c r="R916" s="283"/>
      <c r="S916" s="79" t="str">
        <f t="shared" ca="1" si="67"/>
        <v>EXECUTADA</v>
      </c>
    </row>
    <row r="917" spans="1:19" ht="18" x14ac:dyDescent="0.25">
      <c r="A917" s="282"/>
      <c r="B917" s="47"/>
      <c r="C917" s="48"/>
      <c r="D917" s="284"/>
      <c r="E917" s="47"/>
      <c r="F917" s="50"/>
      <c r="G917" s="51" t="str">
        <f t="shared" si="65"/>
        <v>Sáb</v>
      </c>
      <c r="H917" s="52"/>
      <c r="I917" s="47"/>
      <c r="J917" s="283"/>
      <c r="K917" s="283"/>
      <c r="L917" s="53" t="str">
        <f t="shared" si="66"/>
        <v>SIM</v>
      </c>
      <c r="M917" s="283"/>
      <c r="N917" s="47"/>
      <c r="O917" s="283"/>
      <c r="P917" s="47"/>
      <c r="Q917" s="283"/>
      <c r="R917" s="283"/>
      <c r="S917" s="79" t="str">
        <f t="shared" ca="1" si="67"/>
        <v>EXECUTADA</v>
      </c>
    </row>
    <row r="918" spans="1:19" ht="18" x14ac:dyDescent="0.25">
      <c r="A918" s="282"/>
      <c r="B918" s="47"/>
      <c r="C918" s="48"/>
      <c r="D918" s="284"/>
      <c r="E918" s="47"/>
      <c r="F918" s="50"/>
      <c r="G918" s="51" t="str">
        <f t="shared" si="65"/>
        <v>Sáb</v>
      </c>
      <c r="H918" s="52"/>
      <c r="I918" s="47"/>
      <c r="J918" s="283"/>
      <c r="K918" s="283"/>
      <c r="L918" s="53" t="str">
        <f t="shared" si="66"/>
        <v>SIM</v>
      </c>
      <c r="M918" s="283"/>
      <c r="N918" s="47"/>
      <c r="O918" s="283"/>
      <c r="P918" s="47"/>
      <c r="Q918" s="283"/>
      <c r="R918" s="283"/>
      <c r="S918" s="79" t="str">
        <f t="shared" ca="1" si="67"/>
        <v>EXECUTADA</v>
      </c>
    </row>
    <row r="919" spans="1:19" ht="18" x14ac:dyDescent="0.25">
      <c r="A919" s="282"/>
      <c r="B919" s="47"/>
      <c r="C919" s="48"/>
      <c r="D919" s="284"/>
      <c r="E919" s="47"/>
      <c r="F919" s="50"/>
      <c r="G919" s="51" t="str">
        <f t="shared" si="65"/>
        <v>Sáb</v>
      </c>
      <c r="H919" s="52"/>
      <c r="I919" s="47"/>
      <c r="J919" s="283"/>
      <c r="K919" s="283"/>
      <c r="L919" s="53" t="str">
        <f t="shared" si="66"/>
        <v>SIM</v>
      </c>
      <c r="M919" s="283"/>
      <c r="N919" s="47"/>
      <c r="O919" s="283"/>
      <c r="P919" s="47"/>
      <c r="Q919" s="283"/>
      <c r="R919" s="283"/>
      <c r="S919" s="79" t="str">
        <f t="shared" ca="1" si="67"/>
        <v>EXECUTADA</v>
      </c>
    </row>
    <row r="920" spans="1:19" ht="18" x14ac:dyDescent="0.25">
      <c r="A920" s="282"/>
      <c r="B920" s="47"/>
      <c r="C920" s="48"/>
      <c r="D920" s="284"/>
      <c r="E920" s="47"/>
      <c r="F920" s="50"/>
      <c r="G920" s="51" t="str">
        <f t="shared" si="65"/>
        <v>Sáb</v>
      </c>
      <c r="H920" s="52"/>
      <c r="I920" s="47"/>
      <c r="J920" s="283"/>
      <c r="K920" s="283"/>
      <c r="L920" s="53" t="str">
        <f t="shared" si="66"/>
        <v>SIM</v>
      </c>
      <c r="M920" s="283"/>
      <c r="N920" s="47"/>
      <c r="O920" s="283"/>
      <c r="P920" s="47"/>
      <c r="Q920" s="283"/>
      <c r="R920" s="283"/>
      <c r="S920" s="79" t="str">
        <f t="shared" ca="1" si="67"/>
        <v>EXECUTADA</v>
      </c>
    </row>
    <row r="921" spans="1:19" ht="18" x14ac:dyDescent="0.25">
      <c r="A921" s="282"/>
      <c r="B921" s="47"/>
      <c r="C921" s="48"/>
      <c r="D921" s="284"/>
      <c r="E921" s="47"/>
      <c r="F921" s="50"/>
      <c r="G921" s="51" t="str">
        <f t="shared" si="65"/>
        <v>Sáb</v>
      </c>
      <c r="H921" s="52"/>
      <c r="I921" s="47"/>
      <c r="J921" s="283"/>
      <c r="K921" s="283"/>
      <c r="L921" s="53" t="str">
        <f t="shared" si="66"/>
        <v>SIM</v>
      </c>
      <c r="M921" s="283"/>
      <c r="N921" s="47"/>
      <c r="O921" s="283"/>
      <c r="P921" s="47"/>
      <c r="Q921" s="283"/>
      <c r="R921" s="283"/>
      <c r="S921" s="79" t="str">
        <f t="shared" ca="1" si="67"/>
        <v>EXECUTADA</v>
      </c>
    </row>
    <row r="922" spans="1:19" ht="18" x14ac:dyDescent="0.25">
      <c r="A922" s="282"/>
      <c r="B922" s="47"/>
      <c r="C922" s="48"/>
      <c r="D922" s="284"/>
      <c r="E922" s="47"/>
      <c r="F922" s="50"/>
      <c r="G922" s="51" t="str">
        <f t="shared" si="65"/>
        <v>Sáb</v>
      </c>
      <c r="H922" s="52"/>
      <c r="I922" s="47"/>
      <c r="J922" s="283"/>
      <c r="K922" s="283"/>
      <c r="L922" s="53" t="str">
        <f t="shared" si="66"/>
        <v>SIM</v>
      </c>
      <c r="M922" s="283"/>
      <c r="N922" s="47"/>
      <c r="O922" s="283"/>
      <c r="P922" s="47"/>
      <c r="Q922" s="283"/>
      <c r="R922" s="283"/>
      <c r="S922" s="79" t="str">
        <f t="shared" ca="1" si="67"/>
        <v>EXECUTADA</v>
      </c>
    </row>
    <row r="923" spans="1:19" ht="18" x14ac:dyDescent="0.25">
      <c r="A923" s="282"/>
      <c r="B923" s="47"/>
      <c r="C923" s="48"/>
      <c r="D923" s="284"/>
      <c r="E923" s="47"/>
      <c r="F923" s="50"/>
      <c r="G923" s="51" t="str">
        <f t="shared" si="65"/>
        <v>Sáb</v>
      </c>
      <c r="H923" s="52"/>
      <c r="I923" s="47"/>
      <c r="J923" s="283"/>
      <c r="K923" s="283"/>
      <c r="L923" s="53" t="str">
        <f t="shared" si="66"/>
        <v>SIM</v>
      </c>
      <c r="M923" s="283"/>
      <c r="N923" s="47"/>
      <c r="O923" s="283"/>
      <c r="P923" s="47"/>
      <c r="Q923" s="283"/>
      <c r="R923" s="283"/>
      <c r="S923" s="79" t="str">
        <f t="shared" ca="1" si="67"/>
        <v>EXECUTADA</v>
      </c>
    </row>
    <row r="924" spans="1:19" ht="18" x14ac:dyDescent="0.25">
      <c r="A924" s="282"/>
      <c r="B924" s="47"/>
      <c r="C924" s="48"/>
      <c r="D924" s="284"/>
      <c r="E924" s="47"/>
      <c r="F924" s="50"/>
      <c r="G924" s="51" t="str">
        <f t="shared" si="65"/>
        <v>Sáb</v>
      </c>
      <c r="H924" s="52"/>
      <c r="I924" s="47"/>
      <c r="J924" s="283"/>
      <c r="K924" s="283"/>
      <c r="L924" s="53" t="str">
        <f t="shared" si="66"/>
        <v>SIM</v>
      </c>
      <c r="M924" s="283"/>
      <c r="N924" s="47"/>
      <c r="O924" s="283"/>
      <c r="P924" s="47"/>
      <c r="Q924" s="283"/>
      <c r="R924" s="283"/>
      <c r="S924" s="79" t="str">
        <f t="shared" ca="1" si="67"/>
        <v>EXECUTADA</v>
      </c>
    </row>
    <row r="925" spans="1:19" ht="18" x14ac:dyDescent="0.25">
      <c r="A925" s="282"/>
      <c r="B925" s="47"/>
      <c r="C925" s="48"/>
      <c r="D925" s="284"/>
      <c r="E925" s="47"/>
      <c r="F925" s="50"/>
      <c r="G925" s="51" t="str">
        <f t="shared" si="65"/>
        <v>Sáb</v>
      </c>
      <c r="H925" s="52"/>
      <c r="I925" s="47"/>
      <c r="J925" s="283"/>
      <c r="K925" s="283"/>
      <c r="L925" s="53" t="str">
        <f t="shared" si="66"/>
        <v>SIM</v>
      </c>
      <c r="M925" s="283"/>
      <c r="N925" s="47"/>
      <c r="O925" s="283"/>
      <c r="P925" s="47"/>
      <c r="Q925" s="283"/>
      <c r="R925" s="283"/>
      <c r="S925" s="79" t="str">
        <f t="shared" ca="1" si="67"/>
        <v>EXECUTADA</v>
      </c>
    </row>
    <row r="926" spans="1:19" ht="18" x14ac:dyDescent="0.25">
      <c r="A926" s="282"/>
      <c r="B926" s="47"/>
      <c r="C926" s="48"/>
      <c r="D926" s="284"/>
      <c r="E926" s="47"/>
      <c r="F926" s="50"/>
      <c r="G926" s="51" t="str">
        <f t="shared" si="65"/>
        <v>Sáb</v>
      </c>
      <c r="H926" s="52"/>
      <c r="I926" s="47"/>
      <c r="J926" s="283"/>
      <c r="K926" s="283"/>
      <c r="L926" s="53" t="str">
        <f t="shared" si="66"/>
        <v>SIM</v>
      </c>
      <c r="M926" s="283"/>
      <c r="N926" s="47"/>
      <c r="O926" s="283"/>
      <c r="P926" s="47"/>
      <c r="Q926" s="283"/>
      <c r="R926" s="283"/>
      <c r="S926" s="79" t="str">
        <f t="shared" ca="1" si="67"/>
        <v>EXECUTADA</v>
      </c>
    </row>
    <row r="927" spans="1:19" ht="18" x14ac:dyDescent="0.25">
      <c r="A927" s="282"/>
      <c r="B927" s="47"/>
      <c r="C927" s="48"/>
      <c r="D927" s="284"/>
      <c r="E927" s="47"/>
      <c r="F927" s="50"/>
      <c r="G927" s="51" t="str">
        <f t="shared" si="65"/>
        <v>Sáb</v>
      </c>
      <c r="H927" s="52"/>
      <c r="I927" s="47"/>
      <c r="J927" s="283"/>
      <c r="K927" s="283"/>
      <c r="L927" s="53" t="str">
        <f t="shared" si="66"/>
        <v>SIM</v>
      </c>
      <c r="M927" s="283"/>
      <c r="N927" s="47"/>
      <c r="O927" s="283"/>
      <c r="P927" s="47"/>
      <c r="Q927" s="283"/>
      <c r="R927" s="283"/>
      <c r="S927" s="79" t="str">
        <f t="shared" ca="1" si="67"/>
        <v>EXECUTADA</v>
      </c>
    </row>
    <row r="928" spans="1:19" ht="18" x14ac:dyDescent="0.25">
      <c r="A928" s="282"/>
      <c r="B928" s="47"/>
      <c r="C928" s="48"/>
      <c r="D928" s="284"/>
      <c r="E928" s="47"/>
      <c r="F928" s="50"/>
      <c r="G928" s="51" t="str">
        <f t="shared" si="65"/>
        <v>Sáb</v>
      </c>
      <c r="H928" s="52"/>
      <c r="I928" s="47"/>
      <c r="J928" s="283"/>
      <c r="K928" s="283"/>
      <c r="L928" s="53" t="str">
        <f t="shared" si="66"/>
        <v>SIM</v>
      </c>
      <c r="M928" s="283"/>
      <c r="N928" s="47"/>
      <c r="O928" s="283"/>
      <c r="P928" s="47"/>
      <c r="Q928" s="283"/>
      <c r="R928" s="283"/>
      <c r="S928" s="79" t="str">
        <f t="shared" ca="1" si="67"/>
        <v>EXECUTADA</v>
      </c>
    </row>
    <row r="929" spans="1:19" ht="18" x14ac:dyDescent="0.25">
      <c r="A929" s="282"/>
      <c r="B929" s="47"/>
      <c r="C929" s="48"/>
      <c r="D929" s="284"/>
      <c r="E929" s="47"/>
      <c r="F929" s="50"/>
      <c r="G929" s="51" t="str">
        <f t="shared" si="65"/>
        <v>Sáb</v>
      </c>
      <c r="H929" s="52"/>
      <c r="I929" s="47"/>
      <c r="J929" s="283"/>
      <c r="K929" s="283"/>
      <c r="L929" s="53" t="str">
        <f t="shared" si="66"/>
        <v>SIM</v>
      </c>
      <c r="M929" s="283"/>
      <c r="N929" s="47"/>
      <c r="O929" s="283"/>
      <c r="P929" s="47"/>
      <c r="Q929" s="283"/>
      <c r="R929" s="283"/>
      <c r="S929" s="79" t="str">
        <f t="shared" ca="1" si="67"/>
        <v>EXECUTADA</v>
      </c>
    </row>
    <row r="930" spans="1:19" ht="18" x14ac:dyDescent="0.25">
      <c r="A930" s="282"/>
      <c r="B930" s="47"/>
      <c r="C930" s="48"/>
      <c r="D930" s="284"/>
      <c r="E930" s="47"/>
      <c r="F930" s="50"/>
      <c r="G930" s="51" t="str">
        <f t="shared" si="65"/>
        <v>Sáb</v>
      </c>
      <c r="H930" s="52"/>
      <c r="I930" s="47"/>
      <c r="J930" s="283"/>
      <c r="K930" s="283"/>
      <c r="L930" s="53" t="str">
        <f t="shared" si="66"/>
        <v>SIM</v>
      </c>
      <c r="M930" s="283"/>
      <c r="N930" s="47"/>
      <c r="O930" s="283"/>
      <c r="P930" s="47"/>
      <c r="Q930" s="283"/>
      <c r="R930" s="283"/>
      <c r="S930" s="79" t="str">
        <f t="shared" ca="1" si="67"/>
        <v>EXECUTADA</v>
      </c>
    </row>
    <row r="931" spans="1:19" ht="18" x14ac:dyDescent="0.25">
      <c r="A931" s="282"/>
      <c r="B931" s="47"/>
      <c r="C931" s="48"/>
      <c r="D931" s="284"/>
      <c r="E931" s="47"/>
      <c r="F931" s="50"/>
      <c r="G931" s="51" t="str">
        <f t="shared" si="65"/>
        <v>Sáb</v>
      </c>
      <c r="H931" s="52"/>
      <c r="I931" s="47"/>
      <c r="J931" s="283"/>
      <c r="K931" s="283"/>
      <c r="L931" s="53" t="str">
        <f t="shared" si="66"/>
        <v>SIM</v>
      </c>
      <c r="M931" s="283"/>
      <c r="N931" s="47"/>
      <c r="O931" s="283"/>
      <c r="P931" s="47"/>
      <c r="Q931" s="283"/>
      <c r="R931" s="283"/>
      <c r="S931" s="79" t="str">
        <f t="shared" ca="1" si="67"/>
        <v>EXECUTADA</v>
      </c>
    </row>
    <row r="932" spans="1:19" ht="18" x14ac:dyDescent="0.25">
      <c r="A932" s="282"/>
      <c r="B932" s="47"/>
      <c r="C932" s="48"/>
      <c r="D932" s="284"/>
      <c r="E932" s="47"/>
      <c r="F932" s="50"/>
      <c r="G932" s="51" t="str">
        <f t="shared" si="65"/>
        <v>Sáb</v>
      </c>
      <c r="H932" s="52"/>
      <c r="I932" s="47"/>
      <c r="J932" s="283"/>
      <c r="K932" s="283"/>
      <c r="L932" s="53" t="str">
        <f t="shared" si="66"/>
        <v>SIM</v>
      </c>
      <c r="M932" s="283"/>
      <c r="N932" s="47"/>
      <c r="O932" s="283"/>
      <c r="P932" s="47"/>
      <c r="Q932" s="283"/>
      <c r="R932" s="283"/>
      <c r="S932" s="79" t="str">
        <f t="shared" ca="1" si="67"/>
        <v>EXECUTADA</v>
      </c>
    </row>
    <row r="933" spans="1:19" ht="18" x14ac:dyDescent="0.25">
      <c r="A933" s="282"/>
      <c r="B933" s="47"/>
      <c r="C933" s="48"/>
      <c r="D933" s="284"/>
      <c r="E933" s="47"/>
      <c r="F933" s="50"/>
      <c r="G933" s="51" t="str">
        <f t="shared" si="65"/>
        <v>Sáb</v>
      </c>
      <c r="H933" s="52"/>
      <c r="I933" s="47"/>
      <c r="J933" s="283"/>
      <c r="K933" s="283"/>
      <c r="L933" s="53" t="str">
        <f t="shared" si="66"/>
        <v>SIM</v>
      </c>
      <c r="M933" s="283"/>
      <c r="N933" s="47"/>
      <c r="O933" s="283"/>
      <c r="P933" s="47"/>
      <c r="Q933" s="283"/>
      <c r="R933" s="283"/>
      <c r="S933" s="79" t="str">
        <f t="shared" ca="1" si="67"/>
        <v>EXECUTADA</v>
      </c>
    </row>
    <row r="934" spans="1:19" ht="18" x14ac:dyDescent="0.25">
      <c r="A934" s="282"/>
      <c r="B934" s="47"/>
      <c r="C934" s="48"/>
      <c r="D934" s="284"/>
      <c r="E934" s="47"/>
      <c r="F934" s="50"/>
      <c r="G934" s="51" t="str">
        <f t="shared" si="65"/>
        <v>Sáb</v>
      </c>
      <c r="H934" s="52"/>
      <c r="I934" s="47"/>
      <c r="J934" s="283"/>
      <c r="K934" s="283"/>
      <c r="L934" s="53" t="str">
        <f t="shared" si="66"/>
        <v>SIM</v>
      </c>
      <c r="M934" s="283"/>
      <c r="N934" s="47"/>
      <c r="O934" s="283"/>
      <c r="P934" s="47"/>
      <c r="Q934" s="283"/>
      <c r="R934" s="283"/>
      <c r="S934" s="79" t="str">
        <f t="shared" ca="1" si="67"/>
        <v>EXECUTADA</v>
      </c>
    </row>
    <row r="935" spans="1:19" ht="18" x14ac:dyDescent="0.25">
      <c r="A935" s="282"/>
      <c r="B935" s="47"/>
      <c r="C935" s="48"/>
      <c r="D935" s="284"/>
      <c r="E935" s="47"/>
      <c r="F935" s="50"/>
      <c r="G935" s="51" t="str">
        <f t="shared" si="65"/>
        <v>Sáb</v>
      </c>
      <c r="H935" s="52"/>
      <c r="I935" s="47"/>
      <c r="J935" s="283"/>
      <c r="K935" s="283"/>
      <c r="L935" s="53" t="str">
        <f t="shared" si="66"/>
        <v>SIM</v>
      </c>
      <c r="M935" s="283"/>
      <c r="N935" s="47"/>
      <c r="O935" s="283"/>
      <c r="P935" s="47"/>
      <c r="Q935" s="283"/>
      <c r="R935" s="283"/>
      <c r="S935" s="79" t="str">
        <f t="shared" ca="1" si="67"/>
        <v>EXECUTADA</v>
      </c>
    </row>
    <row r="936" spans="1:19" ht="18" x14ac:dyDescent="0.25">
      <c r="A936" s="282"/>
      <c r="B936" s="47"/>
      <c r="C936" s="48"/>
      <c r="D936" s="284"/>
      <c r="E936" s="47"/>
      <c r="F936" s="50"/>
      <c r="G936" s="51" t="str">
        <f t="shared" si="65"/>
        <v>Sáb</v>
      </c>
      <c r="H936" s="52"/>
      <c r="I936" s="47"/>
      <c r="J936" s="283"/>
      <c r="K936" s="283"/>
      <c r="L936" s="53" t="str">
        <f t="shared" si="66"/>
        <v>SIM</v>
      </c>
      <c r="M936" s="283"/>
      <c r="N936" s="47"/>
      <c r="O936" s="283"/>
      <c r="P936" s="47"/>
      <c r="Q936" s="283"/>
      <c r="R936" s="283"/>
      <c r="S936" s="79" t="str">
        <f t="shared" ca="1" si="67"/>
        <v>EXECUTADA</v>
      </c>
    </row>
    <row r="937" spans="1:19" ht="18" x14ac:dyDescent="0.25">
      <c r="A937" s="282"/>
      <c r="B937" s="47"/>
      <c r="C937" s="48"/>
      <c r="D937" s="284"/>
      <c r="E937" s="47"/>
      <c r="F937" s="50"/>
      <c r="G937" s="51" t="str">
        <f t="shared" si="65"/>
        <v>Sáb</v>
      </c>
      <c r="H937" s="52"/>
      <c r="I937" s="47"/>
      <c r="J937" s="283"/>
      <c r="K937" s="283"/>
      <c r="L937" s="53" t="str">
        <f t="shared" si="66"/>
        <v>SIM</v>
      </c>
      <c r="M937" s="283"/>
      <c r="N937" s="47"/>
      <c r="O937" s="283"/>
      <c r="P937" s="47"/>
      <c r="Q937" s="283"/>
      <c r="R937" s="283"/>
      <c r="S937" s="79" t="str">
        <f t="shared" ca="1" si="67"/>
        <v>EXECUTADA</v>
      </c>
    </row>
    <row r="938" spans="1:19" ht="18" x14ac:dyDescent="0.25">
      <c r="A938" s="282"/>
      <c r="B938" s="47"/>
      <c r="C938" s="48"/>
      <c r="D938" s="284"/>
      <c r="E938" s="47"/>
      <c r="F938" s="50"/>
      <c r="G938" s="51" t="str">
        <f t="shared" ref="G938:G1001" si="68">PROPER(TEXT(F938,"DDD"))</f>
        <v>Sáb</v>
      </c>
      <c r="H938" s="52"/>
      <c r="I938" s="47"/>
      <c r="J938" s="283"/>
      <c r="K938" s="283"/>
      <c r="L938" s="53" t="str">
        <f t="shared" si="66"/>
        <v>SIM</v>
      </c>
      <c r="M938" s="283"/>
      <c r="N938" s="47"/>
      <c r="O938" s="283"/>
      <c r="P938" s="47"/>
      <c r="Q938" s="283"/>
      <c r="R938" s="283"/>
      <c r="S938" s="79" t="str">
        <f t="shared" ca="1" si="67"/>
        <v>EXECUTADA</v>
      </c>
    </row>
    <row r="939" spans="1:19" ht="18" x14ac:dyDescent="0.25">
      <c r="A939" s="282"/>
      <c r="B939" s="47"/>
      <c r="C939" s="48"/>
      <c r="D939" s="284"/>
      <c r="E939" s="47"/>
      <c r="F939" s="50"/>
      <c r="G939" s="51" t="str">
        <f t="shared" si="68"/>
        <v>Sáb</v>
      </c>
      <c r="H939" s="52"/>
      <c r="I939" s="47"/>
      <c r="J939" s="283"/>
      <c r="K939" s="283"/>
      <c r="L939" s="53" t="str">
        <f t="shared" si="66"/>
        <v>SIM</v>
      </c>
      <c r="M939" s="283"/>
      <c r="N939" s="47"/>
      <c r="O939" s="283"/>
      <c r="P939" s="47"/>
      <c r="Q939" s="283"/>
      <c r="R939" s="283"/>
      <c r="S939" s="79" t="str">
        <f t="shared" ca="1" si="67"/>
        <v>EXECUTADA</v>
      </c>
    </row>
    <row r="940" spans="1:19" ht="18" x14ac:dyDescent="0.25">
      <c r="A940" s="282"/>
      <c r="B940" s="47"/>
      <c r="C940" s="48"/>
      <c r="D940" s="284"/>
      <c r="E940" s="47"/>
      <c r="F940" s="50"/>
      <c r="G940" s="51" t="str">
        <f t="shared" si="68"/>
        <v>Sáb</v>
      </c>
      <c r="H940" s="52"/>
      <c r="I940" s="47"/>
      <c r="J940" s="283"/>
      <c r="K940" s="283"/>
      <c r="L940" s="53" t="str">
        <f t="shared" si="66"/>
        <v>SIM</v>
      </c>
      <c r="M940" s="283"/>
      <c r="N940" s="47"/>
      <c r="O940" s="283"/>
      <c r="P940" s="47"/>
      <c r="Q940" s="283"/>
      <c r="R940" s="283"/>
      <c r="S940" s="79" t="str">
        <f t="shared" ca="1" si="67"/>
        <v>EXECUTADA</v>
      </c>
    </row>
    <row r="941" spans="1:19" ht="18" x14ac:dyDescent="0.25">
      <c r="A941" s="282"/>
      <c r="B941" s="47"/>
      <c r="C941" s="48"/>
      <c r="D941" s="284"/>
      <c r="E941" s="47"/>
      <c r="F941" s="50"/>
      <c r="G941" s="51" t="str">
        <f t="shared" si="68"/>
        <v>Sáb</v>
      </c>
      <c r="H941" s="52"/>
      <c r="I941" s="47"/>
      <c r="J941" s="283"/>
      <c r="K941" s="283"/>
      <c r="L941" s="53" t="str">
        <f t="shared" ref="L941:L1004" si="69">IF(B941="MUD END","NÃO","SIM")</f>
        <v>SIM</v>
      </c>
      <c r="M941" s="283"/>
      <c r="N941" s="47"/>
      <c r="O941" s="283"/>
      <c r="P941" s="47"/>
      <c r="Q941" s="283"/>
      <c r="R941" s="283"/>
      <c r="S941" s="79" t="str">
        <f t="shared" ref="S941:S1004" ca="1" si="70">IF(F941&lt;TODAY(),"EXECUTADA",IF(F941=TODAY(),"EM EXECUÇÃO",IF(F941=TODAY()+1,"VALIDAR HOJE",IF(F941&gt;TODAY()+1,"VALIDAR DEPOIS","-"))))</f>
        <v>EXECUTADA</v>
      </c>
    </row>
    <row r="942" spans="1:19" ht="18" x14ac:dyDescent="0.25">
      <c r="A942" s="282"/>
      <c r="B942" s="47"/>
      <c r="C942" s="48"/>
      <c r="D942" s="284"/>
      <c r="E942" s="47"/>
      <c r="F942" s="50"/>
      <c r="G942" s="51" t="str">
        <f t="shared" si="68"/>
        <v>Sáb</v>
      </c>
      <c r="H942" s="52"/>
      <c r="I942" s="47"/>
      <c r="J942" s="283"/>
      <c r="K942" s="283"/>
      <c r="L942" s="53" t="str">
        <f t="shared" si="69"/>
        <v>SIM</v>
      </c>
      <c r="M942" s="283"/>
      <c r="N942" s="47"/>
      <c r="O942" s="283"/>
      <c r="P942" s="47"/>
      <c r="Q942" s="283"/>
      <c r="R942" s="283"/>
      <c r="S942" s="79" t="str">
        <f t="shared" ca="1" si="70"/>
        <v>EXECUTADA</v>
      </c>
    </row>
    <row r="943" spans="1:19" ht="18" x14ac:dyDescent="0.25">
      <c r="A943" s="282"/>
      <c r="B943" s="47"/>
      <c r="C943" s="48"/>
      <c r="D943" s="284"/>
      <c r="E943" s="47"/>
      <c r="F943" s="50"/>
      <c r="G943" s="51" t="str">
        <f t="shared" si="68"/>
        <v>Sáb</v>
      </c>
      <c r="H943" s="52"/>
      <c r="I943" s="47"/>
      <c r="J943" s="283"/>
      <c r="K943" s="283"/>
      <c r="L943" s="53" t="str">
        <f t="shared" si="69"/>
        <v>SIM</v>
      </c>
      <c r="M943" s="283"/>
      <c r="N943" s="47"/>
      <c r="O943" s="283"/>
      <c r="P943" s="47"/>
      <c r="Q943" s="283"/>
      <c r="R943" s="283"/>
      <c r="S943" s="79" t="str">
        <f t="shared" ca="1" si="70"/>
        <v>EXECUTADA</v>
      </c>
    </row>
    <row r="944" spans="1:19" ht="18" x14ac:dyDescent="0.25">
      <c r="A944" s="282"/>
      <c r="B944" s="47"/>
      <c r="C944" s="48"/>
      <c r="D944" s="284"/>
      <c r="E944" s="47"/>
      <c r="F944" s="50"/>
      <c r="G944" s="51" t="str">
        <f t="shared" si="68"/>
        <v>Sáb</v>
      </c>
      <c r="H944" s="52"/>
      <c r="I944" s="47"/>
      <c r="J944" s="283"/>
      <c r="K944" s="283"/>
      <c r="L944" s="53" t="str">
        <f t="shared" si="69"/>
        <v>SIM</v>
      </c>
      <c r="M944" s="283"/>
      <c r="N944" s="47"/>
      <c r="O944" s="283"/>
      <c r="P944" s="47"/>
      <c r="Q944" s="283"/>
      <c r="R944" s="283"/>
      <c r="S944" s="79" t="str">
        <f t="shared" ca="1" si="70"/>
        <v>EXECUTADA</v>
      </c>
    </row>
    <row r="945" spans="1:19" ht="18" x14ac:dyDescent="0.25">
      <c r="A945" s="282"/>
      <c r="B945" s="47"/>
      <c r="C945" s="48"/>
      <c r="D945" s="284"/>
      <c r="E945" s="47"/>
      <c r="F945" s="50"/>
      <c r="G945" s="51" t="str">
        <f t="shared" si="68"/>
        <v>Sáb</v>
      </c>
      <c r="H945" s="52"/>
      <c r="I945" s="47"/>
      <c r="J945" s="283"/>
      <c r="K945" s="283"/>
      <c r="L945" s="53" t="str">
        <f t="shared" si="69"/>
        <v>SIM</v>
      </c>
      <c r="M945" s="283"/>
      <c r="N945" s="47"/>
      <c r="O945" s="283"/>
      <c r="P945" s="47"/>
      <c r="Q945" s="283"/>
      <c r="R945" s="283"/>
      <c r="S945" s="79" t="str">
        <f t="shared" ca="1" si="70"/>
        <v>EXECUTADA</v>
      </c>
    </row>
    <row r="946" spans="1:19" ht="18" x14ac:dyDescent="0.25">
      <c r="A946" s="282"/>
      <c r="B946" s="47"/>
      <c r="C946" s="48"/>
      <c r="D946" s="284"/>
      <c r="E946" s="47"/>
      <c r="F946" s="50"/>
      <c r="G946" s="51" t="str">
        <f t="shared" si="68"/>
        <v>Sáb</v>
      </c>
      <c r="H946" s="52"/>
      <c r="I946" s="47"/>
      <c r="J946" s="283"/>
      <c r="K946" s="283"/>
      <c r="L946" s="53" t="str">
        <f t="shared" si="69"/>
        <v>SIM</v>
      </c>
      <c r="M946" s="283"/>
      <c r="N946" s="47"/>
      <c r="O946" s="283"/>
      <c r="P946" s="47"/>
      <c r="Q946" s="283"/>
      <c r="R946" s="283"/>
      <c r="S946" s="79" t="str">
        <f t="shared" ca="1" si="70"/>
        <v>EXECUTADA</v>
      </c>
    </row>
    <row r="947" spans="1:19" ht="18" x14ac:dyDescent="0.25">
      <c r="A947" s="282"/>
      <c r="B947" s="47"/>
      <c r="C947" s="48"/>
      <c r="D947" s="284"/>
      <c r="E947" s="47"/>
      <c r="F947" s="50"/>
      <c r="G947" s="51" t="str">
        <f t="shared" si="68"/>
        <v>Sáb</v>
      </c>
      <c r="H947" s="52"/>
      <c r="I947" s="47"/>
      <c r="J947" s="283"/>
      <c r="K947" s="283"/>
      <c r="L947" s="53" t="str">
        <f t="shared" si="69"/>
        <v>SIM</v>
      </c>
      <c r="M947" s="283"/>
      <c r="N947" s="47"/>
      <c r="O947" s="283"/>
      <c r="P947" s="47"/>
      <c r="Q947" s="283"/>
      <c r="R947" s="283"/>
      <c r="S947" s="79" t="str">
        <f t="shared" ca="1" si="70"/>
        <v>EXECUTADA</v>
      </c>
    </row>
    <row r="948" spans="1:19" ht="18" x14ac:dyDescent="0.25">
      <c r="A948" s="282"/>
      <c r="B948" s="47"/>
      <c r="C948" s="48"/>
      <c r="D948" s="284"/>
      <c r="E948" s="47"/>
      <c r="F948" s="50"/>
      <c r="G948" s="51" t="str">
        <f t="shared" si="68"/>
        <v>Sáb</v>
      </c>
      <c r="H948" s="52"/>
      <c r="I948" s="47"/>
      <c r="J948" s="283"/>
      <c r="K948" s="283"/>
      <c r="L948" s="53" t="str">
        <f t="shared" si="69"/>
        <v>SIM</v>
      </c>
      <c r="M948" s="283"/>
      <c r="N948" s="47"/>
      <c r="O948" s="283"/>
      <c r="P948" s="47"/>
      <c r="Q948" s="283"/>
      <c r="R948" s="283"/>
      <c r="S948" s="79" t="str">
        <f t="shared" ca="1" si="70"/>
        <v>EXECUTADA</v>
      </c>
    </row>
    <row r="949" spans="1:19" ht="18" x14ac:dyDescent="0.25">
      <c r="A949" s="282"/>
      <c r="B949" s="47"/>
      <c r="C949" s="48"/>
      <c r="D949" s="284"/>
      <c r="E949" s="47"/>
      <c r="F949" s="50"/>
      <c r="G949" s="51" t="str">
        <f t="shared" si="68"/>
        <v>Sáb</v>
      </c>
      <c r="H949" s="52"/>
      <c r="I949" s="47"/>
      <c r="J949" s="283"/>
      <c r="K949" s="283"/>
      <c r="L949" s="53" t="str">
        <f t="shared" si="69"/>
        <v>SIM</v>
      </c>
      <c r="M949" s="283"/>
      <c r="N949" s="47"/>
      <c r="O949" s="283"/>
      <c r="P949" s="47"/>
      <c r="Q949" s="283"/>
      <c r="R949" s="283"/>
      <c r="S949" s="79" t="str">
        <f t="shared" ca="1" si="70"/>
        <v>EXECUTADA</v>
      </c>
    </row>
    <row r="950" spans="1:19" ht="18" x14ac:dyDescent="0.25">
      <c r="A950" s="282"/>
      <c r="B950" s="47"/>
      <c r="C950" s="48"/>
      <c r="D950" s="284"/>
      <c r="E950" s="47"/>
      <c r="F950" s="50"/>
      <c r="G950" s="51" t="str">
        <f t="shared" si="68"/>
        <v>Sáb</v>
      </c>
      <c r="H950" s="52"/>
      <c r="I950" s="47"/>
      <c r="J950" s="283"/>
      <c r="K950" s="283"/>
      <c r="L950" s="53" t="str">
        <f t="shared" si="69"/>
        <v>SIM</v>
      </c>
      <c r="M950" s="283"/>
      <c r="N950" s="47"/>
      <c r="O950" s="283"/>
      <c r="P950" s="47"/>
      <c r="Q950" s="283"/>
      <c r="R950" s="283"/>
      <c r="S950" s="79" t="str">
        <f t="shared" ca="1" si="70"/>
        <v>EXECUTADA</v>
      </c>
    </row>
    <row r="951" spans="1:19" ht="18" x14ac:dyDescent="0.25">
      <c r="A951" s="282"/>
      <c r="B951" s="47"/>
      <c r="C951" s="48"/>
      <c r="D951" s="284"/>
      <c r="E951" s="47"/>
      <c r="F951" s="50"/>
      <c r="G951" s="51" t="str">
        <f t="shared" si="68"/>
        <v>Sáb</v>
      </c>
      <c r="H951" s="52"/>
      <c r="I951" s="47"/>
      <c r="J951" s="283"/>
      <c r="K951" s="283"/>
      <c r="L951" s="53" t="str">
        <f t="shared" si="69"/>
        <v>SIM</v>
      </c>
      <c r="M951" s="283"/>
      <c r="N951" s="47"/>
      <c r="O951" s="283"/>
      <c r="P951" s="47"/>
      <c r="Q951" s="283"/>
      <c r="R951" s="283"/>
      <c r="S951" s="79" t="str">
        <f t="shared" ca="1" si="70"/>
        <v>EXECUTADA</v>
      </c>
    </row>
    <row r="952" spans="1:19" ht="18" x14ac:dyDescent="0.25">
      <c r="A952" s="282"/>
      <c r="B952" s="47"/>
      <c r="C952" s="48"/>
      <c r="D952" s="284"/>
      <c r="E952" s="47"/>
      <c r="F952" s="50"/>
      <c r="G952" s="51" t="str">
        <f t="shared" si="68"/>
        <v>Sáb</v>
      </c>
      <c r="H952" s="52"/>
      <c r="I952" s="47"/>
      <c r="J952" s="283"/>
      <c r="K952" s="283"/>
      <c r="L952" s="53" t="str">
        <f t="shared" si="69"/>
        <v>SIM</v>
      </c>
      <c r="M952" s="283"/>
      <c r="N952" s="47"/>
      <c r="O952" s="283"/>
      <c r="P952" s="47"/>
      <c r="Q952" s="283"/>
      <c r="R952" s="283"/>
      <c r="S952" s="79" t="str">
        <f t="shared" ca="1" si="70"/>
        <v>EXECUTADA</v>
      </c>
    </row>
    <row r="953" spans="1:19" ht="18" x14ac:dyDescent="0.25">
      <c r="A953" s="282"/>
      <c r="B953" s="47"/>
      <c r="C953" s="48"/>
      <c r="D953" s="284"/>
      <c r="E953" s="47"/>
      <c r="F953" s="50"/>
      <c r="G953" s="51" t="str">
        <f t="shared" si="68"/>
        <v>Sáb</v>
      </c>
      <c r="H953" s="52"/>
      <c r="I953" s="47"/>
      <c r="J953" s="283"/>
      <c r="K953" s="283"/>
      <c r="L953" s="53" t="str">
        <f t="shared" si="69"/>
        <v>SIM</v>
      </c>
      <c r="M953" s="283"/>
      <c r="N953" s="47"/>
      <c r="O953" s="283"/>
      <c r="P953" s="47"/>
      <c r="Q953" s="283"/>
      <c r="R953" s="283"/>
      <c r="S953" s="79" t="str">
        <f t="shared" ca="1" si="70"/>
        <v>EXECUTADA</v>
      </c>
    </row>
    <row r="954" spans="1:19" ht="18" x14ac:dyDescent="0.25">
      <c r="A954" s="282"/>
      <c r="B954" s="47"/>
      <c r="C954" s="48"/>
      <c r="D954" s="284"/>
      <c r="E954" s="47"/>
      <c r="F954" s="50"/>
      <c r="G954" s="51" t="str">
        <f t="shared" si="68"/>
        <v>Sáb</v>
      </c>
      <c r="H954" s="52"/>
      <c r="I954" s="47"/>
      <c r="J954" s="283"/>
      <c r="K954" s="283"/>
      <c r="L954" s="53" t="str">
        <f t="shared" si="69"/>
        <v>SIM</v>
      </c>
      <c r="M954" s="283"/>
      <c r="N954" s="47"/>
      <c r="O954" s="283"/>
      <c r="P954" s="47"/>
      <c r="Q954" s="283"/>
      <c r="R954" s="283"/>
      <c r="S954" s="79" t="str">
        <f t="shared" ca="1" si="70"/>
        <v>EXECUTADA</v>
      </c>
    </row>
    <row r="955" spans="1:19" ht="18" x14ac:dyDescent="0.25">
      <c r="A955" s="282"/>
      <c r="B955" s="47"/>
      <c r="C955" s="48"/>
      <c r="D955" s="284"/>
      <c r="E955" s="47"/>
      <c r="F955" s="50"/>
      <c r="G955" s="51" t="str">
        <f t="shared" si="68"/>
        <v>Sáb</v>
      </c>
      <c r="H955" s="52"/>
      <c r="I955" s="47"/>
      <c r="J955" s="283"/>
      <c r="K955" s="283"/>
      <c r="L955" s="53" t="str">
        <f t="shared" si="69"/>
        <v>SIM</v>
      </c>
      <c r="M955" s="283"/>
      <c r="N955" s="47"/>
      <c r="O955" s="283"/>
      <c r="P955" s="47"/>
      <c r="Q955" s="283"/>
      <c r="R955" s="283"/>
      <c r="S955" s="79" t="str">
        <f t="shared" ca="1" si="70"/>
        <v>EXECUTADA</v>
      </c>
    </row>
    <row r="956" spans="1:19" ht="18" x14ac:dyDescent="0.25">
      <c r="A956" s="282"/>
      <c r="B956" s="47"/>
      <c r="C956" s="48"/>
      <c r="D956" s="284"/>
      <c r="E956" s="47"/>
      <c r="F956" s="50"/>
      <c r="G956" s="51" t="str">
        <f t="shared" si="68"/>
        <v>Sáb</v>
      </c>
      <c r="H956" s="52"/>
      <c r="I956" s="47"/>
      <c r="J956" s="283"/>
      <c r="K956" s="283"/>
      <c r="L956" s="53" t="str">
        <f t="shared" si="69"/>
        <v>SIM</v>
      </c>
      <c r="M956" s="283"/>
      <c r="N956" s="47"/>
      <c r="O956" s="283"/>
      <c r="P956" s="47"/>
      <c r="Q956" s="283"/>
      <c r="R956" s="283"/>
      <c r="S956" s="79" t="str">
        <f t="shared" ca="1" si="70"/>
        <v>EXECUTADA</v>
      </c>
    </row>
    <row r="957" spans="1:19" ht="18" x14ac:dyDescent="0.25">
      <c r="A957" s="282"/>
      <c r="B957" s="47"/>
      <c r="C957" s="48"/>
      <c r="D957" s="284"/>
      <c r="E957" s="47"/>
      <c r="F957" s="50"/>
      <c r="G957" s="51" t="str">
        <f t="shared" si="68"/>
        <v>Sáb</v>
      </c>
      <c r="H957" s="52"/>
      <c r="I957" s="47"/>
      <c r="J957" s="283"/>
      <c r="K957" s="283"/>
      <c r="L957" s="53" t="str">
        <f t="shared" si="69"/>
        <v>SIM</v>
      </c>
      <c r="M957" s="283"/>
      <c r="N957" s="47"/>
      <c r="O957" s="283"/>
      <c r="P957" s="47"/>
      <c r="Q957" s="283"/>
      <c r="R957" s="283"/>
      <c r="S957" s="79" t="str">
        <f t="shared" ca="1" si="70"/>
        <v>EXECUTADA</v>
      </c>
    </row>
    <row r="958" spans="1:19" ht="18" x14ac:dyDescent="0.25">
      <c r="A958" s="282"/>
      <c r="B958" s="47"/>
      <c r="C958" s="48"/>
      <c r="D958" s="284"/>
      <c r="E958" s="47"/>
      <c r="F958" s="50"/>
      <c r="G958" s="51" t="str">
        <f t="shared" si="68"/>
        <v>Sáb</v>
      </c>
      <c r="H958" s="52"/>
      <c r="I958" s="47"/>
      <c r="J958" s="283"/>
      <c r="K958" s="283"/>
      <c r="L958" s="53" t="str">
        <f t="shared" si="69"/>
        <v>SIM</v>
      </c>
      <c r="M958" s="283"/>
      <c r="N958" s="47"/>
      <c r="O958" s="283"/>
      <c r="P958" s="47"/>
      <c r="Q958" s="283"/>
      <c r="R958" s="283"/>
      <c r="S958" s="79" t="str">
        <f t="shared" ca="1" si="70"/>
        <v>EXECUTADA</v>
      </c>
    </row>
    <row r="959" spans="1:19" ht="18" x14ac:dyDescent="0.25">
      <c r="A959" s="282"/>
      <c r="B959" s="47"/>
      <c r="C959" s="48"/>
      <c r="D959" s="284"/>
      <c r="E959" s="47"/>
      <c r="F959" s="50"/>
      <c r="G959" s="51" t="str">
        <f t="shared" si="68"/>
        <v>Sáb</v>
      </c>
      <c r="H959" s="52"/>
      <c r="I959" s="47"/>
      <c r="J959" s="283"/>
      <c r="K959" s="283"/>
      <c r="L959" s="53" t="str">
        <f t="shared" si="69"/>
        <v>SIM</v>
      </c>
      <c r="M959" s="283"/>
      <c r="N959" s="47"/>
      <c r="O959" s="283"/>
      <c r="P959" s="47"/>
      <c r="Q959" s="283"/>
      <c r="R959" s="283"/>
      <c r="S959" s="79" t="str">
        <f t="shared" ca="1" si="70"/>
        <v>EXECUTADA</v>
      </c>
    </row>
    <row r="960" spans="1:19" ht="18" x14ac:dyDescent="0.25">
      <c r="A960" s="282"/>
      <c r="B960" s="47"/>
      <c r="C960" s="48"/>
      <c r="D960" s="284"/>
      <c r="E960" s="47"/>
      <c r="F960" s="50"/>
      <c r="G960" s="51" t="str">
        <f t="shared" si="68"/>
        <v>Sáb</v>
      </c>
      <c r="H960" s="52"/>
      <c r="I960" s="47"/>
      <c r="J960" s="283"/>
      <c r="K960" s="283"/>
      <c r="L960" s="53" t="str">
        <f t="shared" si="69"/>
        <v>SIM</v>
      </c>
      <c r="M960" s="283"/>
      <c r="N960" s="47"/>
      <c r="O960" s="283"/>
      <c r="P960" s="47"/>
      <c r="Q960" s="283"/>
      <c r="R960" s="283"/>
      <c r="S960" s="79" t="str">
        <f t="shared" ca="1" si="70"/>
        <v>EXECUTADA</v>
      </c>
    </row>
    <row r="961" spans="1:19" ht="18" x14ac:dyDescent="0.25">
      <c r="A961" s="282"/>
      <c r="B961" s="47"/>
      <c r="C961" s="48"/>
      <c r="D961" s="284"/>
      <c r="E961" s="47"/>
      <c r="F961" s="50"/>
      <c r="G961" s="51" t="str">
        <f t="shared" si="68"/>
        <v>Sáb</v>
      </c>
      <c r="H961" s="52"/>
      <c r="I961" s="47"/>
      <c r="J961" s="283"/>
      <c r="K961" s="283"/>
      <c r="L961" s="53" t="str">
        <f t="shared" si="69"/>
        <v>SIM</v>
      </c>
      <c r="M961" s="283"/>
      <c r="N961" s="47"/>
      <c r="O961" s="283"/>
      <c r="P961" s="47"/>
      <c r="Q961" s="283"/>
      <c r="R961" s="283"/>
      <c r="S961" s="79" t="str">
        <f t="shared" ca="1" si="70"/>
        <v>EXECUTADA</v>
      </c>
    </row>
    <row r="962" spans="1:19" ht="18" x14ac:dyDescent="0.25">
      <c r="A962" s="282"/>
      <c r="B962" s="47"/>
      <c r="C962" s="48"/>
      <c r="D962" s="284"/>
      <c r="E962" s="47"/>
      <c r="F962" s="50"/>
      <c r="G962" s="51" t="str">
        <f t="shared" si="68"/>
        <v>Sáb</v>
      </c>
      <c r="H962" s="52"/>
      <c r="I962" s="47"/>
      <c r="J962" s="283"/>
      <c r="K962" s="283"/>
      <c r="L962" s="53" t="str">
        <f t="shared" si="69"/>
        <v>SIM</v>
      </c>
      <c r="M962" s="283"/>
      <c r="N962" s="47"/>
      <c r="O962" s="283"/>
      <c r="P962" s="47"/>
      <c r="Q962" s="283"/>
      <c r="R962" s="283"/>
      <c r="S962" s="79" t="str">
        <f t="shared" ca="1" si="70"/>
        <v>EXECUTADA</v>
      </c>
    </row>
    <row r="963" spans="1:19" ht="18" x14ac:dyDescent="0.25">
      <c r="A963" s="282"/>
      <c r="B963" s="47"/>
      <c r="C963" s="48"/>
      <c r="D963" s="284"/>
      <c r="E963" s="47"/>
      <c r="F963" s="50"/>
      <c r="G963" s="51" t="str">
        <f t="shared" si="68"/>
        <v>Sáb</v>
      </c>
      <c r="H963" s="52"/>
      <c r="I963" s="47"/>
      <c r="J963" s="283"/>
      <c r="K963" s="283"/>
      <c r="L963" s="53" t="str">
        <f t="shared" si="69"/>
        <v>SIM</v>
      </c>
      <c r="M963" s="283"/>
      <c r="N963" s="47"/>
      <c r="O963" s="283"/>
      <c r="P963" s="47"/>
      <c r="Q963" s="283"/>
      <c r="R963" s="283"/>
      <c r="S963" s="79" t="str">
        <f t="shared" ca="1" si="70"/>
        <v>EXECUTADA</v>
      </c>
    </row>
    <row r="964" spans="1:19" ht="18" x14ac:dyDescent="0.25">
      <c r="A964" s="282"/>
      <c r="B964" s="47"/>
      <c r="C964" s="48"/>
      <c r="D964" s="284"/>
      <c r="E964" s="47"/>
      <c r="F964" s="50"/>
      <c r="G964" s="51" t="str">
        <f t="shared" si="68"/>
        <v>Sáb</v>
      </c>
      <c r="H964" s="52"/>
      <c r="I964" s="47"/>
      <c r="J964" s="283"/>
      <c r="K964" s="283"/>
      <c r="L964" s="53" t="str">
        <f t="shared" si="69"/>
        <v>SIM</v>
      </c>
      <c r="M964" s="283"/>
      <c r="N964" s="47"/>
      <c r="O964" s="283"/>
      <c r="P964" s="47"/>
      <c r="Q964" s="283"/>
      <c r="R964" s="283"/>
      <c r="S964" s="79" t="str">
        <f t="shared" ca="1" si="70"/>
        <v>EXECUTADA</v>
      </c>
    </row>
    <row r="965" spans="1:19" ht="18" x14ac:dyDescent="0.25">
      <c r="A965" s="282"/>
      <c r="B965" s="47"/>
      <c r="C965" s="48"/>
      <c r="D965" s="284"/>
      <c r="E965" s="47"/>
      <c r="F965" s="50"/>
      <c r="G965" s="51" t="str">
        <f t="shared" si="68"/>
        <v>Sáb</v>
      </c>
      <c r="H965" s="52"/>
      <c r="I965" s="47"/>
      <c r="J965" s="283"/>
      <c r="K965" s="283"/>
      <c r="L965" s="53" t="str">
        <f t="shared" si="69"/>
        <v>SIM</v>
      </c>
      <c r="M965" s="283"/>
      <c r="N965" s="47"/>
      <c r="O965" s="283"/>
      <c r="P965" s="47"/>
      <c r="Q965" s="283"/>
      <c r="R965" s="283"/>
      <c r="S965" s="79" t="str">
        <f t="shared" ca="1" si="70"/>
        <v>EXECUTADA</v>
      </c>
    </row>
    <row r="966" spans="1:19" ht="18" x14ac:dyDescent="0.25">
      <c r="A966" s="282"/>
      <c r="B966" s="47"/>
      <c r="C966" s="48"/>
      <c r="D966" s="284"/>
      <c r="E966" s="47"/>
      <c r="F966" s="50"/>
      <c r="G966" s="51" t="str">
        <f t="shared" si="68"/>
        <v>Sáb</v>
      </c>
      <c r="H966" s="52"/>
      <c r="I966" s="47"/>
      <c r="J966" s="283"/>
      <c r="K966" s="283"/>
      <c r="L966" s="53" t="str">
        <f t="shared" si="69"/>
        <v>SIM</v>
      </c>
      <c r="M966" s="283"/>
      <c r="N966" s="47"/>
      <c r="O966" s="283"/>
      <c r="P966" s="47"/>
      <c r="Q966" s="283"/>
      <c r="R966" s="283"/>
      <c r="S966" s="79" t="str">
        <f t="shared" ca="1" si="70"/>
        <v>EXECUTADA</v>
      </c>
    </row>
    <row r="967" spans="1:19" ht="18" x14ac:dyDescent="0.25">
      <c r="A967" s="282"/>
      <c r="B967" s="47"/>
      <c r="C967" s="48"/>
      <c r="D967" s="284"/>
      <c r="E967" s="47"/>
      <c r="F967" s="50"/>
      <c r="G967" s="51" t="str">
        <f t="shared" si="68"/>
        <v>Sáb</v>
      </c>
      <c r="H967" s="52"/>
      <c r="I967" s="47"/>
      <c r="J967" s="283"/>
      <c r="K967" s="283"/>
      <c r="L967" s="53" t="str">
        <f t="shared" si="69"/>
        <v>SIM</v>
      </c>
      <c r="M967" s="283"/>
      <c r="N967" s="47"/>
      <c r="O967" s="283"/>
      <c r="P967" s="47"/>
      <c r="Q967" s="283"/>
      <c r="R967" s="283"/>
      <c r="S967" s="79" t="str">
        <f t="shared" ca="1" si="70"/>
        <v>EXECUTADA</v>
      </c>
    </row>
    <row r="968" spans="1:19" ht="18" x14ac:dyDescent="0.25">
      <c r="A968" s="282"/>
      <c r="B968" s="47"/>
      <c r="C968" s="48"/>
      <c r="D968" s="284"/>
      <c r="E968" s="47"/>
      <c r="F968" s="50"/>
      <c r="G968" s="51" t="str">
        <f t="shared" si="68"/>
        <v>Sáb</v>
      </c>
      <c r="H968" s="52"/>
      <c r="I968" s="47"/>
      <c r="J968" s="283"/>
      <c r="K968" s="283"/>
      <c r="L968" s="53" t="str">
        <f t="shared" si="69"/>
        <v>SIM</v>
      </c>
      <c r="M968" s="283"/>
      <c r="N968" s="47"/>
      <c r="O968" s="283"/>
      <c r="P968" s="47"/>
      <c r="Q968" s="283"/>
      <c r="R968" s="283"/>
      <c r="S968" s="79" t="str">
        <f t="shared" ca="1" si="70"/>
        <v>EXECUTADA</v>
      </c>
    </row>
    <row r="969" spans="1:19" ht="18" x14ac:dyDescent="0.25">
      <c r="A969" s="282"/>
      <c r="B969" s="47"/>
      <c r="C969" s="48"/>
      <c r="D969" s="284"/>
      <c r="E969" s="47"/>
      <c r="F969" s="50"/>
      <c r="G969" s="51" t="str">
        <f t="shared" si="68"/>
        <v>Sáb</v>
      </c>
      <c r="H969" s="52"/>
      <c r="I969" s="47"/>
      <c r="J969" s="283"/>
      <c r="K969" s="283"/>
      <c r="L969" s="53" t="str">
        <f t="shared" si="69"/>
        <v>SIM</v>
      </c>
      <c r="M969" s="283"/>
      <c r="N969" s="47"/>
      <c r="O969" s="283"/>
      <c r="P969" s="47"/>
      <c r="Q969" s="283"/>
      <c r="R969" s="283"/>
      <c r="S969" s="79" t="str">
        <f t="shared" ca="1" si="70"/>
        <v>EXECUTADA</v>
      </c>
    </row>
    <row r="970" spans="1:19" ht="18" x14ac:dyDescent="0.25">
      <c r="A970" s="282"/>
      <c r="B970" s="47"/>
      <c r="C970" s="48"/>
      <c r="D970" s="284"/>
      <c r="E970" s="47"/>
      <c r="F970" s="50"/>
      <c r="G970" s="51" t="str">
        <f t="shared" si="68"/>
        <v>Sáb</v>
      </c>
      <c r="H970" s="52"/>
      <c r="I970" s="47"/>
      <c r="J970" s="283"/>
      <c r="K970" s="283"/>
      <c r="L970" s="53" t="str">
        <f t="shared" si="69"/>
        <v>SIM</v>
      </c>
      <c r="M970" s="283"/>
      <c r="N970" s="47"/>
      <c r="O970" s="283"/>
      <c r="P970" s="47"/>
      <c r="Q970" s="283"/>
      <c r="R970" s="283"/>
      <c r="S970" s="79" t="str">
        <f t="shared" ca="1" si="70"/>
        <v>EXECUTADA</v>
      </c>
    </row>
    <row r="971" spans="1:19" ht="18" x14ac:dyDescent="0.25">
      <c r="A971" s="282"/>
      <c r="B971" s="47"/>
      <c r="C971" s="48"/>
      <c r="D971" s="284"/>
      <c r="E971" s="47"/>
      <c r="F971" s="50"/>
      <c r="G971" s="51" t="str">
        <f t="shared" si="68"/>
        <v>Sáb</v>
      </c>
      <c r="H971" s="52"/>
      <c r="I971" s="47"/>
      <c r="J971" s="283"/>
      <c r="K971" s="283"/>
      <c r="L971" s="53" t="str">
        <f t="shared" si="69"/>
        <v>SIM</v>
      </c>
      <c r="M971" s="283"/>
      <c r="N971" s="47"/>
      <c r="O971" s="283"/>
      <c r="P971" s="47"/>
      <c r="Q971" s="283"/>
      <c r="R971" s="283"/>
      <c r="S971" s="79" t="str">
        <f t="shared" ca="1" si="70"/>
        <v>EXECUTADA</v>
      </c>
    </row>
    <row r="972" spans="1:19" ht="18" x14ac:dyDescent="0.25">
      <c r="A972" s="282"/>
      <c r="B972" s="47"/>
      <c r="C972" s="48"/>
      <c r="D972" s="284"/>
      <c r="E972" s="47"/>
      <c r="F972" s="50"/>
      <c r="G972" s="51" t="str">
        <f t="shared" si="68"/>
        <v>Sáb</v>
      </c>
      <c r="H972" s="52"/>
      <c r="I972" s="47"/>
      <c r="J972" s="283"/>
      <c r="K972" s="283"/>
      <c r="L972" s="53" t="str">
        <f t="shared" si="69"/>
        <v>SIM</v>
      </c>
      <c r="M972" s="283"/>
      <c r="N972" s="47"/>
      <c r="O972" s="283"/>
      <c r="P972" s="47"/>
      <c r="Q972" s="283"/>
      <c r="R972" s="283"/>
      <c r="S972" s="79" t="str">
        <f t="shared" ca="1" si="70"/>
        <v>EXECUTADA</v>
      </c>
    </row>
    <row r="973" spans="1:19" ht="18" x14ac:dyDescent="0.25">
      <c r="A973" s="282"/>
      <c r="B973" s="47"/>
      <c r="C973" s="48"/>
      <c r="D973" s="284"/>
      <c r="E973" s="47"/>
      <c r="F973" s="50"/>
      <c r="G973" s="51" t="str">
        <f t="shared" si="68"/>
        <v>Sáb</v>
      </c>
      <c r="H973" s="52"/>
      <c r="I973" s="47"/>
      <c r="J973" s="283"/>
      <c r="K973" s="283"/>
      <c r="L973" s="53" t="str">
        <f t="shared" si="69"/>
        <v>SIM</v>
      </c>
      <c r="M973" s="283"/>
      <c r="N973" s="47"/>
      <c r="O973" s="283"/>
      <c r="P973" s="47"/>
      <c r="Q973" s="283"/>
      <c r="R973" s="283"/>
      <c r="S973" s="79" t="str">
        <f t="shared" ca="1" si="70"/>
        <v>EXECUTADA</v>
      </c>
    </row>
    <row r="974" spans="1:19" ht="18" x14ac:dyDescent="0.25">
      <c r="A974" s="282"/>
      <c r="B974" s="47"/>
      <c r="C974" s="48"/>
      <c r="D974" s="284"/>
      <c r="E974" s="47"/>
      <c r="F974" s="50"/>
      <c r="G974" s="51" t="str">
        <f t="shared" si="68"/>
        <v>Sáb</v>
      </c>
      <c r="H974" s="52"/>
      <c r="I974" s="47"/>
      <c r="J974" s="283"/>
      <c r="K974" s="283"/>
      <c r="L974" s="53" t="str">
        <f t="shared" si="69"/>
        <v>SIM</v>
      </c>
      <c r="M974" s="283"/>
      <c r="N974" s="47"/>
      <c r="O974" s="283"/>
      <c r="P974" s="47"/>
      <c r="Q974" s="283"/>
      <c r="R974" s="283"/>
      <c r="S974" s="79" t="str">
        <f t="shared" ca="1" si="70"/>
        <v>EXECUTADA</v>
      </c>
    </row>
    <row r="975" spans="1:19" ht="18" x14ac:dyDescent="0.25">
      <c r="A975" s="282"/>
      <c r="B975" s="47"/>
      <c r="C975" s="48"/>
      <c r="D975" s="284"/>
      <c r="E975" s="47"/>
      <c r="F975" s="50"/>
      <c r="G975" s="51" t="str">
        <f t="shared" si="68"/>
        <v>Sáb</v>
      </c>
      <c r="H975" s="52"/>
      <c r="I975" s="47"/>
      <c r="J975" s="283"/>
      <c r="K975" s="283"/>
      <c r="L975" s="53" t="str">
        <f t="shared" si="69"/>
        <v>SIM</v>
      </c>
      <c r="M975" s="283"/>
      <c r="N975" s="47"/>
      <c r="O975" s="283"/>
      <c r="P975" s="47"/>
      <c r="Q975" s="283"/>
      <c r="R975" s="283"/>
      <c r="S975" s="79" t="str">
        <f t="shared" ca="1" si="70"/>
        <v>EXECUTADA</v>
      </c>
    </row>
    <row r="976" spans="1:19" ht="18" x14ac:dyDescent="0.25">
      <c r="A976" s="282"/>
      <c r="B976" s="47"/>
      <c r="C976" s="48"/>
      <c r="D976" s="284"/>
      <c r="E976" s="47"/>
      <c r="F976" s="50"/>
      <c r="G976" s="51" t="str">
        <f t="shared" si="68"/>
        <v>Sáb</v>
      </c>
      <c r="H976" s="52"/>
      <c r="I976" s="47"/>
      <c r="J976" s="283"/>
      <c r="K976" s="283"/>
      <c r="L976" s="53" t="str">
        <f t="shared" si="69"/>
        <v>SIM</v>
      </c>
      <c r="M976" s="283"/>
      <c r="N976" s="47"/>
      <c r="O976" s="283"/>
      <c r="P976" s="47"/>
      <c r="Q976" s="283"/>
      <c r="R976" s="283"/>
      <c r="S976" s="79" t="str">
        <f t="shared" ca="1" si="70"/>
        <v>EXECUTADA</v>
      </c>
    </row>
    <row r="977" spans="1:19" ht="18" x14ac:dyDescent="0.25">
      <c r="A977" s="282"/>
      <c r="B977" s="47"/>
      <c r="C977" s="48"/>
      <c r="D977" s="284"/>
      <c r="E977" s="47"/>
      <c r="F977" s="50"/>
      <c r="G977" s="51" t="str">
        <f t="shared" si="68"/>
        <v>Sáb</v>
      </c>
      <c r="H977" s="52"/>
      <c r="I977" s="47"/>
      <c r="J977" s="283"/>
      <c r="K977" s="283"/>
      <c r="L977" s="53" t="str">
        <f t="shared" si="69"/>
        <v>SIM</v>
      </c>
      <c r="M977" s="283"/>
      <c r="N977" s="47"/>
      <c r="O977" s="283"/>
      <c r="P977" s="47"/>
      <c r="Q977" s="283"/>
      <c r="R977" s="283"/>
      <c r="S977" s="79" t="str">
        <f t="shared" ca="1" si="70"/>
        <v>EXECUTADA</v>
      </c>
    </row>
    <row r="978" spans="1:19" ht="18" x14ac:dyDescent="0.25">
      <c r="A978" s="282"/>
      <c r="B978" s="47"/>
      <c r="C978" s="48"/>
      <c r="D978" s="284"/>
      <c r="E978" s="47"/>
      <c r="F978" s="50"/>
      <c r="G978" s="51" t="str">
        <f t="shared" si="68"/>
        <v>Sáb</v>
      </c>
      <c r="H978" s="52"/>
      <c r="I978" s="47"/>
      <c r="J978" s="283"/>
      <c r="K978" s="283"/>
      <c r="L978" s="53" t="str">
        <f t="shared" si="69"/>
        <v>SIM</v>
      </c>
      <c r="M978" s="283"/>
      <c r="N978" s="47"/>
      <c r="O978" s="283"/>
      <c r="P978" s="47"/>
      <c r="Q978" s="283"/>
      <c r="R978" s="283"/>
      <c r="S978" s="79" t="str">
        <f t="shared" ca="1" si="70"/>
        <v>EXECUTADA</v>
      </c>
    </row>
    <row r="979" spans="1:19" ht="18" x14ac:dyDescent="0.25">
      <c r="A979" s="282"/>
      <c r="B979" s="47"/>
      <c r="C979" s="48"/>
      <c r="D979" s="284"/>
      <c r="E979" s="47"/>
      <c r="F979" s="50"/>
      <c r="G979" s="51" t="str">
        <f t="shared" si="68"/>
        <v>Sáb</v>
      </c>
      <c r="H979" s="52"/>
      <c r="I979" s="47"/>
      <c r="J979" s="283"/>
      <c r="K979" s="283"/>
      <c r="L979" s="53" t="str">
        <f t="shared" si="69"/>
        <v>SIM</v>
      </c>
      <c r="M979" s="283"/>
      <c r="N979" s="47"/>
      <c r="O979" s="283"/>
      <c r="P979" s="47"/>
      <c r="Q979" s="283"/>
      <c r="R979" s="283"/>
      <c r="S979" s="79" t="str">
        <f t="shared" ca="1" si="70"/>
        <v>EXECUTADA</v>
      </c>
    </row>
    <row r="980" spans="1:19" ht="18" x14ac:dyDescent="0.25">
      <c r="A980" s="282"/>
      <c r="B980" s="47"/>
      <c r="C980" s="48"/>
      <c r="D980" s="284"/>
      <c r="E980" s="47"/>
      <c r="F980" s="50"/>
      <c r="G980" s="51" t="str">
        <f t="shared" si="68"/>
        <v>Sáb</v>
      </c>
      <c r="H980" s="52"/>
      <c r="I980" s="47"/>
      <c r="J980" s="283"/>
      <c r="K980" s="283"/>
      <c r="L980" s="53" t="str">
        <f t="shared" si="69"/>
        <v>SIM</v>
      </c>
      <c r="M980" s="283"/>
      <c r="N980" s="47"/>
      <c r="O980" s="283"/>
      <c r="P980" s="47"/>
      <c r="Q980" s="283"/>
      <c r="R980" s="283"/>
      <c r="S980" s="79" t="str">
        <f t="shared" ca="1" si="70"/>
        <v>EXECUTADA</v>
      </c>
    </row>
    <row r="981" spans="1:19" ht="18" x14ac:dyDescent="0.25">
      <c r="A981" s="282"/>
      <c r="B981" s="47"/>
      <c r="C981" s="48"/>
      <c r="D981" s="284"/>
      <c r="E981" s="47"/>
      <c r="F981" s="50"/>
      <c r="G981" s="51" t="str">
        <f t="shared" si="68"/>
        <v>Sáb</v>
      </c>
      <c r="H981" s="52"/>
      <c r="I981" s="47"/>
      <c r="J981" s="283"/>
      <c r="K981" s="283"/>
      <c r="L981" s="53" t="str">
        <f t="shared" si="69"/>
        <v>SIM</v>
      </c>
      <c r="M981" s="283"/>
      <c r="N981" s="47"/>
      <c r="O981" s="283"/>
      <c r="P981" s="47"/>
      <c r="Q981" s="283"/>
      <c r="R981" s="283"/>
      <c r="S981" s="79" t="str">
        <f t="shared" ca="1" si="70"/>
        <v>EXECUTADA</v>
      </c>
    </row>
    <row r="982" spans="1:19" ht="18" x14ac:dyDescent="0.25">
      <c r="A982" s="282"/>
      <c r="B982" s="47"/>
      <c r="C982" s="48"/>
      <c r="D982" s="284"/>
      <c r="E982" s="47"/>
      <c r="F982" s="50"/>
      <c r="G982" s="51" t="str">
        <f t="shared" si="68"/>
        <v>Sáb</v>
      </c>
      <c r="H982" s="52"/>
      <c r="I982" s="47"/>
      <c r="J982" s="283"/>
      <c r="K982" s="283"/>
      <c r="L982" s="53" t="str">
        <f t="shared" si="69"/>
        <v>SIM</v>
      </c>
      <c r="M982" s="283"/>
      <c r="N982" s="47"/>
      <c r="O982" s="283"/>
      <c r="P982" s="47"/>
      <c r="Q982" s="283"/>
      <c r="R982" s="283"/>
      <c r="S982" s="79" t="str">
        <f t="shared" ca="1" si="70"/>
        <v>EXECUTADA</v>
      </c>
    </row>
    <row r="983" spans="1:19" ht="18" x14ac:dyDescent="0.25">
      <c r="A983" s="282"/>
      <c r="B983" s="47"/>
      <c r="C983" s="48"/>
      <c r="D983" s="284"/>
      <c r="E983" s="47"/>
      <c r="F983" s="50"/>
      <c r="G983" s="51" t="str">
        <f t="shared" si="68"/>
        <v>Sáb</v>
      </c>
      <c r="H983" s="52"/>
      <c r="I983" s="47"/>
      <c r="J983" s="283"/>
      <c r="K983" s="283"/>
      <c r="L983" s="53" t="str">
        <f t="shared" si="69"/>
        <v>SIM</v>
      </c>
      <c r="M983" s="283"/>
      <c r="N983" s="47"/>
      <c r="O983" s="283"/>
      <c r="P983" s="47"/>
      <c r="Q983" s="283"/>
      <c r="R983" s="283"/>
      <c r="S983" s="79" t="str">
        <f t="shared" ca="1" si="70"/>
        <v>EXECUTADA</v>
      </c>
    </row>
    <row r="984" spans="1:19" ht="18" x14ac:dyDescent="0.25">
      <c r="A984" s="282"/>
      <c r="B984" s="47"/>
      <c r="C984" s="48"/>
      <c r="D984" s="284"/>
      <c r="E984" s="47"/>
      <c r="F984" s="50"/>
      <c r="G984" s="51" t="str">
        <f t="shared" si="68"/>
        <v>Sáb</v>
      </c>
      <c r="H984" s="52"/>
      <c r="I984" s="47"/>
      <c r="J984" s="283"/>
      <c r="K984" s="283"/>
      <c r="L984" s="53" t="str">
        <f t="shared" si="69"/>
        <v>SIM</v>
      </c>
      <c r="M984" s="283"/>
      <c r="N984" s="47"/>
      <c r="O984" s="283"/>
      <c r="P984" s="47"/>
      <c r="Q984" s="283"/>
      <c r="R984" s="283"/>
      <c r="S984" s="79" t="str">
        <f t="shared" ca="1" si="70"/>
        <v>EXECUTADA</v>
      </c>
    </row>
    <row r="985" spans="1:19" ht="18" x14ac:dyDescent="0.25">
      <c r="A985" s="282"/>
      <c r="B985" s="47"/>
      <c r="C985" s="48"/>
      <c r="D985" s="284"/>
      <c r="E985" s="47"/>
      <c r="F985" s="50"/>
      <c r="G985" s="51" t="str">
        <f t="shared" si="68"/>
        <v>Sáb</v>
      </c>
      <c r="H985" s="52"/>
      <c r="I985" s="47"/>
      <c r="J985" s="283"/>
      <c r="K985" s="283"/>
      <c r="L985" s="53" t="str">
        <f t="shared" si="69"/>
        <v>SIM</v>
      </c>
      <c r="M985" s="283"/>
      <c r="N985" s="47"/>
      <c r="O985" s="283"/>
      <c r="P985" s="47"/>
      <c r="Q985" s="283"/>
      <c r="R985" s="283"/>
      <c r="S985" s="79" t="str">
        <f t="shared" ca="1" si="70"/>
        <v>EXECUTADA</v>
      </c>
    </row>
    <row r="986" spans="1:19" ht="18" x14ac:dyDescent="0.25">
      <c r="A986" s="282"/>
      <c r="B986" s="47"/>
      <c r="C986" s="48"/>
      <c r="D986" s="284"/>
      <c r="E986" s="47"/>
      <c r="F986" s="50"/>
      <c r="G986" s="51" t="str">
        <f t="shared" si="68"/>
        <v>Sáb</v>
      </c>
      <c r="H986" s="52"/>
      <c r="I986" s="47"/>
      <c r="J986" s="283"/>
      <c r="K986" s="283"/>
      <c r="L986" s="53" t="str">
        <f t="shared" si="69"/>
        <v>SIM</v>
      </c>
      <c r="M986" s="283"/>
      <c r="N986" s="47"/>
      <c r="O986" s="283"/>
      <c r="P986" s="47"/>
      <c r="Q986" s="283"/>
      <c r="R986" s="283"/>
      <c r="S986" s="79" t="str">
        <f t="shared" ca="1" si="70"/>
        <v>EXECUTADA</v>
      </c>
    </row>
    <row r="987" spans="1:19" ht="18" x14ac:dyDescent="0.25">
      <c r="A987" s="282"/>
      <c r="B987" s="47"/>
      <c r="C987" s="48"/>
      <c r="D987" s="284"/>
      <c r="E987" s="47"/>
      <c r="F987" s="50"/>
      <c r="G987" s="51" t="str">
        <f t="shared" si="68"/>
        <v>Sáb</v>
      </c>
      <c r="H987" s="52"/>
      <c r="I987" s="47"/>
      <c r="J987" s="283"/>
      <c r="K987" s="283"/>
      <c r="L987" s="53" t="str">
        <f t="shared" si="69"/>
        <v>SIM</v>
      </c>
      <c r="M987" s="283"/>
      <c r="N987" s="47"/>
      <c r="O987" s="283"/>
      <c r="P987" s="47"/>
      <c r="Q987" s="283"/>
      <c r="R987" s="283"/>
      <c r="S987" s="79" t="str">
        <f t="shared" ca="1" si="70"/>
        <v>EXECUTADA</v>
      </c>
    </row>
    <row r="988" spans="1:19" ht="18" x14ac:dyDescent="0.25">
      <c r="A988" s="282"/>
      <c r="B988" s="47"/>
      <c r="C988" s="48"/>
      <c r="D988" s="284"/>
      <c r="E988" s="47"/>
      <c r="F988" s="50"/>
      <c r="G988" s="51" t="str">
        <f t="shared" si="68"/>
        <v>Sáb</v>
      </c>
      <c r="H988" s="52"/>
      <c r="I988" s="47"/>
      <c r="J988" s="283"/>
      <c r="K988" s="283"/>
      <c r="L988" s="53" t="str">
        <f t="shared" si="69"/>
        <v>SIM</v>
      </c>
      <c r="M988" s="283"/>
      <c r="N988" s="47"/>
      <c r="O988" s="283"/>
      <c r="P988" s="47"/>
      <c r="Q988" s="283"/>
      <c r="R988" s="283"/>
      <c r="S988" s="79" t="str">
        <f t="shared" ca="1" si="70"/>
        <v>EXECUTADA</v>
      </c>
    </row>
    <row r="989" spans="1:19" ht="18" x14ac:dyDescent="0.25">
      <c r="A989" s="282"/>
      <c r="B989" s="47"/>
      <c r="C989" s="48"/>
      <c r="D989" s="284"/>
      <c r="E989" s="47"/>
      <c r="F989" s="50"/>
      <c r="G989" s="51" t="str">
        <f t="shared" si="68"/>
        <v>Sáb</v>
      </c>
      <c r="H989" s="52"/>
      <c r="I989" s="47"/>
      <c r="J989" s="283"/>
      <c r="K989" s="283"/>
      <c r="L989" s="53" t="str">
        <f t="shared" si="69"/>
        <v>SIM</v>
      </c>
      <c r="M989" s="283"/>
      <c r="N989" s="47"/>
      <c r="O989" s="283"/>
      <c r="P989" s="47"/>
      <c r="Q989" s="283"/>
      <c r="R989" s="283"/>
      <c r="S989" s="79" t="str">
        <f t="shared" ca="1" si="70"/>
        <v>EXECUTADA</v>
      </c>
    </row>
    <row r="990" spans="1:19" ht="18" x14ac:dyDescent="0.25">
      <c r="A990" s="282"/>
      <c r="B990" s="47"/>
      <c r="C990" s="48"/>
      <c r="D990" s="284"/>
      <c r="E990" s="47"/>
      <c r="F990" s="50"/>
      <c r="G990" s="51" t="str">
        <f t="shared" si="68"/>
        <v>Sáb</v>
      </c>
      <c r="H990" s="52"/>
      <c r="I990" s="47"/>
      <c r="J990" s="283"/>
      <c r="K990" s="283"/>
      <c r="L990" s="53" t="str">
        <f t="shared" si="69"/>
        <v>SIM</v>
      </c>
      <c r="M990" s="283"/>
      <c r="N990" s="47"/>
      <c r="O990" s="283"/>
      <c r="P990" s="47"/>
      <c r="Q990" s="283"/>
      <c r="R990" s="283"/>
      <c r="S990" s="79" t="str">
        <f t="shared" ca="1" si="70"/>
        <v>EXECUTADA</v>
      </c>
    </row>
    <row r="991" spans="1:19" ht="18" x14ac:dyDescent="0.25">
      <c r="A991" s="282"/>
      <c r="B991" s="47"/>
      <c r="C991" s="48"/>
      <c r="D991" s="284"/>
      <c r="E991" s="47"/>
      <c r="F991" s="50"/>
      <c r="G991" s="51" t="str">
        <f t="shared" si="68"/>
        <v>Sáb</v>
      </c>
      <c r="H991" s="52"/>
      <c r="I991" s="47"/>
      <c r="J991" s="283"/>
      <c r="K991" s="283"/>
      <c r="L991" s="53" t="str">
        <f t="shared" si="69"/>
        <v>SIM</v>
      </c>
      <c r="M991" s="283"/>
      <c r="N991" s="47"/>
      <c r="O991" s="283"/>
      <c r="P991" s="47"/>
      <c r="Q991" s="283"/>
      <c r="R991" s="283"/>
      <c r="S991" s="79" t="str">
        <f t="shared" ca="1" si="70"/>
        <v>EXECUTADA</v>
      </c>
    </row>
    <row r="992" spans="1:19" ht="18" x14ac:dyDescent="0.25">
      <c r="A992" s="282"/>
      <c r="B992" s="47"/>
      <c r="C992" s="48"/>
      <c r="D992" s="284"/>
      <c r="E992" s="47"/>
      <c r="F992" s="50"/>
      <c r="G992" s="51" t="str">
        <f t="shared" si="68"/>
        <v>Sáb</v>
      </c>
      <c r="H992" s="52"/>
      <c r="I992" s="47"/>
      <c r="J992" s="283"/>
      <c r="K992" s="283"/>
      <c r="L992" s="53" t="str">
        <f t="shared" si="69"/>
        <v>SIM</v>
      </c>
      <c r="M992" s="283"/>
      <c r="N992" s="47"/>
      <c r="O992" s="283"/>
      <c r="P992" s="47"/>
      <c r="Q992" s="283"/>
      <c r="R992" s="283"/>
      <c r="S992" s="79" t="str">
        <f t="shared" ca="1" si="70"/>
        <v>EXECUTADA</v>
      </c>
    </row>
    <row r="993" spans="1:19" ht="18" x14ac:dyDescent="0.25">
      <c r="A993" s="282"/>
      <c r="B993" s="47"/>
      <c r="C993" s="48"/>
      <c r="D993" s="284"/>
      <c r="E993" s="47"/>
      <c r="F993" s="50"/>
      <c r="G993" s="51" t="str">
        <f t="shared" si="68"/>
        <v>Sáb</v>
      </c>
      <c r="H993" s="52"/>
      <c r="I993" s="47"/>
      <c r="J993" s="283"/>
      <c r="K993" s="283"/>
      <c r="L993" s="53" t="str">
        <f t="shared" si="69"/>
        <v>SIM</v>
      </c>
      <c r="M993" s="283"/>
      <c r="N993" s="47"/>
      <c r="O993" s="283"/>
      <c r="P993" s="47"/>
      <c r="Q993" s="283"/>
      <c r="R993" s="283"/>
      <c r="S993" s="79" t="str">
        <f t="shared" ca="1" si="70"/>
        <v>EXECUTADA</v>
      </c>
    </row>
    <row r="994" spans="1:19" ht="18" x14ac:dyDescent="0.25">
      <c r="A994" s="282"/>
      <c r="B994" s="47"/>
      <c r="C994" s="48"/>
      <c r="D994" s="284"/>
      <c r="E994" s="47"/>
      <c r="F994" s="50"/>
      <c r="G994" s="51" t="str">
        <f t="shared" si="68"/>
        <v>Sáb</v>
      </c>
      <c r="H994" s="52"/>
      <c r="I994" s="47"/>
      <c r="J994" s="283"/>
      <c r="K994" s="283"/>
      <c r="L994" s="53" t="str">
        <f t="shared" si="69"/>
        <v>SIM</v>
      </c>
      <c r="M994" s="283"/>
      <c r="N994" s="47"/>
      <c r="O994" s="283"/>
      <c r="P994" s="47"/>
      <c r="Q994" s="283"/>
      <c r="R994" s="283"/>
      <c r="S994" s="79" t="str">
        <f t="shared" ca="1" si="70"/>
        <v>EXECUTADA</v>
      </c>
    </row>
    <row r="995" spans="1:19" ht="18" x14ac:dyDescent="0.25">
      <c r="A995" s="282"/>
      <c r="B995" s="47"/>
      <c r="C995" s="48"/>
      <c r="D995" s="284"/>
      <c r="E995" s="47"/>
      <c r="F995" s="50"/>
      <c r="G995" s="51" t="str">
        <f t="shared" si="68"/>
        <v>Sáb</v>
      </c>
      <c r="H995" s="52"/>
      <c r="I995" s="47"/>
      <c r="J995" s="283"/>
      <c r="K995" s="283"/>
      <c r="L995" s="53" t="str">
        <f t="shared" si="69"/>
        <v>SIM</v>
      </c>
      <c r="M995" s="283"/>
      <c r="N995" s="47"/>
      <c r="O995" s="283"/>
      <c r="P995" s="47"/>
      <c r="Q995" s="283"/>
      <c r="R995" s="283"/>
      <c r="S995" s="79" t="str">
        <f t="shared" ca="1" si="70"/>
        <v>EXECUTADA</v>
      </c>
    </row>
    <row r="996" spans="1:19" ht="18" x14ac:dyDescent="0.25">
      <c r="A996" s="282"/>
      <c r="B996" s="47"/>
      <c r="C996" s="48"/>
      <c r="D996" s="284"/>
      <c r="E996" s="47"/>
      <c r="F996" s="50"/>
      <c r="G996" s="51" t="str">
        <f t="shared" si="68"/>
        <v>Sáb</v>
      </c>
      <c r="H996" s="52"/>
      <c r="I996" s="47"/>
      <c r="J996" s="283"/>
      <c r="K996" s="283"/>
      <c r="L996" s="53" t="str">
        <f t="shared" si="69"/>
        <v>SIM</v>
      </c>
      <c r="M996" s="283"/>
      <c r="N996" s="47"/>
      <c r="O996" s="283"/>
      <c r="P996" s="47"/>
      <c r="Q996" s="283"/>
      <c r="R996" s="283"/>
      <c r="S996" s="79" t="str">
        <f t="shared" ca="1" si="70"/>
        <v>EXECUTADA</v>
      </c>
    </row>
    <row r="997" spans="1:19" ht="18" x14ac:dyDescent="0.25">
      <c r="A997" s="282"/>
      <c r="B997" s="47"/>
      <c r="C997" s="48"/>
      <c r="D997" s="284"/>
      <c r="E997" s="47"/>
      <c r="F997" s="50"/>
      <c r="G997" s="51" t="str">
        <f t="shared" si="68"/>
        <v>Sáb</v>
      </c>
      <c r="H997" s="52"/>
      <c r="I997" s="47"/>
      <c r="J997" s="283"/>
      <c r="K997" s="283"/>
      <c r="L997" s="53" t="str">
        <f t="shared" si="69"/>
        <v>SIM</v>
      </c>
      <c r="M997" s="283"/>
      <c r="N997" s="47"/>
      <c r="O997" s="283"/>
      <c r="P997" s="47"/>
      <c r="Q997" s="283"/>
      <c r="R997" s="283"/>
      <c r="S997" s="79" t="str">
        <f t="shared" ca="1" si="70"/>
        <v>EXECUTADA</v>
      </c>
    </row>
    <row r="998" spans="1:19" ht="18" x14ac:dyDescent="0.25">
      <c r="A998" s="282"/>
      <c r="B998" s="47"/>
      <c r="C998" s="48"/>
      <c r="D998" s="284"/>
      <c r="E998" s="47"/>
      <c r="F998" s="50"/>
      <c r="G998" s="51" t="str">
        <f t="shared" si="68"/>
        <v>Sáb</v>
      </c>
      <c r="H998" s="52"/>
      <c r="I998" s="47"/>
      <c r="J998" s="283"/>
      <c r="K998" s="283"/>
      <c r="L998" s="53" t="str">
        <f t="shared" si="69"/>
        <v>SIM</v>
      </c>
      <c r="M998" s="283"/>
      <c r="N998" s="47"/>
      <c r="O998" s="283"/>
      <c r="P998" s="47"/>
      <c r="Q998" s="283"/>
      <c r="R998" s="283"/>
      <c r="S998" s="79" t="str">
        <f t="shared" ca="1" si="70"/>
        <v>EXECUTADA</v>
      </c>
    </row>
    <row r="999" spans="1:19" ht="18" x14ac:dyDescent="0.25">
      <c r="A999" s="282"/>
      <c r="B999" s="47"/>
      <c r="C999" s="48"/>
      <c r="D999" s="284"/>
      <c r="E999" s="47"/>
      <c r="F999" s="50"/>
      <c r="G999" s="51" t="str">
        <f t="shared" si="68"/>
        <v>Sáb</v>
      </c>
      <c r="H999" s="52"/>
      <c r="I999" s="47"/>
      <c r="J999" s="283"/>
      <c r="K999" s="283"/>
      <c r="L999" s="53" t="str">
        <f t="shared" si="69"/>
        <v>SIM</v>
      </c>
      <c r="M999" s="283"/>
      <c r="N999" s="47"/>
      <c r="O999" s="283"/>
      <c r="P999" s="47"/>
      <c r="Q999" s="283"/>
      <c r="R999" s="283"/>
      <c r="S999" s="79" t="str">
        <f t="shared" ca="1" si="70"/>
        <v>EXECUTADA</v>
      </c>
    </row>
    <row r="1000" spans="1:19" ht="18" x14ac:dyDescent="0.25">
      <c r="A1000" s="282"/>
      <c r="B1000" s="47"/>
      <c r="C1000" s="48"/>
      <c r="D1000" s="284"/>
      <c r="E1000" s="47"/>
      <c r="F1000" s="50"/>
      <c r="G1000" s="51" t="str">
        <f t="shared" si="68"/>
        <v>Sáb</v>
      </c>
      <c r="H1000" s="52"/>
      <c r="I1000" s="47"/>
      <c r="J1000" s="283"/>
      <c r="K1000" s="283"/>
      <c r="L1000" s="53" t="str">
        <f t="shared" si="69"/>
        <v>SIM</v>
      </c>
      <c r="M1000" s="283"/>
      <c r="N1000" s="47"/>
      <c r="O1000" s="283"/>
      <c r="P1000" s="47"/>
      <c r="Q1000" s="283"/>
      <c r="R1000" s="283"/>
      <c r="S1000" s="79" t="str">
        <f t="shared" ca="1" si="70"/>
        <v>EXECUTADA</v>
      </c>
    </row>
    <row r="1001" spans="1:19" ht="18" x14ac:dyDescent="0.25">
      <c r="A1001" s="282"/>
      <c r="B1001" s="47"/>
      <c r="C1001" s="48"/>
      <c r="D1001" s="284"/>
      <c r="E1001" s="47"/>
      <c r="F1001" s="50"/>
      <c r="G1001" s="51" t="str">
        <f t="shared" si="68"/>
        <v>Sáb</v>
      </c>
      <c r="H1001" s="52"/>
      <c r="I1001" s="47"/>
      <c r="J1001" s="283"/>
      <c r="K1001" s="283"/>
      <c r="L1001" s="53" t="str">
        <f t="shared" si="69"/>
        <v>SIM</v>
      </c>
      <c r="M1001" s="283"/>
      <c r="N1001" s="47"/>
      <c r="O1001" s="283"/>
      <c r="P1001" s="47"/>
      <c r="Q1001" s="283"/>
      <c r="R1001" s="283"/>
      <c r="S1001" s="79" t="str">
        <f t="shared" ca="1" si="70"/>
        <v>EXECUTADA</v>
      </c>
    </row>
    <row r="1002" spans="1:19" ht="18" x14ac:dyDescent="0.25">
      <c r="A1002" s="282"/>
      <c r="B1002" s="47"/>
      <c r="C1002" s="48"/>
      <c r="D1002" s="284"/>
      <c r="E1002" s="47"/>
      <c r="F1002" s="50"/>
      <c r="G1002" s="51" t="str">
        <f t="shared" ref="G1002:G1065" si="71">PROPER(TEXT(F1002,"DDD"))</f>
        <v>Sáb</v>
      </c>
      <c r="H1002" s="52"/>
      <c r="I1002" s="47"/>
      <c r="J1002" s="283"/>
      <c r="K1002" s="283"/>
      <c r="L1002" s="53" t="str">
        <f t="shared" si="69"/>
        <v>SIM</v>
      </c>
      <c r="M1002" s="283"/>
      <c r="N1002" s="47"/>
      <c r="O1002" s="283"/>
      <c r="P1002" s="47"/>
      <c r="Q1002" s="283"/>
      <c r="R1002" s="283"/>
      <c r="S1002" s="79" t="str">
        <f t="shared" ca="1" si="70"/>
        <v>EXECUTADA</v>
      </c>
    </row>
    <row r="1003" spans="1:19" ht="18" x14ac:dyDescent="0.25">
      <c r="A1003" s="282"/>
      <c r="B1003" s="47"/>
      <c r="C1003" s="48"/>
      <c r="D1003" s="284"/>
      <c r="E1003" s="47"/>
      <c r="F1003" s="50"/>
      <c r="G1003" s="51" t="str">
        <f t="shared" si="71"/>
        <v>Sáb</v>
      </c>
      <c r="H1003" s="52"/>
      <c r="I1003" s="47"/>
      <c r="J1003" s="283"/>
      <c r="K1003" s="283"/>
      <c r="L1003" s="53" t="str">
        <f t="shared" si="69"/>
        <v>SIM</v>
      </c>
      <c r="M1003" s="283"/>
      <c r="N1003" s="47"/>
      <c r="O1003" s="283"/>
      <c r="P1003" s="47"/>
      <c r="Q1003" s="283"/>
      <c r="R1003" s="283"/>
      <c r="S1003" s="79" t="str">
        <f t="shared" ca="1" si="70"/>
        <v>EXECUTADA</v>
      </c>
    </row>
    <row r="1004" spans="1:19" ht="18" x14ac:dyDescent="0.25">
      <c r="A1004" s="282"/>
      <c r="B1004" s="47"/>
      <c r="C1004" s="48"/>
      <c r="D1004" s="284"/>
      <c r="E1004" s="47"/>
      <c r="F1004" s="50"/>
      <c r="G1004" s="51" t="str">
        <f t="shared" si="71"/>
        <v>Sáb</v>
      </c>
      <c r="H1004" s="52"/>
      <c r="I1004" s="47"/>
      <c r="J1004" s="283"/>
      <c r="K1004" s="283"/>
      <c r="L1004" s="53" t="str">
        <f t="shared" si="69"/>
        <v>SIM</v>
      </c>
      <c r="M1004" s="283"/>
      <c r="N1004" s="47"/>
      <c r="O1004" s="283"/>
      <c r="P1004" s="47"/>
      <c r="Q1004" s="283"/>
      <c r="R1004" s="283"/>
      <c r="S1004" s="79" t="str">
        <f t="shared" ca="1" si="70"/>
        <v>EXECUTADA</v>
      </c>
    </row>
    <row r="1005" spans="1:19" ht="18" x14ac:dyDescent="0.25">
      <c r="A1005" s="282"/>
      <c r="B1005" s="47"/>
      <c r="C1005" s="48"/>
      <c r="D1005" s="284"/>
      <c r="E1005" s="47"/>
      <c r="F1005" s="50"/>
      <c r="G1005" s="51" t="str">
        <f t="shared" si="71"/>
        <v>Sáb</v>
      </c>
      <c r="H1005" s="52"/>
      <c r="I1005" s="47"/>
      <c r="J1005" s="283"/>
      <c r="K1005" s="283"/>
      <c r="L1005" s="53" t="str">
        <f t="shared" ref="L1005:L1068" si="72">IF(B1005="MUD END","NÃO","SIM")</f>
        <v>SIM</v>
      </c>
      <c r="M1005" s="283"/>
      <c r="N1005" s="47"/>
      <c r="O1005" s="283"/>
      <c r="P1005" s="47"/>
      <c r="Q1005" s="283"/>
      <c r="R1005" s="283"/>
      <c r="S1005" s="79" t="str">
        <f t="shared" ref="S1005:S1068" ca="1" si="73">IF(F1005&lt;TODAY(),"EXECUTADA",IF(F1005=TODAY(),"EM EXECUÇÃO",IF(F1005=TODAY()+1,"VALIDAR HOJE",IF(F1005&gt;TODAY()+1,"VALIDAR DEPOIS","-"))))</f>
        <v>EXECUTADA</v>
      </c>
    </row>
    <row r="1006" spans="1:19" ht="18" x14ac:dyDescent="0.25">
      <c r="A1006" s="282"/>
      <c r="B1006" s="47"/>
      <c r="C1006" s="48"/>
      <c r="D1006" s="284"/>
      <c r="E1006" s="47"/>
      <c r="F1006" s="50"/>
      <c r="G1006" s="51" t="str">
        <f t="shared" si="71"/>
        <v>Sáb</v>
      </c>
      <c r="H1006" s="52"/>
      <c r="I1006" s="47"/>
      <c r="J1006" s="283"/>
      <c r="K1006" s="283"/>
      <c r="L1006" s="53" t="str">
        <f t="shared" si="72"/>
        <v>SIM</v>
      </c>
      <c r="M1006" s="283"/>
      <c r="N1006" s="47"/>
      <c r="O1006" s="283"/>
      <c r="P1006" s="47"/>
      <c r="Q1006" s="283"/>
      <c r="R1006" s="283"/>
      <c r="S1006" s="79" t="str">
        <f t="shared" ca="1" si="73"/>
        <v>EXECUTADA</v>
      </c>
    </row>
    <row r="1007" spans="1:19" ht="18" x14ac:dyDescent="0.25">
      <c r="A1007" s="282"/>
      <c r="B1007" s="47"/>
      <c r="C1007" s="48"/>
      <c r="D1007" s="284"/>
      <c r="E1007" s="47"/>
      <c r="F1007" s="50"/>
      <c r="G1007" s="51" t="str">
        <f t="shared" si="71"/>
        <v>Sáb</v>
      </c>
      <c r="H1007" s="52"/>
      <c r="I1007" s="47"/>
      <c r="J1007" s="283"/>
      <c r="K1007" s="283"/>
      <c r="L1007" s="53" t="str">
        <f t="shared" si="72"/>
        <v>SIM</v>
      </c>
      <c r="M1007" s="283"/>
      <c r="N1007" s="47"/>
      <c r="O1007" s="283"/>
      <c r="P1007" s="47"/>
      <c r="Q1007" s="283"/>
      <c r="R1007" s="283"/>
      <c r="S1007" s="79" t="str">
        <f t="shared" ca="1" si="73"/>
        <v>EXECUTADA</v>
      </c>
    </row>
    <row r="1008" spans="1:19" ht="18" x14ac:dyDescent="0.25">
      <c r="A1008" s="282"/>
      <c r="B1008" s="47"/>
      <c r="C1008" s="48"/>
      <c r="D1008" s="284"/>
      <c r="E1008" s="47"/>
      <c r="F1008" s="50"/>
      <c r="G1008" s="51" t="str">
        <f t="shared" si="71"/>
        <v>Sáb</v>
      </c>
      <c r="H1008" s="52"/>
      <c r="I1008" s="47"/>
      <c r="J1008" s="283"/>
      <c r="K1008" s="283"/>
      <c r="L1008" s="53" t="str">
        <f t="shared" si="72"/>
        <v>SIM</v>
      </c>
      <c r="M1008" s="283"/>
      <c r="N1008" s="47"/>
      <c r="O1008" s="283"/>
      <c r="P1008" s="47"/>
      <c r="Q1008" s="283"/>
      <c r="R1008" s="283"/>
      <c r="S1008" s="79" t="str">
        <f t="shared" ca="1" si="73"/>
        <v>EXECUTADA</v>
      </c>
    </row>
    <row r="1009" spans="1:19" ht="18" x14ac:dyDescent="0.25">
      <c r="A1009" s="282"/>
      <c r="B1009" s="47"/>
      <c r="C1009" s="48"/>
      <c r="D1009" s="284"/>
      <c r="E1009" s="47"/>
      <c r="F1009" s="50"/>
      <c r="G1009" s="51" t="str">
        <f t="shared" si="71"/>
        <v>Sáb</v>
      </c>
      <c r="H1009" s="52"/>
      <c r="I1009" s="47"/>
      <c r="J1009" s="283"/>
      <c r="K1009" s="283"/>
      <c r="L1009" s="53" t="str">
        <f t="shared" si="72"/>
        <v>SIM</v>
      </c>
      <c r="M1009" s="283"/>
      <c r="N1009" s="47"/>
      <c r="O1009" s="283"/>
      <c r="P1009" s="47"/>
      <c r="Q1009" s="283"/>
      <c r="R1009" s="283"/>
      <c r="S1009" s="79" t="str">
        <f t="shared" ca="1" si="73"/>
        <v>EXECUTADA</v>
      </c>
    </row>
    <row r="1010" spans="1:19" ht="18" x14ac:dyDescent="0.25">
      <c r="A1010" s="282"/>
      <c r="B1010" s="47"/>
      <c r="C1010" s="48"/>
      <c r="D1010" s="284"/>
      <c r="E1010" s="47"/>
      <c r="F1010" s="50"/>
      <c r="G1010" s="51" t="str">
        <f t="shared" si="71"/>
        <v>Sáb</v>
      </c>
      <c r="H1010" s="52"/>
      <c r="I1010" s="47"/>
      <c r="J1010" s="283"/>
      <c r="K1010" s="283"/>
      <c r="L1010" s="53" t="str">
        <f t="shared" si="72"/>
        <v>SIM</v>
      </c>
      <c r="M1010" s="283"/>
      <c r="N1010" s="47"/>
      <c r="O1010" s="283"/>
      <c r="P1010" s="47"/>
      <c r="Q1010" s="283"/>
      <c r="R1010" s="283"/>
      <c r="S1010" s="79" t="str">
        <f t="shared" ca="1" si="73"/>
        <v>EXECUTADA</v>
      </c>
    </row>
    <row r="1011" spans="1:19" ht="18" x14ac:dyDescent="0.25">
      <c r="A1011" s="282"/>
      <c r="B1011" s="47"/>
      <c r="C1011" s="48"/>
      <c r="D1011" s="284"/>
      <c r="E1011" s="47"/>
      <c r="F1011" s="50"/>
      <c r="G1011" s="51" t="str">
        <f t="shared" si="71"/>
        <v>Sáb</v>
      </c>
      <c r="H1011" s="52"/>
      <c r="I1011" s="47"/>
      <c r="J1011" s="283"/>
      <c r="K1011" s="283"/>
      <c r="L1011" s="53" t="str">
        <f t="shared" si="72"/>
        <v>SIM</v>
      </c>
      <c r="M1011" s="283"/>
      <c r="N1011" s="47"/>
      <c r="O1011" s="283"/>
      <c r="P1011" s="47"/>
      <c r="Q1011" s="283"/>
      <c r="R1011" s="283"/>
      <c r="S1011" s="79" t="str">
        <f t="shared" ca="1" si="73"/>
        <v>EXECUTADA</v>
      </c>
    </row>
    <row r="1012" spans="1:19" ht="18" x14ac:dyDescent="0.25">
      <c r="A1012" s="282"/>
      <c r="B1012" s="47"/>
      <c r="C1012" s="48"/>
      <c r="D1012" s="284"/>
      <c r="E1012" s="47"/>
      <c r="F1012" s="50"/>
      <c r="G1012" s="51" t="str">
        <f t="shared" si="71"/>
        <v>Sáb</v>
      </c>
      <c r="H1012" s="52"/>
      <c r="I1012" s="47"/>
      <c r="J1012" s="283"/>
      <c r="K1012" s="283"/>
      <c r="L1012" s="53" t="str">
        <f t="shared" si="72"/>
        <v>SIM</v>
      </c>
      <c r="M1012" s="283"/>
      <c r="N1012" s="47"/>
      <c r="O1012" s="283"/>
      <c r="P1012" s="47"/>
      <c r="Q1012" s="283"/>
      <c r="R1012" s="283"/>
      <c r="S1012" s="79" t="str">
        <f t="shared" ca="1" si="73"/>
        <v>EXECUTADA</v>
      </c>
    </row>
    <row r="1013" spans="1:19" ht="18" x14ac:dyDescent="0.25">
      <c r="A1013" s="282"/>
      <c r="B1013" s="47"/>
      <c r="C1013" s="48"/>
      <c r="D1013" s="284"/>
      <c r="E1013" s="47"/>
      <c r="F1013" s="50"/>
      <c r="G1013" s="51" t="str">
        <f t="shared" si="71"/>
        <v>Sáb</v>
      </c>
      <c r="H1013" s="52"/>
      <c r="I1013" s="47"/>
      <c r="J1013" s="283"/>
      <c r="K1013" s="283"/>
      <c r="L1013" s="53" t="str">
        <f t="shared" si="72"/>
        <v>SIM</v>
      </c>
      <c r="M1013" s="283"/>
      <c r="N1013" s="47"/>
      <c r="O1013" s="283"/>
      <c r="P1013" s="47"/>
      <c r="Q1013" s="283"/>
      <c r="R1013" s="283"/>
      <c r="S1013" s="79" t="str">
        <f t="shared" ca="1" si="73"/>
        <v>EXECUTADA</v>
      </c>
    </row>
    <row r="1014" spans="1:19" ht="18" x14ac:dyDescent="0.25">
      <c r="A1014" s="282"/>
      <c r="B1014" s="47"/>
      <c r="C1014" s="48"/>
      <c r="D1014" s="284"/>
      <c r="E1014" s="47"/>
      <c r="F1014" s="50"/>
      <c r="G1014" s="51" t="str">
        <f t="shared" si="71"/>
        <v>Sáb</v>
      </c>
      <c r="H1014" s="52"/>
      <c r="I1014" s="47"/>
      <c r="J1014" s="283"/>
      <c r="K1014" s="283"/>
      <c r="L1014" s="53" t="str">
        <f t="shared" si="72"/>
        <v>SIM</v>
      </c>
      <c r="M1014" s="283"/>
      <c r="N1014" s="47"/>
      <c r="O1014" s="283"/>
      <c r="P1014" s="47"/>
      <c r="Q1014" s="283"/>
      <c r="R1014" s="283"/>
      <c r="S1014" s="79" t="str">
        <f t="shared" ca="1" si="73"/>
        <v>EXECUTADA</v>
      </c>
    </row>
    <row r="1015" spans="1:19" ht="18" x14ac:dyDescent="0.25">
      <c r="A1015" s="282"/>
      <c r="B1015" s="47"/>
      <c r="C1015" s="48"/>
      <c r="D1015" s="284"/>
      <c r="E1015" s="47"/>
      <c r="F1015" s="50"/>
      <c r="G1015" s="51" t="str">
        <f t="shared" si="71"/>
        <v>Sáb</v>
      </c>
      <c r="H1015" s="52"/>
      <c r="I1015" s="47"/>
      <c r="J1015" s="283"/>
      <c r="K1015" s="283"/>
      <c r="L1015" s="53" t="str">
        <f t="shared" si="72"/>
        <v>SIM</v>
      </c>
      <c r="M1015" s="283"/>
      <c r="N1015" s="47"/>
      <c r="O1015" s="283"/>
      <c r="P1015" s="47"/>
      <c r="Q1015" s="283"/>
      <c r="R1015" s="283"/>
      <c r="S1015" s="79" t="str">
        <f t="shared" ca="1" si="73"/>
        <v>EXECUTADA</v>
      </c>
    </row>
    <row r="1016" spans="1:19" ht="18" x14ac:dyDescent="0.25">
      <c r="A1016" s="282"/>
      <c r="B1016" s="47"/>
      <c r="C1016" s="48"/>
      <c r="D1016" s="284"/>
      <c r="E1016" s="47"/>
      <c r="F1016" s="50"/>
      <c r="G1016" s="51" t="str">
        <f t="shared" si="71"/>
        <v>Sáb</v>
      </c>
      <c r="H1016" s="52"/>
      <c r="I1016" s="47"/>
      <c r="J1016" s="283"/>
      <c r="K1016" s="283"/>
      <c r="L1016" s="53" t="str">
        <f t="shared" si="72"/>
        <v>SIM</v>
      </c>
      <c r="M1016" s="283"/>
      <c r="N1016" s="47"/>
      <c r="O1016" s="283"/>
      <c r="P1016" s="47"/>
      <c r="Q1016" s="283"/>
      <c r="R1016" s="283"/>
      <c r="S1016" s="79" t="str">
        <f t="shared" ca="1" si="73"/>
        <v>EXECUTADA</v>
      </c>
    </row>
    <row r="1017" spans="1:19" ht="18" x14ac:dyDescent="0.25">
      <c r="A1017" s="282"/>
      <c r="B1017" s="47"/>
      <c r="C1017" s="48"/>
      <c r="D1017" s="284"/>
      <c r="E1017" s="47"/>
      <c r="F1017" s="50"/>
      <c r="G1017" s="51" t="str">
        <f t="shared" si="71"/>
        <v>Sáb</v>
      </c>
      <c r="H1017" s="52"/>
      <c r="I1017" s="47"/>
      <c r="J1017" s="283"/>
      <c r="K1017" s="283"/>
      <c r="L1017" s="53" t="str">
        <f t="shared" si="72"/>
        <v>SIM</v>
      </c>
      <c r="M1017" s="283"/>
      <c r="N1017" s="47"/>
      <c r="O1017" s="283"/>
      <c r="P1017" s="47"/>
      <c r="Q1017" s="283"/>
      <c r="R1017" s="283"/>
      <c r="S1017" s="79" t="str">
        <f t="shared" ca="1" si="73"/>
        <v>EXECUTADA</v>
      </c>
    </row>
    <row r="1018" spans="1:19" ht="18" x14ac:dyDescent="0.25">
      <c r="A1018" s="282"/>
      <c r="B1018" s="47"/>
      <c r="C1018" s="48"/>
      <c r="D1018" s="284"/>
      <c r="E1018" s="47"/>
      <c r="F1018" s="50"/>
      <c r="G1018" s="51" t="str">
        <f t="shared" si="71"/>
        <v>Sáb</v>
      </c>
      <c r="H1018" s="52"/>
      <c r="I1018" s="47"/>
      <c r="J1018" s="283"/>
      <c r="K1018" s="283"/>
      <c r="L1018" s="53" t="str">
        <f t="shared" si="72"/>
        <v>SIM</v>
      </c>
      <c r="M1018" s="283"/>
      <c r="N1018" s="47"/>
      <c r="O1018" s="283"/>
      <c r="P1018" s="47"/>
      <c r="Q1018" s="283"/>
      <c r="R1018" s="283"/>
      <c r="S1018" s="79" t="str">
        <f t="shared" ca="1" si="73"/>
        <v>EXECUTADA</v>
      </c>
    </row>
    <row r="1019" spans="1:19" ht="18" x14ac:dyDescent="0.25">
      <c r="A1019" s="282"/>
      <c r="B1019" s="47"/>
      <c r="C1019" s="48"/>
      <c r="D1019" s="284"/>
      <c r="E1019" s="47"/>
      <c r="F1019" s="50"/>
      <c r="G1019" s="51" t="str">
        <f t="shared" si="71"/>
        <v>Sáb</v>
      </c>
      <c r="H1019" s="52"/>
      <c r="I1019" s="47"/>
      <c r="J1019" s="283"/>
      <c r="K1019" s="283"/>
      <c r="L1019" s="53" t="str">
        <f t="shared" si="72"/>
        <v>SIM</v>
      </c>
      <c r="M1019" s="283"/>
      <c r="N1019" s="47"/>
      <c r="O1019" s="283"/>
      <c r="P1019" s="47"/>
      <c r="Q1019" s="283"/>
      <c r="R1019" s="283"/>
      <c r="S1019" s="79" t="str">
        <f t="shared" ca="1" si="73"/>
        <v>EXECUTADA</v>
      </c>
    </row>
    <row r="1020" spans="1:19" ht="18" x14ac:dyDescent="0.25">
      <c r="A1020" s="282"/>
      <c r="B1020" s="47"/>
      <c r="C1020" s="48"/>
      <c r="D1020" s="284"/>
      <c r="E1020" s="47"/>
      <c r="F1020" s="50"/>
      <c r="G1020" s="51" t="str">
        <f t="shared" si="71"/>
        <v>Sáb</v>
      </c>
      <c r="H1020" s="52"/>
      <c r="I1020" s="47"/>
      <c r="J1020" s="283"/>
      <c r="K1020" s="283"/>
      <c r="L1020" s="53" t="str">
        <f t="shared" si="72"/>
        <v>SIM</v>
      </c>
      <c r="M1020" s="283"/>
      <c r="N1020" s="47"/>
      <c r="O1020" s="283"/>
      <c r="P1020" s="47"/>
      <c r="Q1020" s="283"/>
      <c r="R1020" s="283"/>
      <c r="S1020" s="79" t="str">
        <f t="shared" ca="1" si="73"/>
        <v>EXECUTADA</v>
      </c>
    </row>
    <row r="1021" spans="1:19" ht="18" x14ac:dyDescent="0.25">
      <c r="A1021" s="282"/>
      <c r="B1021" s="47"/>
      <c r="C1021" s="48"/>
      <c r="D1021" s="284"/>
      <c r="E1021" s="47"/>
      <c r="F1021" s="50"/>
      <c r="G1021" s="51" t="str">
        <f t="shared" si="71"/>
        <v>Sáb</v>
      </c>
      <c r="H1021" s="52"/>
      <c r="I1021" s="47"/>
      <c r="J1021" s="283"/>
      <c r="K1021" s="283"/>
      <c r="L1021" s="53" t="str">
        <f t="shared" si="72"/>
        <v>SIM</v>
      </c>
      <c r="M1021" s="283"/>
      <c r="N1021" s="47"/>
      <c r="O1021" s="283"/>
      <c r="P1021" s="47"/>
      <c r="Q1021" s="283"/>
      <c r="R1021" s="283"/>
      <c r="S1021" s="79" t="str">
        <f t="shared" ca="1" si="73"/>
        <v>EXECUTADA</v>
      </c>
    </row>
    <row r="1022" spans="1:19" ht="18" x14ac:dyDescent="0.25">
      <c r="A1022" s="282"/>
      <c r="B1022" s="47"/>
      <c r="C1022" s="48"/>
      <c r="D1022" s="284"/>
      <c r="E1022" s="47"/>
      <c r="F1022" s="50"/>
      <c r="G1022" s="51" t="str">
        <f t="shared" si="71"/>
        <v>Sáb</v>
      </c>
      <c r="H1022" s="52"/>
      <c r="I1022" s="47"/>
      <c r="J1022" s="283"/>
      <c r="K1022" s="283"/>
      <c r="L1022" s="53" t="str">
        <f t="shared" si="72"/>
        <v>SIM</v>
      </c>
      <c r="M1022" s="283"/>
      <c r="N1022" s="47"/>
      <c r="O1022" s="283"/>
      <c r="P1022" s="47"/>
      <c r="Q1022" s="283"/>
      <c r="R1022" s="283"/>
      <c r="S1022" s="79" t="str">
        <f t="shared" ca="1" si="73"/>
        <v>EXECUTADA</v>
      </c>
    </row>
    <row r="1023" spans="1:19" ht="18" x14ac:dyDescent="0.25">
      <c r="A1023" s="282"/>
      <c r="B1023" s="47"/>
      <c r="C1023" s="48"/>
      <c r="D1023" s="284"/>
      <c r="E1023" s="47"/>
      <c r="F1023" s="50"/>
      <c r="G1023" s="51" t="str">
        <f t="shared" si="71"/>
        <v>Sáb</v>
      </c>
      <c r="H1023" s="52"/>
      <c r="I1023" s="47"/>
      <c r="J1023" s="283"/>
      <c r="K1023" s="283"/>
      <c r="L1023" s="53" t="str">
        <f t="shared" si="72"/>
        <v>SIM</v>
      </c>
      <c r="M1023" s="283"/>
      <c r="N1023" s="47"/>
      <c r="O1023" s="283"/>
      <c r="P1023" s="47"/>
      <c r="Q1023" s="283"/>
      <c r="R1023" s="283"/>
      <c r="S1023" s="79" t="str">
        <f t="shared" ca="1" si="73"/>
        <v>EXECUTADA</v>
      </c>
    </row>
    <row r="1024" spans="1:19" ht="18" x14ac:dyDescent="0.25">
      <c r="A1024" s="282"/>
      <c r="B1024" s="47"/>
      <c r="C1024" s="48"/>
      <c r="D1024" s="284"/>
      <c r="E1024" s="47"/>
      <c r="F1024" s="50"/>
      <c r="G1024" s="51" t="str">
        <f t="shared" si="71"/>
        <v>Sáb</v>
      </c>
      <c r="H1024" s="52"/>
      <c r="I1024" s="47"/>
      <c r="J1024" s="283"/>
      <c r="K1024" s="283"/>
      <c r="L1024" s="53" t="str">
        <f t="shared" si="72"/>
        <v>SIM</v>
      </c>
      <c r="M1024" s="283"/>
      <c r="N1024" s="47"/>
      <c r="O1024" s="283"/>
      <c r="P1024" s="47"/>
      <c r="Q1024" s="283"/>
      <c r="R1024" s="283"/>
      <c r="S1024" s="79" t="str">
        <f t="shared" ca="1" si="73"/>
        <v>EXECUTADA</v>
      </c>
    </row>
    <row r="1025" spans="1:19" ht="18" x14ac:dyDescent="0.25">
      <c r="A1025" s="282"/>
      <c r="B1025" s="47"/>
      <c r="C1025" s="48"/>
      <c r="D1025" s="284"/>
      <c r="E1025" s="47"/>
      <c r="F1025" s="50"/>
      <c r="G1025" s="51" t="str">
        <f t="shared" si="71"/>
        <v>Sáb</v>
      </c>
      <c r="H1025" s="52"/>
      <c r="I1025" s="47"/>
      <c r="J1025" s="283"/>
      <c r="K1025" s="283"/>
      <c r="L1025" s="53" t="str">
        <f t="shared" si="72"/>
        <v>SIM</v>
      </c>
      <c r="M1025" s="283"/>
      <c r="N1025" s="47"/>
      <c r="O1025" s="283"/>
      <c r="P1025" s="47"/>
      <c r="Q1025" s="283"/>
      <c r="R1025" s="283"/>
      <c r="S1025" s="79" t="str">
        <f t="shared" ca="1" si="73"/>
        <v>EXECUTADA</v>
      </c>
    </row>
    <row r="1026" spans="1:19" ht="18" x14ac:dyDescent="0.25">
      <c r="A1026" s="282"/>
      <c r="B1026" s="47"/>
      <c r="C1026" s="48"/>
      <c r="D1026" s="284"/>
      <c r="E1026" s="47"/>
      <c r="F1026" s="50"/>
      <c r="G1026" s="51" t="str">
        <f t="shared" si="71"/>
        <v>Sáb</v>
      </c>
      <c r="H1026" s="52"/>
      <c r="I1026" s="47"/>
      <c r="J1026" s="283"/>
      <c r="K1026" s="283"/>
      <c r="L1026" s="53" t="str">
        <f t="shared" si="72"/>
        <v>SIM</v>
      </c>
      <c r="M1026" s="283"/>
      <c r="N1026" s="47"/>
      <c r="O1026" s="283"/>
      <c r="P1026" s="47"/>
      <c r="Q1026" s="283"/>
      <c r="R1026" s="283"/>
      <c r="S1026" s="79" t="str">
        <f t="shared" ca="1" si="73"/>
        <v>EXECUTADA</v>
      </c>
    </row>
    <row r="1027" spans="1:19" ht="18" x14ac:dyDescent="0.25">
      <c r="A1027" s="282"/>
      <c r="B1027" s="47"/>
      <c r="C1027" s="48"/>
      <c r="D1027" s="284"/>
      <c r="E1027" s="47"/>
      <c r="F1027" s="50"/>
      <c r="G1027" s="51" t="str">
        <f t="shared" si="71"/>
        <v>Sáb</v>
      </c>
      <c r="H1027" s="52"/>
      <c r="I1027" s="47"/>
      <c r="J1027" s="283"/>
      <c r="K1027" s="283"/>
      <c r="L1027" s="53" t="str">
        <f t="shared" si="72"/>
        <v>SIM</v>
      </c>
      <c r="M1027" s="283"/>
      <c r="N1027" s="47"/>
      <c r="O1027" s="283"/>
      <c r="P1027" s="47"/>
      <c r="Q1027" s="283"/>
      <c r="R1027" s="283"/>
      <c r="S1027" s="79" t="str">
        <f t="shared" ca="1" si="73"/>
        <v>EXECUTADA</v>
      </c>
    </row>
    <row r="1028" spans="1:19" ht="18" x14ac:dyDescent="0.25">
      <c r="A1028" s="282"/>
      <c r="B1028" s="47"/>
      <c r="C1028" s="48"/>
      <c r="D1028" s="284"/>
      <c r="E1028" s="47"/>
      <c r="F1028" s="50"/>
      <c r="G1028" s="51" t="str">
        <f t="shared" si="71"/>
        <v>Sáb</v>
      </c>
      <c r="H1028" s="52"/>
      <c r="I1028" s="47"/>
      <c r="J1028" s="283"/>
      <c r="K1028" s="283"/>
      <c r="L1028" s="53" t="str">
        <f t="shared" si="72"/>
        <v>SIM</v>
      </c>
      <c r="M1028" s="283"/>
      <c r="N1028" s="47"/>
      <c r="O1028" s="283"/>
      <c r="P1028" s="47"/>
      <c r="Q1028" s="283"/>
      <c r="R1028" s="283"/>
      <c r="S1028" s="79" t="str">
        <f t="shared" ca="1" si="73"/>
        <v>EXECUTADA</v>
      </c>
    </row>
    <row r="1029" spans="1:19" ht="18" x14ac:dyDescent="0.25">
      <c r="A1029" s="282"/>
      <c r="B1029" s="47"/>
      <c r="C1029" s="48"/>
      <c r="D1029" s="284"/>
      <c r="E1029" s="47"/>
      <c r="F1029" s="50"/>
      <c r="G1029" s="51" t="str">
        <f t="shared" si="71"/>
        <v>Sáb</v>
      </c>
      <c r="H1029" s="52"/>
      <c r="I1029" s="47"/>
      <c r="J1029" s="283"/>
      <c r="K1029" s="283"/>
      <c r="L1029" s="53" t="str">
        <f t="shared" si="72"/>
        <v>SIM</v>
      </c>
      <c r="M1029" s="283"/>
      <c r="N1029" s="47"/>
      <c r="O1029" s="283"/>
      <c r="P1029" s="47"/>
      <c r="Q1029" s="283"/>
      <c r="R1029" s="283"/>
      <c r="S1029" s="79" t="str">
        <f t="shared" ca="1" si="73"/>
        <v>EXECUTADA</v>
      </c>
    </row>
    <row r="1030" spans="1:19" ht="18" x14ac:dyDescent="0.25">
      <c r="A1030" s="282"/>
      <c r="B1030" s="47"/>
      <c r="C1030" s="48"/>
      <c r="D1030" s="284"/>
      <c r="E1030" s="47"/>
      <c r="F1030" s="50"/>
      <c r="G1030" s="51" t="str">
        <f t="shared" si="71"/>
        <v>Sáb</v>
      </c>
      <c r="H1030" s="52"/>
      <c r="I1030" s="47"/>
      <c r="J1030" s="283"/>
      <c r="K1030" s="283"/>
      <c r="L1030" s="53" t="str">
        <f t="shared" si="72"/>
        <v>SIM</v>
      </c>
      <c r="M1030" s="283"/>
      <c r="N1030" s="47"/>
      <c r="O1030" s="283"/>
      <c r="P1030" s="47"/>
      <c r="Q1030" s="283"/>
      <c r="R1030" s="283"/>
      <c r="S1030" s="79" t="str">
        <f t="shared" ca="1" si="73"/>
        <v>EXECUTADA</v>
      </c>
    </row>
    <row r="1031" spans="1:19" ht="18" x14ac:dyDescent="0.25">
      <c r="A1031" s="282"/>
      <c r="B1031" s="47"/>
      <c r="C1031" s="48"/>
      <c r="D1031" s="284"/>
      <c r="E1031" s="47"/>
      <c r="F1031" s="50"/>
      <c r="G1031" s="51" t="str">
        <f t="shared" si="71"/>
        <v>Sáb</v>
      </c>
      <c r="H1031" s="52"/>
      <c r="I1031" s="47"/>
      <c r="J1031" s="283"/>
      <c r="K1031" s="283"/>
      <c r="L1031" s="53" t="str">
        <f t="shared" si="72"/>
        <v>SIM</v>
      </c>
      <c r="M1031" s="283"/>
      <c r="N1031" s="47"/>
      <c r="O1031" s="283"/>
      <c r="P1031" s="47"/>
      <c r="Q1031" s="283"/>
      <c r="R1031" s="283"/>
      <c r="S1031" s="79" t="str">
        <f t="shared" ca="1" si="73"/>
        <v>EXECUTADA</v>
      </c>
    </row>
    <row r="1032" spans="1:19" ht="18" x14ac:dyDescent="0.25">
      <c r="A1032" s="282"/>
      <c r="B1032" s="47"/>
      <c r="C1032" s="48"/>
      <c r="D1032" s="284"/>
      <c r="E1032" s="47"/>
      <c r="F1032" s="50"/>
      <c r="G1032" s="51" t="str">
        <f t="shared" si="71"/>
        <v>Sáb</v>
      </c>
      <c r="H1032" s="52"/>
      <c r="I1032" s="47"/>
      <c r="J1032" s="283"/>
      <c r="K1032" s="283"/>
      <c r="L1032" s="53" t="str">
        <f t="shared" si="72"/>
        <v>SIM</v>
      </c>
      <c r="M1032" s="283"/>
      <c r="N1032" s="47"/>
      <c r="O1032" s="283"/>
      <c r="P1032" s="47"/>
      <c r="Q1032" s="283"/>
      <c r="R1032" s="283"/>
      <c r="S1032" s="79" t="str">
        <f t="shared" ca="1" si="73"/>
        <v>EXECUTADA</v>
      </c>
    </row>
    <row r="1033" spans="1:19" ht="18" x14ac:dyDescent="0.25">
      <c r="A1033" s="282"/>
      <c r="B1033" s="47"/>
      <c r="C1033" s="48"/>
      <c r="D1033" s="284"/>
      <c r="E1033" s="47"/>
      <c r="F1033" s="50"/>
      <c r="G1033" s="51" t="str">
        <f t="shared" si="71"/>
        <v>Sáb</v>
      </c>
      <c r="H1033" s="52"/>
      <c r="I1033" s="47"/>
      <c r="J1033" s="283"/>
      <c r="K1033" s="283"/>
      <c r="L1033" s="53" t="str">
        <f t="shared" si="72"/>
        <v>SIM</v>
      </c>
      <c r="M1033" s="283"/>
      <c r="N1033" s="47"/>
      <c r="O1033" s="283"/>
      <c r="P1033" s="47"/>
      <c r="Q1033" s="283"/>
      <c r="R1033" s="283"/>
      <c r="S1033" s="79" t="str">
        <f t="shared" ca="1" si="73"/>
        <v>EXECUTADA</v>
      </c>
    </row>
    <row r="1034" spans="1:19" ht="18" x14ac:dyDescent="0.25">
      <c r="A1034" s="282"/>
      <c r="B1034" s="47"/>
      <c r="C1034" s="48"/>
      <c r="D1034" s="284"/>
      <c r="E1034" s="47"/>
      <c r="F1034" s="50"/>
      <c r="G1034" s="51" t="str">
        <f t="shared" si="71"/>
        <v>Sáb</v>
      </c>
      <c r="H1034" s="52"/>
      <c r="I1034" s="47"/>
      <c r="J1034" s="283"/>
      <c r="K1034" s="283"/>
      <c r="L1034" s="53" t="str">
        <f t="shared" si="72"/>
        <v>SIM</v>
      </c>
      <c r="M1034" s="283"/>
      <c r="N1034" s="47"/>
      <c r="O1034" s="283"/>
      <c r="P1034" s="47"/>
      <c r="Q1034" s="283"/>
      <c r="R1034" s="283"/>
      <c r="S1034" s="79" t="str">
        <f t="shared" ca="1" si="73"/>
        <v>EXECUTADA</v>
      </c>
    </row>
    <row r="1035" spans="1:19" ht="18" x14ac:dyDescent="0.25">
      <c r="A1035" s="282"/>
      <c r="B1035" s="47"/>
      <c r="C1035" s="48"/>
      <c r="D1035" s="284"/>
      <c r="E1035" s="47"/>
      <c r="F1035" s="50"/>
      <c r="G1035" s="51" t="str">
        <f t="shared" si="71"/>
        <v>Sáb</v>
      </c>
      <c r="H1035" s="52"/>
      <c r="I1035" s="47"/>
      <c r="J1035" s="283"/>
      <c r="K1035" s="283"/>
      <c r="L1035" s="53" t="str">
        <f t="shared" si="72"/>
        <v>SIM</v>
      </c>
      <c r="M1035" s="283"/>
      <c r="N1035" s="47"/>
      <c r="O1035" s="283"/>
      <c r="P1035" s="47"/>
      <c r="Q1035" s="283"/>
      <c r="R1035" s="283"/>
      <c r="S1035" s="79" t="str">
        <f t="shared" ca="1" si="73"/>
        <v>EXECUTADA</v>
      </c>
    </row>
    <row r="1036" spans="1:19" ht="18" x14ac:dyDescent="0.25">
      <c r="A1036" s="282"/>
      <c r="B1036" s="47"/>
      <c r="C1036" s="48"/>
      <c r="D1036" s="284"/>
      <c r="E1036" s="47"/>
      <c r="F1036" s="50"/>
      <c r="G1036" s="51" t="str">
        <f t="shared" si="71"/>
        <v>Sáb</v>
      </c>
      <c r="H1036" s="52"/>
      <c r="I1036" s="47"/>
      <c r="J1036" s="283"/>
      <c r="K1036" s="283"/>
      <c r="L1036" s="53" t="str">
        <f t="shared" si="72"/>
        <v>SIM</v>
      </c>
      <c r="M1036" s="283"/>
      <c r="N1036" s="47"/>
      <c r="O1036" s="283"/>
      <c r="P1036" s="47"/>
      <c r="Q1036" s="283"/>
      <c r="R1036" s="283"/>
      <c r="S1036" s="79" t="str">
        <f t="shared" ca="1" si="73"/>
        <v>EXECUTADA</v>
      </c>
    </row>
    <row r="1037" spans="1:19" ht="18" x14ac:dyDescent="0.25">
      <c r="A1037" s="282"/>
      <c r="B1037" s="47"/>
      <c r="C1037" s="48"/>
      <c r="D1037" s="284"/>
      <c r="E1037" s="47"/>
      <c r="F1037" s="50"/>
      <c r="G1037" s="51" t="str">
        <f t="shared" si="71"/>
        <v>Sáb</v>
      </c>
      <c r="H1037" s="52"/>
      <c r="I1037" s="47"/>
      <c r="J1037" s="283"/>
      <c r="K1037" s="283"/>
      <c r="L1037" s="53" t="str">
        <f t="shared" si="72"/>
        <v>SIM</v>
      </c>
      <c r="M1037" s="283"/>
      <c r="N1037" s="47"/>
      <c r="O1037" s="283"/>
      <c r="P1037" s="47"/>
      <c r="Q1037" s="283"/>
      <c r="R1037" s="283"/>
      <c r="S1037" s="79" t="str">
        <f t="shared" ca="1" si="73"/>
        <v>EXECUTADA</v>
      </c>
    </row>
    <row r="1038" spans="1:19" ht="18" x14ac:dyDescent="0.25">
      <c r="A1038" s="282"/>
      <c r="B1038" s="47"/>
      <c r="C1038" s="48"/>
      <c r="D1038" s="284"/>
      <c r="E1038" s="47"/>
      <c r="F1038" s="50"/>
      <c r="G1038" s="51" t="str">
        <f t="shared" si="71"/>
        <v>Sáb</v>
      </c>
      <c r="H1038" s="52"/>
      <c r="I1038" s="47"/>
      <c r="J1038" s="283"/>
      <c r="K1038" s="283"/>
      <c r="L1038" s="53" t="str">
        <f t="shared" si="72"/>
        <v>SIM</v>
      </c>
      <c r="M1038" s="283"/>
      <c r="N1038" s="47"/>
      <c r="O1038" s="283"/>
      <c r="P1038" s="47"/>
      <c r="Q1038" s="283"/>
      <c r="R1038" s="283"/>
      <c r="S1038" s="79" t="str">
        <f t="shared" ca="1" si="73"/>
        <v>EXECUTADA</v>
      </c>
    </row>
    <row r="1039" spans="1:19" ht="18" x14ac:dyDescent="0.25">
      <c r="A1039" s="282"/>
      <c r="B1039" s="47"/>
      <c r="C1039" s="48"/>
      <c r="D1039" s="284"/>
      <c r="E1039" s="47"/>
      <c r="F1039" s="50"/>
      <c r="G1039" s="51" t="str">
        <f t="shared" si="71"/>
        <v>Sáb</v>
      </c>
      <c r="H1039" s="52"/>
      <c r="I1039" s="47"/>
      <c r="J1039" s="283"/>
      <c r="K1039" s="283"/>
      <c r="L1039" s="53" t="str">
        <f t="shared" si="72"/>
        <v>SIM</v>
      </c>
      <c r="M1039" s="283"/>
      <c r="N1039" s="47"/>
      <c r="O1039" s="283"/>
      <c r="P1039" s="47"/>
      <c r="Q1039" s="283"/>
      <c r="R1039" s="283"/>
      <c r="S1039" s="79" t="str">
        <f t="shared" ca="1" si="73"/>
        <v>EXECUTADA</v>
      </c>
    </row>
    <row r="1040" spans="1:19" ht="18" x14ac:dyDescent="0.25">
      <c r="A1040" s="282"/>
      <c r="B1040" s="47"/>
      <c r="C1040" s="48"/>
      <c r="D1040" s="284"/>
      <c r="E1040" s="47"/>
      <c r="F1040" s="50"/>
      <c r="G1040" s="51" t="str">
        <f t="shared" si="71"/>
        <v>Sáb</v>
      </c>
      <c r="H1040" s="52"/>
      <c r="I1040" s="47"/>
      <c r="J1040" s="283"/>
      <c r="K1040" s="283"/>
      <c r="L1040" s="53" t="str">
        <f t="shared" si="72"/>
        <v>SIM</v>
      </c>
      <c r="M1040" s="283"/>
      <c r="N1040" s="47"/>
      <c r="O1040" s="283"/>
      <c r="P1040" s="47"/>
      <c r="Q1040" s="283"/>
      <c r="R1040" s="283"/>
      <c r="S1040" s="79" t="str">
        <f t="shared" ca="1" si="73"/>
        <v>EXECUTADA</v>
      </c>
    </row>
    <row r="1041" spans="1:19" ht="18" x14ac:dyDescent="0.25">
      <c r="A1041" s="282"/>
      <c r="B1041" s="47"/>
      <c r="C1041" s="48"/>
      <c r="D1041" s="284"/>
      <c r="E1041" s="47"/>
      <c r="F1041" s="50"/>
      <c r="G1041" s="51" t="str">
        <f t="shared" si="71"/>
        <v>Sáb</v>
      </c>
      <c r="H1041" s="52"/>
      <c r="I1041" s="47"/>
      <c r="J1041" s="283"/>
      <c r="K1041" s="283"/>
      <c r="L1041" s="53" t="str">
        <f t="shared" si="72"/>
        <v>SIM</v>
      </c>
      <c r="M1041" s="283"/>
      <c r="N1041" s="47"/>
      <c r="O1041" s="283"/>
      <c r="P1041" s="47"/>
      <c r="Q1041" s="283"/>
      <c r="R1041" s="283"/>
      <c r="S1041" s="79" t="str">
        <f t="shared" ca="1" si="73"/>
        <v>EXECUTADA</v>
      </c>
    </row>
    <row r="1042" spans="1:19" ht="18" x14ac:dyDescent="0.25">
      <c r="A1042" s="282"/>
      <c r="B1042" s="47"/>
      <c r="C1042" s="48"/>
      <c r="D1042" s="284"/>
      <c r="E1042" s="47"/>
      <c r="F1042" s="50"/>
      <c r="G1042" s="51" t="str">
        <f t="shared" si="71"/>
        <v>Sáb</v>
      </c>
      <c r="H1042" s="52"/>
      <c r="I1042" s="47"/>
      <c r="J1042" s="283"/>
      <c r="K1042" s="283"/>
      <c r="L1042" s="53" t="str">
        <f t="shared" si="72"/>
        <v>SIM</v>
      </c>
      <c r="M1042" s="283"/>
      <c r="N1042" s="47"/>
      <c r="O1042" s="283"/>
      <c r="P1042" s="47"/>
      <c r="Q1042" s="283"/>
      <c r="R1042" s="283"/>
      <c r="S1042" s="79" t="str">
        <f t="shared" ca="1" si="73"/>
        <v>EXECUTADA</v>
      </c>
    </row>
    <row r="1043" spans="1:19" ht="18" x14ac:dyDescent="0.25">
      <c r="A1043" s="282"/>
      <c r="B1043" s="47"/>
      <c r="C1043" s="48"/>
      <c r="D1043" s="284"/>
      <c r="E1043" s="47"/>
      <c r="F1043" s="50"/>
      <c r="G1043" s="51" t="str">
        <f t="shared" si="71"/>
        <v>Sáb</v>
      </c>
      <c r="H1043" s="52"/>
      <c r="I1043" s="47"/>
      <c r="J1043" s="283"/>
      <c r="K1043" s="283"/>
      <c r="L1043" s="53" t="str">
        <f t="shared" si="72"/>
        <v>SIM</v>
      </c>
      <c r="M1043" s="283"/>
      <c r="N1043" s="47"/>
      <c r="O1043" s="283"/>
      <c r="P1043" s="47"/>
      <c r="Q1043" s="283"/>
      <c r="R1043" s="283"/>
      <c r="S1043" s="79" t="str">
        <f t="shared" ca="1" si="73"/>
        <v>EXECUTADA</v>
      </c>
    </row>
    <row r="1044" spans="1:19" ht="18" x14ac:dyDescent="0.25">
      <c r="A1044" s="282"/>
      <c r="B1044" s="47"/>
      <c r="C1044" s="48"/>
      <c r="D1044" s="284"/>
      <c r="E1044" s="47"/>
      <c r="F1044" s="50"/>
      <c r="G1044" s="51" t="str">
        <f t="shared" si="71"/>
        <v>Sáb</v>
      </c>
      <c r="H1044" s="52"/>
      <c r="I1044" s="47"/>
      <c r="J1044" s="283"/>
      <c r="K1044" s="283"/>
      <c r="L1044" s="53" t="str">
        <f t="shared" si="72"/>
        <v>SIM</v>
      </c>
      <c r="M1044" s="283"/>
      <c r="N1044" s="47"/>
      <c r="O1044" s="283"/>
      <c r="P1044" s="47"/>
      <c r="Q1044" s="283"/>
      <c r="R1044" s="283"/>
      <c r="S1044" s="79" t="str">
        <f t="shared" ca="1" si="73"/>
        <v>EXECUTADA</v>
      </c>
    </row>
    <row r="1045" spans="1:19" ht="18" x14ac:dyDescent="0.25">
      <c r="A1045" s="282"/>
      <c r="B1045" s="47"/>
      <c r="C1045" s="48"/>
      <c r="D1045" s="284"/>
      <c r="E1045" s="47"/>
      <c r="F1045" s="50"/>
      <c r="G1045" s="51" t="str">
        <f t="shared" si="71"/>
        <v>Sáb</v>
      </c>
      <c r="H1045" s="52"/>
      <c r="I1045" s="47"/>
      <c r="J1045" s="283"/>
      <c r="K1045" s="283"/>
      <c r="L1045" s="53" t="str">
        <f t="shared" si="72"/>
        <v>SIM</v>
      </c>
      <c r="M1045" s="283"/>
      <c r="N1045" s="47"/>
      <c r="O1045" s="283"/>
      <c r="P1045" s="47"/>
      <c r="Q1045" s="283"/>
      <c r="R1045" s="283"/>
      <c r="S1045" s="79" t="str">
        <f t="shared" ca="1" si="73"/>
        <v>EXECUTADA</v>
      </c>
    </row>
    <row r="1046" spans="1:19" ht="18" x14ac:dyDescent="0.25">
      <c r="A1046" s="282"/>
      <c r="B1046" s="47"/>
      <c r="C1046" s="48"/>
      <c r="D1046" s="284"/>
      <c r="E1046" s="47"/>
      <c r="F1046" s="50"/>
      <c r="G1046" s="51" t="str">
        <f t="shared" si="71"/>
        <v>Sáb</v>
      </c>
      <c r="H1046" s="52"/>
      <c r="I1046" s="47"/>
      <c r="J1046" s="283"/>
      <c r="K1046" s="283"/>
      <c r="L1046" s="53" t="str">
        <f t="shared" si="72"/>
        <v>SIM</v>
      </c>
      <c r="M1046" s="283"/>
      <c r="N1046" s="47"/>
      <c r="O1046" s="283"/>
      <c r="P1046" s="47"/>
      <c r="Q1046" s="283"/>
      <c r="R1046" s="283"/>
      <c r="S1046" s="79" t="str">
        <f t="shared" ca="1" si="73"/>
        <v>EXECUTADA</v>
      </c>
    </row>
    <row r="1047" spans="1:19" ht="18" x14ac:dyDescent="0.25">
      <c r="A1047" s="282"/>
      <c r="B1047" s="47"/>
      <c r="C1047" s="48"/>
      <c r="D1047" s="284"/>
      <c r="E1047" s="47"/>
      <c r="F1047" s="50"/>
      <c r="G1047" s="51" t="str">
        <f t="shared" si="71"/>
        <v>Sáb</v>
      </c>
      <c r="H1047" s="52"/>
      <c r="I1047" s="47"/>
      <c r="J1047" s="283"/>
      <c r="K1047" s="283"/>
      <c r="L1047" s="53" t="str">
        <f t="shared" si="72"/>
        <v>SIM</v>
      </c>
      <c r="M1047" s="283"/>
      <c r="N1047" s="47"/>
      <c r="O1047" s="283"/>
      <c r="P1047" s="47"/>
      <c r="Q1047" s="283"/>
      <c r="R1047" s="283"/>
      <c r="S1047" s="79" t="str">
        <f t="shared" ca="1" si="73"/>
        <v>EXECUTADA</v>
      </c>
    </row>
    <row r="1048" spans="1:19" ht="18" x14ac:dyDescent="0.25">
      <c r="A1048" s="282"/>
      <c r="B1048" s="47"/>
      <c r="C1048" s="48"/>
      <c r="D1048" s="284"/>
      <c r="E1048" s="47"/>
      <c r="F1048" s="50"/>
      <c r="G1048" s="51" t="str">
        <f t="shared" si="71"/>
        <v>Sáb</v>
      </c>
      <c r="H1048" s="52"/>
      <c r="I1048" s="47"/>
      <c r="J1048" s="283"/>
      <c r="K1048" s="283"/>
      <c r="L1048" s="53" t="str">
        <f t="shared" si="72"/>
        <v>SIM</v>
      </c>
      <c r="M1048" s="283"/>
      <c r="N1048" s="47"/>
      <c r="O1048" s="283"/>
      <c r="P1048" s="47"/>
      <c r="Q1048" s="283"/>
      <c r="R1048" s="283"/>
      <c r="S1048" s="79" t="str">
        <f t="shared" ca="1" si="73"/>
        <v>EXECUTADA</v>
      </c>
    </row>
    <row r="1049" spans="1:19" ht="18" x14ac:dyDescent="0.25">
      <c r="A1049" s="282"/>
      <c r="B1049" s="47"/>
      <c r="C1049" s="48"/>
      <c r="D1049" s="284"/>
      <c r="E1049" s="47"/>
      <c r="F1049" s="50"/>
      <c r="G1049" s="51" t="str">
        <f t="shared" si="71"/>
        <v>Sáb</v>
      </c>
      <c r="H1049" s="52"/>
      <c r="I1049" s="47"/>
      <c r="J1049" s="283"/>
      <c r="K1049" s="283"/>
      <c r="L1049" s="53" t="str">
        <f t="shared" si="72"/>
        <v>SIM</v>
      </c>
      <c r="M1049" s="283"/>
      <c r="N1049" s="47"/>
      <c r="O1049" s="283"/>
      <c r="P1049" s="47"/>
      <c r="Q1049" s="283"/>
      <c r="R1049" s="283"/>
      <c r="S1049" s="79" t="str">
        <f t="shared" ca="1" si="73"/>
        <v>EXECUTADA</v>
      </c>
    </row>
    <row r="1050" spans="1:19" ht="18" x14ac:dyDescent="0.25">
      <c r="A1050" s="282"/>
      <c r="B1050" s="47"/>
      <c r="C1050" s="48"/>
      <c r="D1050" s="284"/>
      <c r="E1050" s="47"/>
      <c r="F1050" s="50"/>
      <c r="G1050" s="51" t="str">
        <f t="shared" si="71"/>
        <v>Sáb</v>
      </c>
      <c r="H1050" s="52"/>
      <c r="I1050" s="47"/>
      <c r="J1050" s="283"/>
      <c r="K1050" s="283"/>
      <c r="L1050" s="53" t="str">
        <f t="shared" si="72"/>
        <v>SIM</v>
      </c>
      <c r="M1050" s="283"/>
      <c r="N1050" s="47"/>
      <c r="O1050" s="283"/>
      <c r="P1050" s="47"/>
      <c r="Q1050" s="283"/>
      <c r="R1050" s="283"/>
      <c r="S1050" s="79" t="str">
        <f t="shared" ca="1" si="73"/>
        <v>EXECUTADA</v>
      </c>
    </row>
    <row r="1051" spans="1:19" ht="18" x14ac:dyDescent="0.25">
      <c r="A1051" s="282"/>
      <c r="B1051" s="47"/>
      <c r="C1051" s="48"/>
      <c r="D1051" s="284"/>
      <c r="E1051" s="47"/>
      <c r="F1051" s="50"/>
      <c r="G1051" s="51" t="str">
        <f t="shared" si="71"/>
        <v>Sáb</v>
      </c>
      <c r="H1051" s="52"/>
      <c r="I1051" s="47"/>
      <c r="J1051" s="283"/>
      <c r="K1051" s="283"/>
      <c r="L1051" s="53" t="str">
        <f t="shared" si="72"/>
        <v>SIM</v>
      </c>
      <c r="M1051" s="283"/>
      <c r="N1051" s="47"/>
      <c r="O1051" s="283"/>
      <c r="P1051" s="47"/>
      <c r="Q1051" s="283"/>
      <c r="R1051" s="283"/>
      <c r="S1051" s="79" t="str">
        <f t="shared" ca="1" si="73"/>
        <v>EXECUTADA</v>
      </c>
    </row>
    <row r="1052" spans="1:19" ht="18" x14ac:dyDescent="0.25">
      <c r="A1052" s="282"/>
      <c r="B1052" s="47"/>
      <c r="C1052" s="48"/>
      <c r="D1052" s="284"/>
      <c r="E1052" s="47"/>
      <c r="F1052" s="50"/>
      <c r="G1052" s="51" t="str">
        <f t="shared" si="71"/>
        <v>Sáb</v>
      </c>
      <c r="H1052" s="52"/>
      <c r="I1052" s="47"/>
      <c r="J1052" s="283"/>
      <c r="K1052" s="283"/>
      <c r="L1052" s="53" t="str">
        <f t="shared" si="72"/>
        <v>SIM</v>
      </c>
      <c r="M1052" s="283"/>
      <c r="N1052" s="47"/>
      <c r="O1052" s="283"/>
      <c r="P1052" s="47"/>
      <c r="Q1052" s="283"/>
      <c r="R1052" s="283"/>
      <c r="S1052" s="79" t="str">
        <f t="shared" ca="1" si="73"/>
        <v>EXECUTADA</v>
      </c>
    </row>
    <row r="1053" spans="1:19" ht="18" x14ac:dyDescent="0.25">
      <c r="A1053" s="282"/>
      <c r="B1053" s="47"/>
      <c r="C1053" s="48"/>
      <c r="D1053" s="284"/>
      <c r="E1053" s="47"/>
      <c r="F1053" s="50"/>
      <c r="G1053" s="51" t="str">
        <f t="shared" si="71"/>
        <v>Sáb</v>
      </c>
      <c r="H1053" s="52"/>
      <c r="I1053" s="47"/>
      <c r="J1053" s="283"/>
      <c r="K1053" s="283"/>
      <c r="L1053" s="53" t="str">
        <f t="shared" si="72"/>
        <v>SIM</v>
      </c>
      <c r="M1053" s="283"/>
      <c r="N1053" s="47"/>
      <c r="O1053" s="283"/>
      <c r="P1053" s="47"/>
      <c r="Q1053" s="283"/>
      <c r="R1053" s="283"/>
      <c r="S1053" s="79" t="str">
        <f t="shared" ca="1" si="73"/>
        <v>EXECUTADA</v>
      </c>
    </row>
    <row r="1054" spans="1:19" ht="18" x14ac:dyDescent="0.25">
      <c r="A1054" s="282"/>
      <c r="B1054" s="47"/>
      <c r="C1054" s="48"/>
      <c r="D1054" s="284"/>
      <c r="E1054" s="47"/>
      <c r="F1054" s="50"/>
      <c r="G1054" s="51" t="str">
        <f t="shared" si="71"/>
        <v>Sáb</v>
      </c>
      <c r="H1054" s="52"/>
      <c r="I1054" s="47"/>
      <c r="J1054" s="283"/>
      <c r="K1054" s="283"/>
      <c r="L1054" s="53" t="str">
        <f t="shared" si="72"/>
        <v>SIM</v>
      </c>
      <c r="M1054" s="283"/>
      <c r="N1054" s="47"/>
      <c r="O1054" s="283"/>
      <c r="P1054" s="47"/>
      <c r="Q1054" s="283"/>
      <c r="R1054" s="283"/>
      <c r="S1054" s="79" t="str">
        <f t="shared" ca="1" si="73"/>
        <v>EXECUTADA</v>
      </c>
    </row>
    <row r="1055" spans="1:19" ht="18" x14ac:dyDescent="0.25">
      <c r="A1055" s="282"/>
      <c r="B1055" s="47"/>
      <c r="C1055" s="48"/>
      <c r="D1055" s="284"/>
      <c r="E1055" s="47"/>
      <c r="F1055" s="50"/>
      <c r="G1055" s="51" t="str">
        <f t="shared" si="71"/>
        <v>Sáb</v>
      </c>
      <c r="H1055" s="52"/>
      <c r="I1055" s="47"/>
      <c r="J1055" s="283"/>
      <c r="K1055" s="283"/>
      <c r="L1055" s="53" t="str">
        <f t="shared" si="72"/>
        <v>SIM</v>
      </c>
      <c r="M1055" s="283"/>
      <c r="N1055" s="47"/>
      <c r="O1055" s="283"/>
      <c r="P1055" s="47"/>
      <c r="Q1055" s="283"/>
      <c r="R1055" s="283"/>
      <c r="S1055" s="79" t="str">
        <f t="shared" ca="1" si="73"/>
        <v>EXECUTADA</v>
      </c>
    </row>
    <row r="1056" spans="1:19" ht="18" x14ac:dyDescent="0.25">
      <c r="A1056" s="282"/>
      <c r="B1056" s="47"/>
      <c r="C1056" s="48"/>
      <c r="D1056" s="284"/>
      <c r="E1056" s="47"/>
      <c r="F1056" s="50"/>
      <c r="G1056" s="51" t="str">
        <f t="shared" si="71"/>
        <v>Sáb</v>
      </c>
      <c r="H1056" s="52"/>
      <c r="I1056" s="47"/>
      <c r="J1056" s="283"/>
      <c r="K1056" s="283"/>
      <c r="L1056" s="53" t="str">
        <f t="shared" si="72"/>
        <v>SIM</v>
      </c>
      <c r="M1056" s="283"/>
      <c r="N1056" s="47"/>
      <c r="O1056" s="283"/>
      <c r="P1056" s="47"/>
      <c r="Q1056" s="283"/>
      <c r="R1056" s="283"/>
      <c r="S1056" s="79" t="str">
        <f t="shared" ca="1" si="73"/>
        <v>EXECUTADA</v>
      </c>
    </row>
    <row r="1057" spans="1:19" ht="18" x14ac:dyDescent="0.25">
      <c r="A1057" s="282"/>
      <c r="B1057" s="47"/>
      <c r="C1057" s="48"/>
      <c r="D1057" s="284"/>
      <c r="E1057" s="47"/>
      <c r="F1057" s="50"/>
      <c r="G1057" s="51" t="str">
        <f t="shared" si="71"/>
        <v>Sáb</v>
      </c>
      <c r="H1057" s="52"/>
      <c r="I1057" s="47"/>
      <c r="J1057" s="283"/>
      <c r="K1057" s="283"/>
      <c r="L1057" s="53" t="str">
        <f t="shared" si="72"/>
        <v>SIM</v>
      </c>
      <c r="M1057" s="283"/>
      <c r="N1057" s="47"/>
      <c r="O1057" s="283"/>
      <c r="P1057" s="47"/>
      <c r="Q1057" s="283"/>
      <c r="R1057" s="283"/>
      <c r="S1057" s="79" t="str">
        <f t="shared" ca="1" si="73"/>
        <v>EXECUTADA</v>
      </c>
    </row>
    <row r="1058" spans="1:19" ht="18" x14ac:dyDescent="0.25">
      <c r="A1058" s="282"/>
      <c r="B1058" s="47"/>
      <c r="C1058" s="48"/>
      <c r="D1058" s="284"/>
      <c r="E1058" s="47"/>
      <c r="F1058" s="50"/>
      <c r="G1058" s="51" t="str">
        <f t="shared" si="71"/>
        <v>Sáb</v>
      </c>
      <c r="H1058" s="52"/>
      <c r="I1058" s="47"/>
      <c r="J1058" s="283"/>
      <c r="K1058" s="283"/>
      <c r="L1058" s="53" t="str">
        <f t="shared" si="72"/>
        <v>SIM</v>
      </c>
      <c r="M1058" s="283"/>
      <c r="N1058" s="47"/>
      <c r="O1058" s="283"/>
      <c r="P1058" s="47"/>
      <c r="Q1058" s="283"/>
      <c r="R1058" s="283"/>
      <c r="S1058" s="79" t="str">
        <f t="shared" ca="1" si="73"/>
        <v>EXECUTADA</v>
      </c>
    </row>
    <row r="1059" spans="1:19" ht="18" x14ac:dyDescent="0.25">
      <c r="A1059" s="282"/>
      <c r="B1059" s="47"/>
      <c r="C1059" s="48"/>
      <c r="D1059" s="284"/>
      <c r="E1059" s="47"/>
      <c r="F1059" s="50"/>
      <c r="G1059" s="51" t="str">
        <f t="shared" si="71"/>
        <v>Sáb</v>
      </c>
      <c r="H1059" s="52"/>
      <c r="I1059" s="47"/>
      <c r="J1059" s="283"/>
      <c r="K1059" s="283"/>
      <c r="L1059" s="53" t="str">
        <f t="shared" si="72"/>
        <v>SIM</v>
      </c>
      <c r="M1059" s="283"/>
      <c r="N1059" s="47"/>
      <c r="O1059" s="283"/>
      <c r="P1059" s="47"/>
      <c r="Q1059" s="283"/>
      <c r="R1059" s="283"/>
      <c r="S1059" s="79" t="str">
        <f t="shared" ca="1" si="73"/>
        <v>EXECUTADA</v>
      </c>
    </row>
    <row r="1060" spans="1:19" ht="18" x14ac:dyDescent="0.25">
      <c r="A1060" s="282"/>
      <c r="B1060" s="47"/>
      <c r="C1060" s="48"/>
      <c r="D1060" s="284"/>
      <c r="E1060" s="47"/>
      <c r="F1060" s="50"/>
      <c r="G1060" s="51" t="str">
        <f t="shared" si="71"/>
        <v>Sáb</v>
      </c>
      <c r="H1060" s="52"/>
      <c r="I1060" s="47"/>
      <c r="J1060" s="283"/>
      <c r="K1060" s="283"/>
      <c r="L1060" s="53" t="str">
        <f t="shared" si="72"/>
        <v>SIM</v>
      </c>
      <c r="M1060" s="283"/>
      <c r="N1060" s="47"/>
      <c r="O1060" s="283"/>
      <c r="P1060" s="47"/>
      <c r="Q1060" s="283"/>
      <c r="R1060" s="283"/>
      <c r="S1060" s="79" t="str">
        <f t="shared" ca="1" si="73"/>
        <v>EXECUTADA</v>
      </c>
    </row>
    <row r="1061" spans="1:19" ht="18" x14ac:dyDescent="0.25">
      <c r="A1061" s="282"/>
      <c r="B1061" s="47"/>
      <c r="C1061" s="48"/>
      <c r="D1061" s="284"/>
      <c r="E1061" s="47"/>
      <c r="F1061" s="50"/>
      <c r="G1061" s="51" t="str">
        <f t="shared" si="71"/>
        <v>Sáb</v>
      </c>
      <c r="H1061" s="52"/>
      <c r="I1061" s="47"/>
      <c r="J1061" s="283"/>
      <c r="K1061" s="283"/>
      <c r="L1061" s="53" t="str">
        <f t="shared" si="72"/>
        <v>SIM</v>
      </c>
      <c r="M1061" s="283"/>
      <c r="N1061" s="47"/>
      <c r="O1061" s="283"/>
      <c r="P1061" s="47"/>
      <c r="Q1061" s="283"/>
      <c r="R1061" s="283"/>
      <c r="S1061" s="79" t="str">
        <f t="shared" ca="1" si="73"/>
        <v>EXECUTADA</v>
      </c>
    </row>
    <row r="1062" spans="1:19" ht="18" x14ac:dyDescent="0.25">
      <c r="A1062" s="282"/>
      <c r="B1062" s="47"/>
      <c r="C1062" s="48"/>
      <c r="D1062" s="284"/>
      <c r="E1062" s="47"/>
      <c r="F1062" s="50"/>
      <c r="G1062" s="51" t="str">
        <f t="shared" si="71"/>
        <v>Sáb</v>
      </c>
      <c r="H1062" s="52"/>
      <c r="I1062" s="47"/>
      <c r="J1062" s="283"/>
      <c r="K1062" s="283"/>
      <c r="L1062" s="53" t="str">
        <f t="shared" si="72"/>
        <v>SIM</v>
      </c>
      <c r="M1062" s="283"/>
      <c r="N1062" s="47"/>
      <c r="O1062" s="283"/>
      <c r="P1062" s="47"/>
      <c r="Q1062" s="283"/>
      <c r="R1062" s="283"/>
      <c r="S1062" s="79" t="str">
        <f t="shared" ca="1" si="73"/>
        <v>EXECUTADA</v>
      </c>
    </row>
    <row r="1063" spans="1:19" ht="18" x14ac:dyDescent="0.25">
      <c r="A1063" s="282"/>
      <c r="B1063" s="47"/>
      <c r="C1063" s="48"/>
      <c r="D1063" s="284"/>
      <c r="E1063" s="47"/>
      <c r="F1063" s="50"/>
      <c r="G1063" s="51" t="str">
        <f t="shared" si="71"/>
        <v>Sáb</v>
      </c>
      <c r="H1063" s="52"/>
      <c r="I1063" s="47"/>
      <c r="J1063" s="283"/>
      <c r="K1063" s="283"/>
      <c r="L1063" s="53" t="str">
        <f t="shared" si="72"/>
        <v>SIM</v>
      </c>
      <c r="M1063" s="283"/>
      <c r="N1063" s="47"/>
      <c r="O1063" s="283"/>
      <c r="P1063" s="47"/>
      <c r="Q1063" s="283"/>
      <c r="R1063" s="283"/>
      <c r="S1063" s="79" t="str">
        <f t="shared" ca="1" si="73"/>
        <v>EXECUTADA</v>
      </c>
    </row>
    <row r="1064" spans="1:19" ht="18" x14ac:dyDescent="0.25">
      <c r="A1064" s="282"/>
      <c r="B1064" s="47"/>
      <c r="C1064" s="48"/>
      <c r="D1064" s="284"/>
      <c r="E1064" s="47"/>
      <c r="F1064" s="50"/>
      <c r="G1064" s="51" t="str">
        <f t="shared" si="71"/>
        <v>Sáb</v>
      </c>
      <c r="H1064" s="52"/>
      <c r="I1064" s="47"/>
      <c r="J1064" s="283"/>
      <c r="K1064" s="283"/>
      <c r="L1064" s="53" t="str">
        <f t="shared" si="72"/>
        <v>SIM</v>
      </c>
      <c r="M1064" s="283"/>
      <c r="N1064" s="47"/>
      <c r="O1064" s="283"/>
      <c r="P1064" s="47"/>
      <c r="Q1064" s="283"/>
      <c r="R1064" s="283"/>
      <c r="S1064" s="79" t="str">
        <f t="shared" ca="1" si="73"/>
        <v>EXECUTADA</v>
      </c>
    </row>
    <row r="1065" spans="1:19" ht="18" x14ac:dyDescent="0.25">
      <c r="A1065" s="282"/>
      <c r="B1065" s="47"/>
      <c r="C1065" s="48"/>
      <c r="D1065" s="284"/>
      <c r="E1065" s="47"/>
      <c r="F1065" s="50"/>
      <c r="G1065" s="51" t="str">
        <f t="shared" si="71"/>
        <v>Sáb</v>
      </c>
      <c r="H1065" s="52"/>
      <c r="I1065" s="47"/>
      <c r="J1065" s="283"/>
      <c r="K1065" s="283"/>
      <c r="L1065" s="53" t="str">
        <f t="shared" si="72"/>
        <v>SIM</v>
      </c>
      <c r="M1065" s="283"/>
      <c r="N1065" s="47"/>
      <c r="O1065" s="283"/>
      <c r="P1065" s="47"/>
      <c r="Q1065" s="283"/>
      <c r="R1065" s="283"/>
      <c r="S1065" s="79" t="str">
        <f t="shared" ca="1" si="73"/>
        <v>EXECUTADA</v>
      </c>
    </row>
    <row r="1066" spans="1:19" ht="18" x14ac:dyDescent="0.25">
      <c r="A1066" s="282"/>
      <c r="B1066" s="47"/>
      <c r="C1066" s="48"/>
      <c r="D1066" s="284"/>
      <c r="E1066" s="47"/>
      <c r="F1066" s="50"/>
      <c r="G1066" s="51" t="str">
        <f t="shared" ref="G1066:G1084" si="74">PROPER(TEXT(F1066,"DDD"))</f>
        <v>Sáb</v>
      </c>
      <c r="H1066" s="52"/>
      <c r="I1066" s="47"/>
      <c r="J1066" s="283"/>
      <c r="K1066" s="283"/>
      <c r="L1066" s="53" t="str">
        <f t="shared" si="72"/>
        <v>SIM</v>
      </c>
      <c r="M1066" s="283"/>
      <c r="N1066" s="47"/>
      <c r="O1066" s="283"/>
      <c r="P1066" s="47"/>
      <c r="Q1066" s="283"/>
      <c r="R1066" s="283"/>
      <c r="S1066" s="79" t="str">
        <f t="shared" ca="1" si="73"/>
        <v>EXECUTADA</v>
      </c>
    </row>
    <row r="1067" spans="1:19" ht="18" x14ac:dyDescent="0.25">
      <c r="A1067" s="282"/>
      <c r="B1067" s="47"/>
      <c r="C1067" s="48"/>
      <c r="D1067" s="284"/>
      <c r="E1067" s="47"/>
      <c r="F1067" s="50"/>
      <c r="G1067" s="51" t="str">
        <f t="shared" si="74"/>
        <v>Sáb</v>
      </c>
      <c r="H1067" s="52"/>
      <c r="I1067" s="47"/>
      <c r="J1067" s="283"/>
      <c r="K1067" s="283"/>
      <c r="L1067" s="53" t="str">
        <f t="shared" si="72"/>
        <v>SIM</v>
      </c>
      <c r="M1067" s="283"/>
      <c r="N1067" s="47"/>
      <c r="O1067" s="283"/>
      <c r="P1067" s="47"/>
      <c r="Q1067" s="283"/>
      <c r="R1067" s="283"/>
      <c r="S1067" s="79" t="str">
        <f t="shared" ca="1" si="73"/>
        <v>EXECUTADA</v>
      </c>
    </row>
    <row r="1068" spans="1:19" ht="18" x14ac:dyDescent="0.25">
      <c r="A1068" s="282"/>
      <c r="B1068" s="47"/>
      <c r="C1068" s="48"/>
      <c r="D1068" s="284"/>
      <c r="E1068" s="47"/>
      <c r="F1068" s="50"/>
      <c r="G1068" s="51" t="str">
        <f t="shared" si="74"/>
        <v>Sáb</v>
      </c>
      <c r="H1068" s="52"/>
      <c r="I1068" s="47"/>
      <c r="J1068" s="283"/>
      <c r="K1068" s="283"/>
      <c r="L1068" s="53" t="str">
        <f t="shared" si="72"/>
        <v>SIM</v>
      </c>
      <c r="M1068" s="283"/>
      <c r="N1068" s="47"/>
      <c r="O1068" s="283"/>
      <c r="P1068" s="47"/>
      <c r="Q1068" s="283"/>
      <c r="R1068" s="283"/>
      <c r="S1068" s="79" t="str">
        <f t="shared" ca="1" si="73"/>
        <v>EXECUTADA</v>
      </c>
    </row>
    <row r="1069" spans="1:19" ht="18" x14ac:dyDescent="0.25">
      <c r="A1069" s="282"/>
      <c r="B1069" s="47"/>
      <c r="C1069" s="48"/>
      <c r="D1069" s="284"/>
      <c r="E1069" s="47"/>
      <c r="F1069" s="50"/>
      <c r="G1069" s="51" t="str">
        <f t="shared" si="74"/>
        <v>Sáb</v>
      </c>
      <c r="H1069" s="52"/>
      <c r="I1069" s="47"/>
      <c r="J1069" s="283"/>
      <c r="K1069" s="283"/>
      <c r="L1069" s="53" t="str">
        <f t="shared" ref="L1069:L1084" si="75">IF(B1069="MUD END","NÃO","SIM")</f>
        <v>SIM</v>
      </c>
      <c r="M1069" s="283"/>
      <c r="N1069" s="47"/>
      <c r="O1069" s="283"/>
      <c r="P1069" s="47"/>
      <c r="Q1069" s="283"/>
      <c r="R1069" s="283"/>
      <c r="S1069" s="79" t="str">
        <f t="shared" ref="S1069:S1084" ca="1" si="76">IF(F1069&lt;TODAY(),"EXECUTADA",IF(F1069=TODAY(),"EM EXECUÇÃO",IF(F1069=TODAY()+1,"VALIDAR HOJE",IF(F1069&gt;TODAY()+1,"VALIDAR DEPOIS","-"))))</f>
        <v>EXECUTADA</v>
      </c>
    </row>
    <row r="1070" spans="1:19" ht="18" x14ac:dyDescent="0.25">
      <c r="A1070" s="282"/>
      <c r="B1070" s="47"/>
      <c r="C1070" s="48"/>
      <c r="D1070" s="284"/>
      <c r="E1070" s="47"/>
      <c r="F1070" s="50"/>
      <c r="G1070" s="51" t="str">
        <f t="shared" si="74"/>
        <v>Sáb</v>
      </c>
      <c r="H1070" s="52"/>
      <c r="I1070" s="47"/>
      <c r="J1070" s="283"/>
      <c r="K1070" s="283"/>
      <c r="L1070" s="53" t="str">
        <f t="shared" si="75"/>
        <v>SIM</v>
      </c>
      <c r="M1070" s="283"/>
      <c r="N1070" s="47"/>
      <c r="O1070" s="283"/>
      <c r="P1070" s="47"/>
      <c r="Q1070" s="283"/>
      <c r="R1070" s="283"/>
      <c r="S1070" s="79" t="str">
        <f t="shared" ca="1" si="76"/>
        <v>EXECUTADA</v>
      </c>
    </row>
    <row r="1071" spans="1:19" ht="18" x14ac:dyDescent="0.25">
      <c r="A1071" s="282"/>
      <c r="B1071" s="47"/>
      <c r="C1071" s="48"/>
      <c r="D1071" s="284"/>
      <c r="E1071" s="47"/>
      <c r="F1071" s="50"/>
      <c r="G1071" s="51" t="str">
        <f t="shared" si="74"/>
        <v>Sáb</v>
      </c>
      <c r="H1071" s="52"/>
      <c r="I1071" s="47"/>
      <c r="J1071" s="283"/>
      <c r="K1071" s="283"/>
      <c r="L1071" s="53" t="str">
        <f t="shared" si="75"/>
        <v>SIM</v>
      </c>
      <c r="M1071" s="283"/>
      <c r="N1071" s="47"/>
      <c r="O1071" s="283"/>
      <c r="P1071" s="47"/>
      <c r="Q1071" s="283"/>
      <c r="R1071" s="283"/>
      <c r="S1071" s="79" t="str">
        <f t="shared" ca="1" si="76"/>
        <v>EXECUTADA</v>
      </c>
    </row>
    <row r="1072" spans="1:19" ht="18" x14ac:dyDescent="0.25">
      <c r="A1072" s="282"/>
      <c r="B1072" s="47"/>
      <c r="C1072" s="48"/>
      <c r="D1072" s="284"/>
      <c r="E1072" s="47"/>
      <c r="F1072" s="50"/>
      <c r="G1072" s="51" t="str">
        <f t="shared" si="74"/>
        <v>Sáb</v>
      </c>
      <c r="H1072" s="52"/>
      <c r="I1072" s="47"/>
      <c r="J1072" s="283"/>
      <c r="K1072" s="283"/>
      <c r="L1072" s="53" t="str">
        <f t="shared" si="75"/>
        <v>SIM</v>
      </c>
      <c r="M1072" s="283"/>
      <c r="N1072" s="47"/>
      <c r="O1072" s="283"/>
      <c r="P1072" s="47"/>
      <c r="Q1072" s="283"/>
      <c r="R1072" s="283"/>
      <c r="S1072" s="79" t="str">
        <f t="shared" ca="1" si="76"/>
        <v>EXECUTADA</v>
      </c>
    </row>
    <row r="1073" spans="1:19" ht="18" x14ac:dyDescent="0.25">
      <c r="A1073" s="282"/>
      <c r="B1073" s="47"/>
      <c r="C1073" s="48"/>
      <c r="D1073" s="284"/>
      <c r="E1073" s="47"/>
      <c r="F1073" s="50"/>
      <c r="G1073" s="51" t="str">
        <f t="shared" si="74"/>
        <v>Sáb</v>
      </c>
      <c r="H1073" s="52"/>
      <c r="I1073" s="47"/>
      <c r="J1073" s="283"/>
      <c r="K1073" s="283"/>
      <c r="L1073" s="53" t="str">
        <f t="shared" si="75"/>
        <v>SIM</v>
      </c>
      <c r="M1073" s="283"/>
      <c r="N1073" s="47"/>
      <c r="O1073" s="283"/>
      <c r="P1073" s="47"/>
      <c r="Q1073" s="283"/>
      <c r="R1073" s="283"/>
      <c r="S1073" s="79" t="str">
        <f t="shared" ca="1" si="76"/>
        <v>EXECUTADA</v>
      </c>
    </row>
    <row r="1074" spans="1:19" ht="18" x14ac:dyDescent="0.25">
      <c r="A1074" s="282"/>
      <c r="B1074" s="47"/>
      <c r="C1074" s="48"/>
      <c r="D1074" s="284"/>
      <c r="E1074" s="47"/>
      <c r="F1074" s="50"/>
      <c r="G1074" s="51" t="str">
        <f t="shared" si="74"/>
        <v>Sáb</v>
      </c>
      <c r="H1074" s="52"/>
      <c r="I1074" s="47"/>
      <c r="J1074" s="283"/>
      <c r="K1074" s="283"/>
      <c r="L1074" s="53" t="str">
        <f t="shared" si="75"/>
        <v>SIM</v>
      </c>
      <c r="M1074" s="283"/>
      <c r="N1074" s="47"/>
      <c r="O1074" s="283"/>
      <c r="P1074" s="47"/>
      <c r="Q1074" s="283"/>
      <c r="R1074" s="283"/>
      <c r="S1074" s="79" t="str">
        <f t="shared" ca="1" si="76"/>
        <v>EXECUTADA</v>
      </c>
    </row>
    <row r="1075" spans="1:19" ht="18" x14ac:dyDescent="0.25">
      <c r="A1075" s="282"/>
      <c r="B1075" s="47"/>
      <c r="C1075" s="48"/>
      <c r="D1075" s="284"/>
      <c r="E1075" s="47"/>
      <c r="F1075" s="50"/>
      <c r="G1075" s="51" t="str">
        <f t="shared" si="74"/>
        <v>Sáb</v>
      </c>
      <c r="H1075" s="52"/>
      <c r="I1075" s="47"/>
      <c r="J1075" s="283"/>
      <c r="K1075" s="283"/>
      <c r="L1075" s="53" t="str">
        <f t="shared" si="75"/>
        <v>SIM</v>
      </c>
      <c r="M1075" s="283"/>
      <c r="N1075" s="47"/>
      <c r="O1075" s="283"/>
      <c r="P1075" s="47"/>
      <c r="Q1075" s="283"/>
      <c r="R1075" s="283"/>
      <c r="S1075" s="79" t="str">
        <f t="shared" ca="1" si="76"/>
        <v>EXECUTADA</v>
      </c>
    </row>
    <row r="1076" spans="1:19" ht="18" x14ac:dyDescent="0.25">
      <c r="A1076" s="282"/>
      <c r="B1076" s="47"/>
      <c r="C1076" s="48"/>
      <c r="D1076" s="284"/>
      <c r="E1076" s="47"/>
      <c r="F1076" s="50"/>
      <c r="G1076" s="51" t="str">
        <f t="shared" si="74"/>
        <v>Sáb</v>
      </c>
      <c r="H1076" s="52"/>
      <c r="I1076" s="47"/>
      <c r="J1076" s="283"/>
      <c r="K1076" s="283"/>
      <c r="L1076" s="53" t="str">
        <f t="shared" si="75"/>
        <v>SIM</v>
      </c>
      <c r="M1076" s="283"/>
      <c r="N1076" s="47"/>
      <c r="O1076" s="283"/>
      <c r="P1076" s="47"/>
      <c r="Q1076" s="283"/>
      <c r="R1076" s="283"/>
      <c r="S1076" s="79" t="str">
        <f t="shared" ca="1" si="76"/>
        <v>EXECUTADA</v>
      </c>
    </row>
    <row r="1077" spans="1:19" ht="18" x14ac:dyDescent="0.25">
      <c r="A1077" s="282"/>
      <c r="B1077" s="47"/>
      <c r="C1077" s="48"/>
      <c r="D1077" s="284"/>
      <c r="E1077" s="47"/>
      <c r="F1077" s="50"/>
      <c r="G1077" s="51" t="str">
        <f t="shared" si="74"/>
        <v>Sáb</v>
      </c>
      <c r="H1077" s="52"/>
      <c r="I1077" s="47"/>
      <c r="J1077" s="283"/>
      <c r="K1077" s="283"/>
      <c r="L1077" s="53" t="str">
        <f t="shared" si="75"/>
        <v>SIM</v>
      </c>
      <c r="M1077" s="283"/>
      <c r="N1077" s="47"/>
      <c r="O1077" s="283"/>
      <c r="P1077" s="47"/>
      <c r="Q1077" s="283"/>
      <c r="R1077" s="283"/>
      <c r="S1077" s="79" t="str">
        <f t="shared" ca="1" si="76"/>
        <v>EXECUTADA</v>
      </c>
    </row>
    <row r="1078" spans="1:19" ht="18" x14ac:dyDescent="0.25">
      <c r="A1078" s="282"/>
      <c r="B1078" s="47"/>
      <c r="C1078" s="48"/>
      <c r="D1078" s="284"/>
      <c r="E1078" s="47"/>
      <c r="F1078" s="50"/>
      <c r="G1078" s="51" t="str">
        <f t="shared" si="74"/>
        <v>Sáb</v>
      </c>
      <c r="H1078" s="52"/>
      <c r="I1078" s="47"/>
      <c r="J1078" s="283"/>
      <c r="K1078" s="283"/>
      <c r="L1078" s="53" t="str">
        <f t="shared" si="75"/>
        <v>SIM</v>
      </c>
      <c r="M1078" s="283"/>
      <c r="N1078" s="47"/>
      <c r="O1078" s="283"/>
      <c r="P1078" s="47"/>
      <c r="Q1078" s="283"/>
      <c r="R1078" s="283"/>
      <c r="S1078" s="79" t="str">
        <f t="shared" ca="1" si="76"/>
        <v>EXECUTADA</v>
      </c>
    </row>
    <row r="1079" spans="1:19" ht="18" x14ac:dyDescent="0.25">
      <c r="A1079" s="282"/>
      <c r="B1079" s="47"/>
      <c r="C1079" s="48"/>
      <c r="D1079" s="284"/>
      <c r="E1079" s="47"/>
      <c r="F1079" s="50"/>
      <c r="G1079" s="51" t="str">
        <f t="shared" si="74"/>
        <v>Sáb</v>
      </c>
      <c r="H1079" s="52"/>
      <c r="I1079" s="47"/>
      <c r="J1079" s="283"/>
      <c r="K1079" s="283"/>
      <c r="L1079" s="53" t="str">
        <f t="shared" si="75"/>
        <v>SIM</v>
      </c>
      <c r="M1079" s="283"/>
      <c r="N1079" s="47"/>
      <c r="O1079" s="283"/>
      <c r="P1079" s="47"/>
      <c r="Q1079" s="283"/>
      <c r="R1079" s="283"/>
      <c r="S1079" s="79" t="str">
        <f t="shared" ca="1" si="76"/>
        <v>EXECUTADA</v>
      </c>
    </row>
    <row r="1080" spans="1:19" ht="18" x14ac:dyDescent="0.25">
      <c r="A1080" s="282"/>
      <c r="B1080" s="47"/>
      <c r="C1080" s="48"/>
      <c r="D1080" s="284"/>
      <c r="E1080" s="47"/>
      <c r="F1080" s="50"/>
      <c r="G1080" s="51" t="str">
        <f t="shared" si="74"/>
        <v>Sáb</v>
      </c>
      <c r="H1080" s="52"/>
      <c r="I1080" s="47"/>
      <c r="J1080" s="283"/>
      <c r="K1080" s="283"/>
      <c r="L1080" s="53" t="str">
        <f t="shared" si="75"/>
        <v>SIM</v>
      </c>
      <c r="M1080" s="283"/>
      <c r="N1080" s="47"/>
      <c r="O1080" s="283"/>
      <c r="P1080" s="47"/>
      <c r="Q1080" s="283"/>
      <c r="R1080" s="283"/>
      <c r="S1080" s="79" t="str">
        <f t="shared" ca="1" si="76"/>
        <v>EXECUTADA</v>
      </c>
    </row>
    <row r="1081" spans="1:19" ht="18" x14ac:dyDescent="0.25">
      <c r="A1081" s="282"/>
      <c r="B1081" s="47"/>
      <c r="C1081" s="48"/>
      <c r="D1081" s="284"/>
      <c r="E1081" s="47"/>
      <c r="F1081" s="50"/>
      <c r="G1081" s="51" t="str">
        <f t="shared" si="74"/>
        <v>Sáb</v>
      </c>
      <c r="H1081" s="52"/>
      <c r="I1081" s="47"/>
      <c r="J1081" s="283"/>
      <c r="K1081" s="283"/>
      <c r="L1081" s="53" t="str">
        <f t="shared" si="75"/>
        <v>SIM</v>
      </c>
      <c r="M1081" s="283"/>
      <c r="N1081" s="47"/>
      <c r="O1081" s="283"/>
      <c r="P1081" s="47"/>
      <c r="Q1081" s="283"/>
      <c r="R1081" s="283"/>
      <c r="S1081" s="79" t="str">
        <f t="shared" ca="1" si="76"/>
        <v>EXECUTADA</v>
      </c>
    </row>
    <row r="1082" spans="1:19" ht="18" x14ac:dyDescent="0.25">
      <c r="A1082" s="282"/>
      <c r="B1082" s="47"/>
      <c r="C1082" s="48"/>
      <c r="D1082" s="284"/>
      <c r="E1082" s="47"/>
      <c r="F1082" s="50"/>
      <c r="G1082" s="51" t="str">
        <f t="shared" si="74"/>
        <v>Sáb</v>
      </c>
      <c r="H1082" s="52"/>
      <c r="I1082" s="47"/>
      <c r="J1082" s="283"/>
      <c r="K1082" s="283"/>
      <c r="L1082" s="53" t="str">
        <f t="shared" si="75"/>
        <v>SIM</v>
      </c>
      <c r="M1082" s="283"/>
      <c r="N1082" s="47"/>
      <c r="O1082" s="283"/>
      <c r="P1082" s="47"/>
      <c r="Q1082" s="283"/>
      <c r="R1082" s="283"/>
      <c r="S1082" s="79" t="str">
        <f t="shared" ca="1" si="76"/>
        <v>EXECUTADA</v>
      </c>
    </row>
    <row r="1083" spans="1:19" ht="18" x14ac:dyDescent="0.25">
      <c r="A1083" s="282"/>
      <c r="B1083" s="47"/>
      <c r="C1083" s="48"/>
      <c r="D1083" s="284"/>
      <c r="E1083" s="47"/>
      <c r="F1083" s="50"/>
      <c r="G1083" s="51" t="str">
        <f t="shared" si="74"/>
        <v>Sáb</v>
      </c>
      <c r="H1083" s="52"/>
      <c r="I1083" s="47"/>
      <c r="J1083" s="283"/>
      <c r="K1083" s="283"/>
      <c r="L1083" s="53" t="str">
        <f t="shared" si="75"/>
        <v>SIM</v>
      </c>
      <c r="M1083" s="283"/>
      <c r="N1083" s="47"/>
      <c r="O1083" s="283"/>
      <c r="P1083" s="47"/>
      <c r="Q1083" s="283"/>
      <c r="R1083" s="283"/>
      <c r="S1083" s="79" t="str">
        <f t="shared" ca="1" si="76"/>
        <v>EXECUTADA</v>
      </c>
    </row>
    <row r="1084" spans="1:19" ht="18" x14ac:dyDescent="0.25">
      <c r="A1084" s="282"/>
      <c r="B1084" s="47"/>
      <c r="C1084" s="48"/>
      <c r="D1084" s="284"/>
      <c r="E1084" s="47"/>
      <c r="F1084" s="50"/>
      <c r="G1084" s="51" t="str">
        <f t="shared" si="74"/>
        <v>Sáb</v>
      </c>
      <c r="H1084" s="52"/>
      <c r="I1084" s="47"/>
      <c r="J1084" s="283"/>
      <c r="K1084" s="283"/>
      <c r="L1084" s="53" t="str">
        <f t="shared" si="75"/>
        <v>SIM</v>
      </c>
      <c r="M1084" s="283"/>
      <c r="N1084" s="47"/>
      <c r="O1084" s="283"/>
      <c r="P1084" s="47"/>
      <c r="Q1084" s="283"/>
      <c r="R1084" s="283"/>
      <c r="S1084" s="79" t="str">
        <f t="shared" ca="1" si="76"/>
        <v>EXECUTADA</v>
      </c>
    </row>
  </sheetData>
  <autoFilter ref="A1:Z551" xr:uid="{00000000-0001-0000-0000-000000000000}"/>
  <sortState xmlns:xlrd2="http://schemas.microsoft.com/office/spreadsheetml/2017/richdata2" ref="A2:S551">
    <sortCondition ref="F1:F551"/>
  </sortState>
  <conditionalFormatting sqref="A279:A280">
    <cfRule type="duplicateValues" dxfId="37" priority="29"/>
  </conditionalFormatting>
  <conditionalFormatting sqref="A653">
    <cfRule type="duplicateValues" dxfId="36" priority="5"/>
  </conditionalFormatting>
  <conditionalFormatting sqref="A1085:A1048576 A634 A498:A503 A1:A278 A281:A482 A507:A521 A524:A525 A528:A529 A532:A550">
    <cfRule type="duplicateValues" dxfId="35" priority="344"/>
  </conditionalFormatting>
  <conditionalFormatting sqref="C1:C1048576">
    <cfRule type="duplicateValues" dxfId="34" priority="4"/>
  </conditionalFormatting>
  <conditionalFormatting sqref="C606:C615 C617:C620">
    <cfRule type="duplicateValues" dxfId="33" priority="14"/>
  </conditionalFormatting>
  <conditionalFormatting sqref="C616 C1:C34 C36:C278 C281:C483 C498:C530 C532:C605 C621:C658 C660:C1048576">
    <cfRule type="duplicateValues" dxfId="32" priority="38"/>
  </conditionalFormatting>
  <conditionalFormatting sqref="C616 C1:C34 C36:C530 C532:C605 C621:C658 C660:C1048576">
    <cfRule type="duplicateValues" dxfId="31" priority="22"/>
  </conditionalFormatting>
  <conditionalFormatting sqref="C659">
    <cfRule type="duplicateValues" dxfId="30" priority="3"/>
  </conditionalFormatting>
  <conditionalFormatting sqref="K435 L524:M530 L532:M538 L539 L540:M550 L551 L552:M562 L563 L564:M572 L573 L574:M584 L585 L586:M591 L592:L594 Q592:Q594 L593:M601 L602 L616:M616 L621:M626 L627 L628:M629 L630 L631:M635 L636 L637:M658 L660:M664 L666:M1048576 L665">
    <cfRule type="cellIs" dxfId="29" priority="26" operator="equal">
      <formula>"NÃO"</formula>
    </cfRule>
  </conditionalFormatting>
  <conditionalFormatting sqref="K556">
    <cfRule type="containsText" dxfId="28" priority="20" stopIfTrue="1" operator="containsText" text="SIM">
      <formula>NOT(ISERROR(SEARCH("SIM",K556)))</formula>
    </cfRule>
    <cfRule type="cellIs" dxfId="27" priority="21" operator="equal">
      <formula>"NÃO"</formula>
    </cfRule>
  </conditionalFormatting>
  <conditionalFormatting sqref="L659">
    <cfRule type="cellIs" dxfId="26" priority="2" operator="equal">
      <formula>"NÃO"</formula>
    </cfRule>
    <cfRule type="containsText" dxfId="25" priority="1" stopIfTrue="1" operator="containsText" text="SIM">
      <formula>NOT(ISERROR(SEARCH("SIM",L659)))</formula>
    </cfRule>
  </conditionalFormatting>
  <conditionalFormatting sqref="L1:M8 L9:L11 L11:M14 L15:L16 L16:M32 L33 L34:M36 L37 L38:M38 L39 L40:M59 L60 L61:M63 L64 L65:M71 L72 L73:M75 L76 L77:M78 L79 L80:M88 L89 L90:M106 L107 L108:M111 L112 L113:M124 L125 L126:M149 L150:P150 L151:M152 L154:M160 L161 L162:M196 L197 L198:M199 L200 L201:M215 L216 L217:M217 L218 L219:M226 L227 L270 L271:M292 L293:L294 L294:M307 L308 L309:M310 L311 L312:M321 L322:L323 L323:M325 L326 L327:M340 L341 L342:M348 L349 L350:M350 L351 L352:M363 L364 L365:M374 L375 L376:M387 L388 L389:M391 L392:L393 L394:M402 L403:L404 L404:M414 L415:L416 L416:M430 L431 L432:M436 L437 L438:M443 L444 L456 L457:M458 L459 L460:M462 L463 L464:M474 L475:L476 L476:M477 L478 L498 L499:M500 L501">
    <cfRule type="containsText" dxfId="24" priority="184" stopIfTrue="1" operator="containsText" text="SIM">
      <formula>NOT(ISERROR(SEARCH("SIM",L1)))</formula>
    </cfRule>
    <cfRule type="cellIs" dxfId="23" priority="185" operator="equal">
      <formula>"NÃO"</formula>
    </cfRule>
  </conditionalFormatting>
  <conditionalFormatting sqref="L228:M269 J349 L445:M455 L502:M512 L513 L514:M522 L523">
    <cfRule type="containsText" dxfId="22" priority="27" stopIfTrue="1" operator="containsText" text="SIM">
      <formula>NOT(ISERROR(SEARCH("SIM",J228)))</formula>
    </cfRule>
    <cfRule type="cellIs" dxfId="21" priority="28" operator="equal">
      <formula>"NÃO"</formula>
    </cfRule>
  </conditionalFormatting>
  <conditionalFormatting sqref="L479:M483">
    <cfRule type="containsText" dxfId="20" priority="23" stopIfTrue="1" operator="containsText" text="SIM">
      <formula>NOT(ISERROR(SEARCH("SIM",L479)))</formula>
    </cfRule>
    <cfRule type="cellIs" dxfId="19" priority="24" operator="equal">
      <formula>"NÃO"</formula>
    </cfRule>
  </conditionalFormatting>
  <conditionalFormatting sqref="L603:M607 L608 L609:M616 L617:L620 M618:M619">
    <cfRule type="containsText" dxfId="18" priority="12" stopIfTrue="1" operator="containsText" text="SIM">
      <formula>NOT(ISERROR(SEARCH("SIM",L603)))</formula>
    </cfRule>
    <cfRule type="cellIs" dxfId="17" priority="13" operator="equal">
      <formula>"NÃO"</formula>
    </cfRule>
  </conditionalFormatting>
  <conditionalFormatting sqref="L616:M616 K435 L524:M530 L532:M538 L539 L540:M550 L551 L552:M562 L563 L564:M572 L573 L574:M584 L585 L586:M591 L592:L594 Q592:Q594 L593:M601 L602 L621:M626 L627 L628:M629 L630 L631:M635 L636 L637:M658 L660:M664 L666:M1048576 L665">
    <cfRule type="containsText" dxfId="16" priority="25" stopIfTrue="1" operator="containsText" text="SIM">
      <formula>NOT(ISERROR(SEARCH("SIM",K435)))</formula>
    </cfRule>
  </conditionalFormatting>
  <conditionalFormatting sqref="L153:P153">
    <cfRule type="containsText" dxfId="15" priority="32" stopIfTrue="1" operator="containsText" text="SIM">
      <formula>NOT(ISERROR(SEARCH("SIM",L153)))</formula>
    </cfRule>
    <cfRule type="cellIs" dxfId="14" priority="33" operator="equal">
      <formula>"NÃO"</formula>
    </cfRule>
  </conditionalFormatting>
  <conditionalFormatting sqref="N152:P152">
    <cfRule type="containsText" dxfId="13" priority="34" stopIfTrue="1" operator="containsText" text="SIM">
      <formula>NOT(ISERROR(SEARCH("SIM",N152)))</formula>
    </cfRule>
    <cfRule type="cellIs" dxfId="12" priority="35" operator="equal">
      <formula>"NÃO"</formula>
    </cfRule>
  </conditionalFormatting>
  <conditionalFormatting sqref="O301:P301">
    <cfRule type="containsText" dxfId="11" priority="30" stopIfTrue="1" operator="containsText" text="SIM">
      <formula>NOT(ISERROR(SEARCH("SIM",O301)))</formula>
    </cfRule>
    <cfRule type="cellIs" dxfId="10" priority="31" operator="equal">
      <formula>"NÃO"</formula>
    </cfRule>
  </conditionalFormatting>
  <conditionalFormatting sqref="S1:S483 S498:S530 S616">
    <cfRule type="cellIs" dxfId="9" priority="181" operator="between">
      <formula>"VALIDAR HOJE"</formula>
      <formula>"VALIDAR ATÉ AMANHÃ"</formula>
    </cfRule>
  </conditionalFormatting>
  <conditionalFormatting sqref="S1:S483 S498:S530">
    <cfRule type="cellIs" dxfId="8" priority="57" operator="equal">
      <formula>"executada"</formula>
    </cfRule>
    <cfRule type="cellIs" dxfId="7" priority="182" operator="equal">
      <formula>"EXECUTANDO HOJE"</formula>
    </cfRule>
    <cfRule type="cellIs" dxfId="6" priority="183" operator="equal">
      <formula>"EXECUTADO"</formula>
    </cfRule>
  </conditionalFormatting>
  <conditionalFormatting sqref="S532:S1048576">
    <cfRule type="cellIs" dxfId="5" priority="6" operator="equal">
      <formula>"executada"</formula>
    </cfRule>
    <cfRule type="cellIs" dxfId="4" priority="7" operator="equal">
      <formula>"VALIDAR DEPOIS"</formula>
    </cfRule>
    <cfRule type="cellIs" dxfId="3" priority="8" operator="between">
      <formula>"VALIDAR HOJE"</formula>
      <formula>"VALIDAR ATÉ AMANHÃ"</formula>
    </cfRule>
    <cfRule type="cellIs" dxfId="2" priority="9" operator="equal">
      <formula>"EXECUTANDO HOJE"</formula>
    </cfRule>
    <cfRule type="cellIs" dxfId="1" priority="10" operator="equal">
      <formula>"EXECUTADO"</formula>
    </cfRule>
  </conditionalFormatting>
  <conditionalFormatting sqref="S616 S1:S483 S498:S530">
    <cfRule type="cellIs" dxfId="0" priority="180" operator="equal">
      <formula>"VALIDAR DEPOIS"</formula>
    </cfRule>
  </conditionalFormatting>
  <dataValidations count="1">
    <dataValidation type="list" allowBlank="1" showInputMessage="1" showErrorMessage="1" sqref="B254:B277 B355 B358 B281:B349 B351 B453 B361:B442 B463:B481 B501:B507 B455:B461 B509:B510 B1:B252 B444:B450 B519:B526 B534:B566 B575:B577 B570:B571 B568 B573 B528:B530 B532 B579:B643 B645:B1048576" xr:uid="{289EB9C4-85C7-40AF-940D-9CAD79FB741F}">
      <formula1>$Y$1:$Y$1</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Mudança de Endereço </vt:lpstr>
      <vt:lpstr>base de dados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MZNET</dc:creator>
  <cp:keywords/>
  <dc:description/>
  <cp:lastModifiedBy>Renata Saraiva</cp:lastModifiedBy>
  <cp:revision/>
  <dcterms:created xsi:type="dcterms:W3CDTF">2024-12-04T12:19:14Z</dcterms:created>
  <dcterms:modified xsi:type="dcterms:W3CDTF">2026-06-19T19:32:23Z</dcterms:modified>
  <cp:category/>
  <cp:contentStatus/>
</cp:coreProperties>
</file>